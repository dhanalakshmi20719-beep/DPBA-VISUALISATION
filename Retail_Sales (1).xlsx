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DDB6E60-C370-497B-A049-E2F2CB93F5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ail analysis" sheetId="1" r:id="rId1"/>
  </sheets>
  <calcPr calcId="18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Q502" i="1"/>
  <c r="V5" i="1"/>
  <c r="U5" i="1"/>
  <c r="T5" i="1"/>
  <c r="S5" i="1"/>
  <c r="F499" i="1"/>
  <c r="F500" i="1"/>
  <c r="F501" i="1"/>
  <c r="F497" i="1"/>
  <c r="F498" i="1"/>
  <c r="F495" i="1"/>
  <c r="F496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11" i="1"/>
  <c r="F12" i="1"/>
  <c r="F13" i="1"/>
  <c r="F14" i="1"/>
  <c r="F15" i="1"/>
  <c r="F16" i="1"/>
  <c r="F17" i="1"/>
  <c r="F18" i="1"/>
  <c r="F19" i="1"/>
  <c r="F20" i="1"/>
  <c r="F21" i="1"/>
  <c r="F3" i="1"/>
  <c r="F4" i="1"/>
  <c r="F5" i="1"/>
  <c r="F6" i="1"/>
  <c r="F7" i="1"/>
  <c r="F8" i="1"/>
  <c r="F9" i="1"/>
  <c r="F10" i="1"/>
  <c r="F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I2" i="1"/>
  <c r="K2" i="1"/>
  <c r="I3" i="1"/>
  <c r="K3" i="1"/>
  <c r="I4" i="1"/>
  <c r="K4" i="1"/>
  <c r="I5" i="1"/>
  <c r="K5" i="1"/>
  <c r="I6" i="1"/>
  <c r="K6" i="1"/>
  <c r="I7" i="1"/>
  <c r="K7" i="1"/>
  <c r="I8" i="1"/>
  <c r="K8" i="1"/>
  <c r="I9" i="1"/>
  <c r="K9" i="1"/>
  <c r="I10" i="1"/>
  <c r="K10" i="1"/>
  <c r="I11" i="1"/>
  <c r="K11" i="1"/>
  <c r="I12" i="1"/>
  <c r="K12" i="1"/>
  <c r="I13" i="1"/>
  <c r="K13" i="1"/>
  <c r="I14" i="1"/>
  <c r="K14" i="1"/>
  <c r="I15" i="1"/>
  <c r="K15" i="1"/>
  <c r="I16" i="1"/>
  <c r="K16" i="1"/>
  <c r="I17" i="1"/>
  <c r="K17" i="1"/>
  <c r="I18" i="1"/>
  <c r="K18" i="1"/>
  <c r="I19" i="1"/>
  <c r="K19" i="1"/>
  <c r="I20" i="1"/>
  <c r="K20" i="1"/>
  <c r="I21" i="1"/>
  <c r="K21" i="1"/>
  <c r="I22" i="1"/>
  <c r="K22" i="1"/>
  <c r="I23" i="1"/>
  <c r="K23" i="1"/>
  <c r="I24" i="1"/>
  <c r="K24" i="1"/>
  <c r="I25" i="1"/>
  <c r="K25" i="1"/>
  <c r="I26" i="1"/>
  <c r="K26" i="1"/>
  <c r="I27" i="1"/>
  <c r="K27" i="1"/>
  <c r="I28" i="1"/>
  <c r="K28" i="1"/>
  <c r="I29" i="1"/>
  <c r="K29" i="1"/>
  <c r="I30" i="1"/>
  <c r="K30" i="1"/>
  <c r="I31" i="1"/>
  <c r="K31" i="1"/>
  <c r="I32" i="1"/>
  <c r="K32" i="1"/>
  <c r="I33" i="1"/>
  <c r="K33" i="1"/>
  <c r="I34" i="1"/>
  <c r="K34" i="1"/>
  <c r="I35" i="1"/>
  <c r="K35" i="1"/>
  <c r="I36" i="1"/>
  <c r="K36" i="1"/>
  <c r="I37" i="1"/>
  <c r="K37" i="1"/>
  <c r="I38" i="1"/>
  <c r="K38" i="1"/>
  <c r="I39" i="1"/>
  <c r="K39" i="1"/>
  <c r="I40" i="1"/>
  <c r="K40" i="1"/>
  <c r="I41" i="1"/>
  <c r="K41" i="1"/>
  <c r="I42" i="1"/>
  <c r="K42" i="1"/>
  <c r="I43" i="1"/>
  <c r="K43" i="1"/>
  <c r="I44" i="1"/>
  <c r="K44" i="1"/>
  <c r="I45" i="1"/>
  <c r="K45" i="1"/>
  <c r="I46" i="1"/>
  <c r="K46" i="1"/>
  <c r="I47" i="1"/>
  <c r="K47" i="1"/>
  <c r="I48" i="1"/>
  <c r="K48" i="1"/>
  <c r="I49" i="1"/>
  <c r="K49" i="1"/>
  <c r="I50" i="1"/>
  <c r="K50" i="1"/>
  <c r="I51" i="1"/>
  <c r="K51" i="1"/>
  <c r="I52" i="1"/>
  <c r="K52" i="1"/>
  <c r="I53" i="1"/>
  <c r="K53" i="1"/>
  <c r="I54" i="1"/>
  <c r="K54" i="1"/>
  <c r="I55" i="1"/>
  <c r="K55" i="1"/>
  <c r="I56" i="1"/>
  <c r="K56" i="1"/>
  <c r="I57" i="1"/>
  <c r="K57" i="1"/>
  <c r="I58" i="1"/>
  <c r="K58" i="1"/>
  <c r="I59" i="1"/>
  <c r="K59" i="1"/>
  <c r="I60" i="1"/>
  <c r="K60" i="1"/>
  <c r="I61" i="1"/>
  <c r="K61" i="1"/>
  <c r="I62" i="1"/>
  <c r="K62" i="1"/>
  <c r="I63" i="1"/>
  <c r="K63" i="1"/>
  <c r="I64" i="1"/>
  <c r="K64" i="1"/>
  <c r="I65" i="1"/>
  <c r="K65" i="1"/>
  <c r="I66" i="1"/>
  <c r="K66" i="1"/>
  <c r="I67" i="1"/>
  <c r="K67" i="1"/>
  <c r="I68" i="1"/>
  <c r="K68" i="1"/>
  <c r="I69" i="1"/>
  <c r="K69" i="1"/>
  <c r="I70" i="1"/>
  <c r="K70" i="1"/>
  <c r="I71" i="1"/>
  <c r="K71" i="1"/>
  <c r="I72" i="1"/>
  <c r="K72" i="1"/>
  <c r="I73" i="1"/>
  <c r="K73" i="1"/>
  <c r="I74" i="1"/>
  <c r="K74" i="1"/>
  <c r="I75" i="1"/>
  <c r="K75" i="1"/>
  <c r="I76" i="1"/>
  <c r="K76" i="1"/>
  <c r="I77" i="1"/>
  <c r="K77" i="1"/>
  <c r="I78" i="1"/>
  <c r="K78" i="1"/>
  <c r="I79" i="1"/>
  <c r="K79" i="1"/>
  <c r="I80" i="1"/>
  <c r="K80" i="1"/>
  <c r="I81" i="1"/>
  <c r="K81" i="1"/>
  <c r="I82" i="1"/>
  <c r="K82" i="1"/>
  <c r="I83" i="1"/>
  <c r="K83" i="1"/>
  <c r="I84" i="1"/>
  <c r="K84" i="1"/>
  <c r="I85" i="1"/>
  <c r="K85" i="1"/>
  <c r="I86" i="1"/>
  <c r="K86" i="1"/>
  <c r="I87" i="1"/>
  <c r="K87" i="1"/>
  <c r="I88" i="1"/>
  <c r="K88" i="1"/>
  <c r="I89" i="1"/>
  <c r="K89" i="1"/>
  <c r="I90" i="1"/>
  <c r="K90" i="1"/>
  <c r="I91" i="1"/>
  <c r="K91" i="1"/>
  <c r="I92" i="1"/>
  <c r="K92" i="1"/>
  <c r="I93" i="1"/>
  <c r="K93" i="1"/>
  <c r="I94" i="1"/>
  <c r="K94" i="1"/>
  <c r="I95" i="1"/>
  <c r="K95" i="1"/>
  <c r="I96" i="1"/>
  <c r="K96" i="1"/>
  <c r="I97" i="1"/>
  <c r="K97" i="1"/>
  <c r="I98" i="1"/>
  <c r="K98" i="1"/>
  <c r="I99" i="1"/>
  <c r="K99" i="1"/>
  <c r="I100" i="1"/>
  <c r="K100" i="1"/>
  <c r="I101" i="1"/>
  <c r="K101" i="1"/>
  <c r="I102" i="1"/>
  <c r="K102" i="1"/>
  <c r="I103" i="1"/>
  <c r="K103" i="1"/>
  <c r="I104" i="1"/>
  <c r="K104" i="1"/>
  <c r="I105" i="1"/>
  <c r="K105" i="1"/>
  <c r="I106" i="1"/>
  <c r="K106" i="1"/>
  <c r="I107" i="1"/>
  <c r="K107" i="1"/>
  <c r="I108" i="1"/>
  <c r="K108" i="1"/>
  <c r="I109" i="1"/>
  <c r="K109" i="1"/>
  <c r="I110" i="1"/>
  <c r="K110" i="1"/>
  <c r="I111" i="1"/>
  <c r="K111" i="1"/>
  <c r="I112" i="1"/>
  <c r="K112" i="1"/>
  <c r="I113" i="1"/>
  <c r="K113" i="1"/>
  <c r="I114" i="1"/>
  <c r="K114" i="1"/>
  <c r="I115" i="1"/>
  <c r="K115" i="1"/>
  <c r="I116" i="1"/>
  <c r="K116" i="1"/>
  <c r="I117" i="1"/>
  <c r="K117" i="1"/>
  <c r="I118" i="1"/>
  <c r="K118" i="1"/>
  <c r="I119" i="1"/>
  <c r="K119" i="1"/>
  <c r="I120" i="1"/>
  <c r="K120" i="1"/>
  <c r="I121" i="1"/>
  <c r="K121" i="1"/>
  <c r="I122" i="1"/>
  <c r="K122" i="1"/>
  <c r="I123" i="1"/>
  <c r="K123" i="1"/>
  <c r="I124" i="1"/>
  <c r="K124" i="1"/>
  <c r="I125" i="1"/>
  <c r="K125" i="1"/>
  <c r="I126" i="1"/>
  <c r="K126" i="1"/>
  <c r="I127" i="1"/>
  <c r="K127" i="1"/>
  <c r="I128" i="1"/>
  <c r="K128" i="1"/>
  <c r="I129" i="1"/>
  <c r="K129" i="1"/>
  <c r="I130" i="1"/>
  <c r="K130" i="1"/>
  <c r="I131" i="1"/>
  <c r="K131" i="1"/>
  <c r="I132" i="1"/>
  <c r="K132" i="1"/>
  <c r="I133" i="1"/>
  <c r="K133" i="1"/>
  <c r="I134" i="1"/>
  <c r="K134" i="1"/>
  <c r="I135" i="1"/>
  <c r="K135" i="1"/>
  <c r="I136" i="1"/>
  <c r="K136" i="1"/>
  <c r="I137" i="1"/>
  <c r="K137" i="1"/>
  <c r="I138" i="1"/>
  <c r="K138" i="1"/>
  <c r="I139" i="1"/>
  <c r="K139" i="1"/>
  <c r="I140" i="1"/>
  <c r="K140" i="1"/>
  <c r="I141" i="1"/>
  <c r="K141" i="1"/>
  <c r="I142" i="1"/>
  <c r="K142" i="1"/>
  <c r="I143" i="1"/>
  <c r="K143" i="1"/>
  <c r="I144" i="1"/>
  <c r="K144" i="1"/>
  <c r="I145" i="1"/>
  <c r="K145" i="1"/>
  <c r="I146" i="1"/>
  <c r="K146" i="1"/>
  <c r="I147" i="1"/>
  <c r="K147" i="1"/>
  <c r="I148" i="1"/>
  <c r="K148" i="1"/>
  <c r="I149" i="1"/>
  <c r="K149" i="1"/>
  <c r="I150" i="1"/>
  <c r="K150" i="1"/>
  <c r="I151" i="1"/>
  <c r="K151" i="1"/>
  <c r="I152" i="1"/>
  <c r="K152" i="1"/>
  <c r="I153" i="1"/>
  <c r="K153" i="1"/>
  <c r="I154" i="1"/>
  <c r="K154" i="1"/>
  <c r="I155" i="1"/>
  <c r="K155" i="1"/>
  <c r="I156" i="1"/>
  <c r="K156" i="1"/>
  <c r="I157" i="1"/>
  <c r="K157" i="1"/>
  <c r="I158" i="1"/>
  <c r="K158" i="1"/>
  <c r="I159" i="1"/>
  <c r="K159" i="1"/>
  <c r="I160" i="1"/>
  <c r="K160" i="1"/>
  <c r="I161" i="1"/>
  <c r="K161" i="1"/>
  <c r="I162" i="1"/>
  <c r="K162" i="1"/>
  <c r="I163" i="1"/>
  <c r="K163" i="1"/>
  <c r="I164" i="1"/>
  <c r="K164" i="1"/>
  <c r="I165" i="1"/>
  <c r="K165" i="1"/>
  <c r="I166" i="1"/>
  <c r="K166" i="1"/>
  <c r="I167" i="1"/>
  <c r="K167" i="1"/>
  <c r="I168" i="1"/>
  <c r="K168" i="1"/>
  <c r="I169" i="1"/>
  <c r="K169" i="1"/>
  <c r="I170" i="1"/>
  <c r="K170" i="1"/>
  <c r="I171" i="1"/>
  <c r="K171" i="1"/>
  <c r="I172" i="1"/>
  <c r="K172" i="1"/>
  <c r="I173" i="1"/>
  <c r="K173" i="1"/>
  <c r="I174" i="1"/>
  <c r="K174" i="1"/>
  <c r="I175" i="1"/>
  <c r="K175" i="1"/>
  <c r="I176" i="1"/>
  <c r="K176" i="1"/>
  <c r="I177" i="1"/>
  <c r="K177" i="1"/>
  <c r="I178" i="1"/>
  <c r="K178" i="1"/>
  <c r="I179" i="1"/>
  <c r="K179" i="1"/>
  <c r="I180" i="1"/>
  <c r="K180" i="1"/>
  <c r="I181" i="1"/>
  <c r="K181" i="1"/>
  <c r="I182" i="1"/>
  <c r="K182" i="1"/>
  <c r="I183" i="1"/>
  <c r="K183" i="1"/>
  <c r="I184" i="1"/>
  <c r="K184" i="1"/>
  <c r="I185" i="1"/>
  <c r="K185" i="1"/>
  <c r="I186" i="1"/>
  <c r="K186" i="1"/>
  <c r="I187" i="1"/>
  <c r="K187" i="1"/>
  <c r="I188" i="1"/>
  <c r="K188" i="1"/>
  <c r="I189" i="1"/>
  <c r="K189" i="1"/>
  <c r="I190" i="1"/>
  <c r="K190" i="1"/>
  <c r="I191" i="1"/>
  <c r="K191" i="1"/>
  <c r="I192" i="1"/>
  <c r="K192" i="1"/>
  <c r="I193" i="1"/>
  <c r="K193" i="1"/>
  <c r="I194" i="1"/>
  <c r="K194" i="1"/>
  <c r="I195" i="1"/>
  <c r="K195" i="1"/>
  <c r="I196" i="1"/>
  <c r="K196" i="1"/>
  <c r="I197" i="1"/>
  <c r="K197" i="1"/>
  <c r="I198" i="1"/>
  <c r="K198" i="1"/>
  <c r="I199" i="1"/>
  <c r="K199" i="1"/>
  <c r="I200" i="1"/>
  <c r="K200" i="1"/>
  <c r="I201" i="1"/>
  <c r="K201" i="1"/>
  <c r="I202" i="1"/>
  <c r="K202" i="1"/>
  <c r="I203" i="1"/>
  <c r="K203" i="1"/>
  <c r="I204" i="1"/>
  <c r="K204" i="1"/>
  <c r="I205" i="1"/>
  <c r="K205" i="1"/>
  <c r="I206" i="1"/>
  <c r="K206" i="1"/>
  <c r="I207" i="1"/>
  <c r="K207" i="1"/>
  <c r="I208" i="1"/>
  <c r="K208" i="1"/>
  <c r="I209" i="1"/>
  <c r="K209" i="1"/>
  <c r="I210" i="1"/>
  <c r="K210" i="1"/>
  <c r="I211" i="1"/>
  <c r="K211" i="1"/>
  <c r="I212" i="1"/>
  <c r="K212" i="1"/>
  <c r="I213" i="1"/>
  <c r="K213" i="1"/>
  <c r="I214" i="1"/>
  <c r="K214" i="1"/>
  <c r="I215" i="1"/>
  <c r="K215" i="1"/>
  <c r="I216" i="1"/>
  <c r="K216" i="1"/>
  <c r="I217" i="1"/>
  <c r="K217" i="1"/>
  <c r="I218" i="1"/>
  <c r="K218" i="1"/>
  <c r="I219" i="1"/>
  <c r="K219" i="1"/>
  <c r="I220" i="1"/>
  <c r="K220" i="1"/>
  <c r="I221" i="1"/>
  <c r="K221" i="1"/>
  <c r="I222" i="1"/>
  <c r="K222" i="1"/>
  <c r="I223" i="1"/>
  <c r="K223" i="1"/>
  <c r="I224" i="1"/>
  <c r="K224" i="1"/>
  <c r="I225" i="1"/>
  <c r="K225" i="1"/>
  <c r="I226" i="1"/>
  <c r="K226" i="1"/>
  <c r="I227" i="1"/>
  <c r="K227" i="1"/>
  <c r="I228" i="1"/>
  <c r="K228" i="1"/>
  <c r="I229" i="1"/>
  <c r="K229" i="1"/>
  <c r="I230" i="1"/>
  <c r="K230" i="1"/>
  <c r="I231" i="1"/>
  <c r="K231" i="1"/>
  <c r="I232" i="1"/>
  <c r="K232" i="1"/>
  <c r="I233" i="1"/>
  <c r="K233" i="1"/>
  <c r="I234" i="1"/>
  <c r="K234" i="1"/>
  <c r="I235" i="1"/>
  <c r="K235" i="1"/>
  <c r="I236" i="1"/>
  <c r="K236" i="1"/>
  <c r="I237" i="1"/>
  <c r="K237" i="1"/>
  <c r="I238" i="1"/>
  <c r="K238" i="1"/>
  <c r="I239" i="1"/>
  <c r="K239" i="1"/>
  <c r="I240" i="1"/>
  <c r="K240" i="1"/>
  <c r="I241" i="1"/>
  <c r="K241" i="1"/>
  <c r="I242" i="1"/>
  <c r="K242" i="1"/>
  <c r="I243" i="1"/>
  <c r="K243" i="1"/>
  <c r="I244" i="1"/>
  <c r="K244" i="1"/>
  <c r="I245" i="1"/>
  <c r="K245" i="1"/>
  <c r="I246" i="1"/>
  <c r="K246" i="1"/>
  <c r="I247" i="1"/>
  <c r="K247" i="1"/>
  <c r="I248" i="1"/>
  <c r="K248" i="1"/>
  <c r="I249" i="1"/>
  <c r="K249" i="1"/>
  <c r="I250" i="1"/>
  <c r="K250" i="1"/>
  <c r="I251" i="1"/>
  <c r="K251" i="1"/>
  <c r="I252" i="1"/>
  <c r="K252" i="1"/>
  <c r="I253" i="1"/>
  <c r="K253" i="1"/>
  <c r="I254" i="1"/>
  <c r="K254" i="1"/>
  <c r="I255" i="1"/>
  <c r="K255" i="1"/>
  <c r="I256" i="1"/>
  <c r="K256" i="1"/>
  <c r="I257" i="1"/>
  <c r="K257" i="1"/>
  <c r="I258" i="1"/>
  <c r="K258" i="1"/>
  <c r="I259" i="1"/>
  <c r="K259" i="1"/>
  <c r="I260" i="1"/>
  <c r="K260" i="1"/>
  <c r="I261" i="1"/>
  <c r="K261" i="1"/>
  <c r="I262" i="1"/>
  <c r="K262" i="1"/>
  <c r="I263" i="1"/>
  <c r="K263" i="1"/>
  <c r="I264" i="1"/>
  <c r="K264" i="1"/>
  <c r="I265" i="1"/>
  <c r="K265" i="1"/>
  <c r="I266" i="1"/>
  <c r="K266" i="1"/>
  <c r="I267" i="1"/>
  <c r="K267" i="1"/>
  <c r="I268" i="1"/>
  <c r="K268" i="1"/>
  <c r="I269" i="1"/>
  <c r="K269" i="1"/>
  <c r="I270" i="1"/>
  <c r="K270" i="1"/>
  <c r="I271" i="1"/>
  <c r="K271" i="1"/>
  <c r="I272" i="1"/>
  <c r="K272" i="1"/>
  <c r="I273" i="1"/>
  <c r="K273" i="1"/>
  <c r="I274" i="1"/>
  <c r="K274" i="1"/>
  <c r="I275" i="1"/>
  <c r="K275" i="1"/>
  <c r="I276" i="1"/>
  <c r="K276" i="1"/>
  <c r="I277" i="1"/>
  <c r="K277" i="1"/>
  <c r="I278" i="1"/>
  <c r="K278" i="1"/>
  <c r="I279" i="1"/>
  <c r="K279" i="1"/>
  <c r="I280" i="1"/>
  <c r="K280" i="1"/>
  <c r="I281" i="1"/>
  <c r="K281" i="1"/>
  <c r="I282" i="1"/>
  <c r="K282" i="1"/>
  <c r="I283" i="1"/>
  <c r="K283" i="1"/>
  <c r="I284" i="1"/>
  <c r="K284" i="1"/>
  <c r="I285" i="1"/>
  <c r="K285" i="1"/>
  <c r="I286" i="1"/>
  <c r="K286" i="1"/>
  <c r="I287" i="1"/>
  <c r="K287" i="1"/>
  <c r="I288" i="1"/>
  <c r="K288" i="1"/>
  <c r="I289" i="1"/>
  <c r="K289" i="1"/>
  <c r="I290" i="1"/>
  <c r="K290" i="1"/>
  <c r="I291" i="1"/>
  <c r="K291" i="1"/>
  <c r="I292" i="1"/>
  <c r="K292" i="1"/>
  <c r="I293" i="1"/>
  <c r="K293" i="1"/>
  <c r="I294" i="1"/>
  <c r="K294" i="1"/>
  <c r="I295" i="1"/>
  <c r="K295" i="1"/>
  <c r="I296" i="1"/>
  <c r="K296" i="1"/>
  <c r="I297" i="1"/>
  <c r="K297" i="1"/>
  <c r="I298" i="1"/>
  <c r="K298" i="1"/>
  <c r="I299" i="1"/>
  <c r="K299" i="1"/>
  <c r="I300" i="1"/>
  <c r="K300" i="1"/>
  <c r="I301" i="1"/>
  <c r="K301" i="1"/>
  <c r="I302" i="1"/>
  <c r="K302" i="1"/>
  <c r="I303" i="1"/>
  <c r="K303" i="1"/>
  <c r="I304" i="1"/>
  <c r="K304" i="1"/>
  <c r="I305" i="1"/>
  <c r="K305" i="1"/>
  <c r="I306" i="1"/>
  <c r="K306" i="1"/>
  <c r="I307" i="1"/>
  <c r="K307" i="1"/>
  <c r="I308" i="1"/>
  <c r="K308" i="1"/>
  <c r="I309" i="1"/>
  <c r="K309" i="1"/>
  <c r="I310" i="1"/>
  <c r="K310" i="1"/>
  <c r="I311" i="1"/>
  <c r="K311" i="1"/>
  <c r="I312" i="1"/>
  <c r="K312" i="1"/>
  <c r="I313" i="1"/>
  <c r="K313" i="1"/>
  <c r="I314" i="1"/>
  <c r="K314" i="1"/>
  <c r="I315" i="1"/>
  <c r="K315" i="1"/>
  <c r="I316" i="1"/>
  <c r="K316" i="1"/>
  <c r="I317" i="1"/>
  <c r="K317" i="1"/>
  <c r="I318" i="1"/>
  <c r="K318" i="1"/>
  <c r="I319" i="1"/>
  <c r="K319" i="1"/>
  <c r="I320" i="1"/>
  <c r="K320" i="1"/>
  <c r="I321" i="1"/>
  <c r="K321" i="1"/>
  <c r="I322" i="1"/>
  <c r="K322" i="1"/>
  <c r="I323" i="1"/>
  <c r="K323" i="1"/>
  <c r="I324" i="1"/>
  <c r="K324" i="1"/>
  <c r="I325" i="1"/>
  <c r="K325" i="1"/>
  <c r="I326" i="1"/>
  <c r="K326" i="1"/>
  <c r="I327" i="1"/>
  <c r="K327" i="1"/>
  <c r="I328" i="1"/>
  <c r="K328" i="1"/>
  <c r="I329" i="1"/>
  <c r="K329" i="1"/>
  <c r="I330" i="1"/>
  <c r="K330" i="1"/>
  <c r="I331" i="1"/>
  <c r="K331" i="1"/>
  <c r="I332" i="1"/>
  <c r="K332" i="1"/>
  <c r="I333" i="1"/>
  <c r="K333" i="1"/>
  <c r="I334" i="1"/>
  <c r="K334" i="1"/>
  <c r="I335" i="1"/>
  <c r="K335" i="1"/>
  <c r="I336" i="1"/>
  <c r="K336" i="1"/>
  <c r="I337" i="1"/>
  <c r="K337" i="1"/>
  <c r="I338" i="1"/>
  <c r="K338" i="1"/>
  <c r="I339" i="1"/>
  <c r="K339" i="1"/>
  <c r="I340" i="1"/>
  <c r="K340" i="1"/>
  <c r="I341" i="1"/>
  <c r="K341" i="1"/>
  <c r="I342" i="1"/>
  <c r="K342" i="1"/>
  <c r="I343" i="1"/>
  <c r="K343" i="1"/>
  <c r="I344" i="1"/>
  <c r="K344" i="1"/>
  <c r="I345" i="1"/>
  <c r="K345" i="1"/>
  <c r="I346" i="1"/>
  <c r="K346" i="1"/>
  <c r="I347" i="1"/>
  <c r="K347" i="1"/>
  <c r="I348" i="1"/>
  <c r="K348" i="1"/>
  <c r="I349" i="1"/>
  <c r="K349" i="1"/>
  <c r="I350" i="1"/>
  <c r="K350" i="1"/>
  <c r="I351" i="1"/>
  <c r="K351" i="1"/>
  <c r="I352" i="1"/>
  <c r="K352" i="1"/>
  <c r="I353" i="1"/>
  <c r="K353" i="1"/>
  <c r="I354" i="1"/>
  <c r="K354" i="1"/>
  <c r="I355" i="1"/>
  <c r="K355" i="1"/>
  <c r="I356" i="1"/>
  <c r="K356" i="1"/>
  <c r="I357" i="1"/>
  <c r="K357" i="1"/>
  <c r="I358" i="1"/>
  <c r="K358" i="1"/>
  <c r="I359" i="1"/>
  <c r="K359" i="1"/>
  <c r="I360" i="1"/>
  <c r="K360" i="1"/>
  <c r="I361" i="1"/>
  <c r="K361" i="1"/>
  <c r="I362" i="1"/>
  <c r="K362" i="1"/>
  <c r="I363" i="1"/>
  <c r="K363" i="1"/>
  <c r="I364" i="1"/>
  <c r="K364" i="1"/>
  <c r="I365" i="1"/>
  <c r="K365" i="1"/>
  <c r="I366" i="1"/>
  <c r="K366" i="1"/>
  <c r="I367" i="1"/>
  <c r="K367" i="1"/>
  <c r="I368" i="1"/>
  <c r="K368" i="1"/>
  <c r="I369" i="1"/>
  <c r="K369" i="1"/>
  <c r="I370" i="1"/>
  <c r="K370" i="1"/>
  <c r="I371" i="1"/>
  <c r="K371" i="1"/>
  <c r="I372" i="1"/>
  <c r="K372" i="1"/>
  <c r="I373" i="1"/>
  <c r="K373" i="1"/>
  <c r="I374" i="1"/>
  <c r="K374" i="1"/>
  <c r="I375" i="1"/>
  <c r="K375" i="1"/>
  <c r="I376" i="1"/>
  <c r="K376" i="1"/>
  <c r="I377" i="1"/>
  <c r="K377" i="1"/>
  <c r="I378" i="1"/>
  <c r="K378" i="1"/>
  <c r="I379" i="1"/>
  <c r="K379" i="1"/>
  <c r="I380" i="1"/>
  <c r="K380" i="1"/>
  <c r="I381" i="1"/>
  <c r="K381" i="1"/>
  <c r="I382" i="1"/>
  <c r="K382" i="1"/>
  <c r="I383" i="1"/>
  <c r="K383" i="1"/>
  <c r="I384" i="1"/>
  <c r="K384" i="1"/>
  <c r="I385" i="1"/>
  <c r="K385" i="1"/>
  <c r="I386" i="1"/>
  <c r="K386" i="1"/>
  <c r="I387" i="1"/>
  <c r="K387" i="1"/>
  <c r="I388" i="1"/>
  <c r="K388" i="1"/>
  <c r="I389" i="1"/>
  <c r="K389" i="1"/>
  <c r="I390" i="1"/>
  <c r="K390" i="1"/>
  <c r="I391" i="1"/>
  <c r="K391" i="1"/>
  <c r="I392" i="1"/>
  <c r="K392" i="1"/>
  <c r="I393" i="1"/>
  <c r="K393" i="1"/>
  <c r="I394" i="1"/>
  <c r="K394" i="1"/>
  <c r="I395" i="1"/>
  <c r="K395" i="1"/>
  <c r="I396" i="1"/>
  <c r="K396" i="1"/>
  <c r="I397" i="1"/>
  <c r="K397" i="1"/>
  <c r="I398" i="1"/>
  <c r="K398" i="1"/>
  <c r="I399" i="1"/>
  <c r="K399" i="1"/>
  <c r="I400" i="1"/>
  <c r="K400" i="1"/>
  <c r="I401" i="1"/>
  <c r="K401" i="1"/>
  <c r="I402" i="1"/>
  <c r="K402" i="1"/>
  <c r="I403" i="1"/>
  <c r="K403" i="1"/>
  <c r="I404" i="1"/>
  <c r="K404" i="1"/>
  <c r="I405" i="1"/>
  <c r="K405" i="1"/>
  <c r="I406" i="1"/>
  <c r="K406" i="1"/>
  <c r="I407" i="1"/>
  <c r="K407" i="1"/>
  <c r="I408" i="1"/>
  <c r="K408" i="1"/>
  <c r="I409" i="1"/>
  <c r="K409" i="1"/>
  <c r="I410" i="1"/>
  <c r="K410" i="1"/>
  <c r="I411" i="1"/>
  <c r="K411" i="1"/>
  <c r="I412" i="1"/>
  <c r="K412" i="1"/>
  <c r="I413" i="1"/>
  <c r="K413" i="1"/>
  <c r="I414" i="1"/>
  <c r="K414" i="1"/>
  <c r="I415" i="1"/>
  <c r="K415" i="1"/>
  <c r="I416" i="1"/>
  <c r="K416" i="1"/>
  <c r="I417" i="1"/>
  <c r="K417" i="1"/>
  <c r="I418" i="1"/>
  <c r="K418" i="1"/>
  <c r="I419" i="1"/>
  <c r="K419" i="1"/>
  <c r="I420" i="1"/>
  <c r="K420" i="1"/>
  <c r="I421" i="1"/>
  <c r="K421" i="1"/>
  <c r="I422" i="1"/>
  <c r="K422" i="1"/>
  <c r="I423" i="1"/>
  <c r="K423" i="1"/>
  <c r="I424" i="1"/>
  <c r="K424" i="1"/>
  <c r="I425" i="1"/>
  <c r="K425" i="1"/>
  <c r="I426" i="1"/>
  <c r="K426" i="1"/>
  <c r="I427" i="1"/>
  <c r="K427" i="1"/>
  <c r="I428" i="1"/>
  <c r="K428" i="1"/>
  <c r="I429" i="1"/>
  <c r="K429" i="1"/>
  <c r="I430" i="1"/>
  <c r="K430" i="1"/>
  <c r="I431" i="1"/>
  <c r="K431" i="1"/>
  <c r="I432" i="1"/>
  <c r="K432" i="1"/>
  <c r="I433" i="1"/>
  <c r="K433" i="1"/>
  <c r="I434" i="1"/>
  <c r="K434" i="1"/>
  <c r="I435" i="1"/>
  <c r="K435" i="1"/>
  <c r="I436" i="1"/>
  <c r="K436" i="1"/>
  <c r="I437" i="1"/>
  <c r="K437" i="1"/>
  <c r="I438" i="1"/>
  <c r="K438" i="1"/>
  <c r="I439" i="1"/>
  <c r="K439" i="1"/>
  <c r="I440" i="1"/>
  <c r="K440" i="1"/>
  <c r="I441" i="1"/>
  <c r="K441" i="1"/>
  <c r="I442" i="1"/>
  <c r="K442" i="1"/>
  <c r="I443" i="1"/>
  <c r="K443" i="1"/>
  <c r="I444" i="1"/>
  <c r="K444" i="1"/>
  <c r="I445" i="1"/>
  <c r="K445" i="1"/>
  <c r="I446" i="1"/>
  <c r="K446" i="1"/>
  <c r="I447" i="1"/>
  <c r="K447" i="1"/>
  <c r="I448" i="1"/>
  <c r="K448" i="1"/>
  <c r="I449" i="1"/>
  <c r="K449" i="1"/>
  <c r="I450" i="1"/>
  <c r="K450" i="1"/>
  <c r="I451" i="1"/>
  <c r="K451" i="1"/>
  <c r="I452" i="1"/>
  <c r="K452" i="1"/>
  <c r="I453" i="1"/>
  <c r="K453" i="1"/>
  <c r="I454" i="1"/>
  <c r="K454" i="1"/>
  <c r="I455" i="1"/>
  <c r="K455" i="1"/>
  <c r="I456" i="1"/>
  <c r="K456" i="1"/>
  <c r="I457" i="1"/>
  <c r="K457" i="1"/>
  <c r="I458" i="1"/>
  <c r="K458" i="1"/>
  <c r="I459" i="1"/>
  <c r="K459" i="1"/>
  <c r="I460" i="1"/>
  <c r="K460" i="1"/>
  <c r="I461" i="1"/>
  <c r="K461" i="1"/>
  <c r="I462" i="1"/>
  <c r="K462" i="1"/>
  <c r="I463" i="1"/>
  <c r="K463" i="1"/>
  <c r="I464" i="1"/>
  <c r="K464" i="1"/>
  <c r="I465" i="1"/>
  <c r="K465" i="1"/>
  <c r="I466" i="1"/>
  <c r="K466" i="1"/>
  <c r="I467" i="1"/>
  <c r="K467" i="1"/>
  <c r="I468" i="1"/>
  <c r="K468" i="1"/>
  <c r="I469" i="1"/>
  <c r="K469" i="1"/>
  <c r="I470" i="1"/>
  <c r="K470" i="1"/>
  <c r="I471" i="1"/>
  <c r="K471" i="1"/>
  <c r="I472" i="1"/>
  <c r="K472" i="1"/>
  <c r="I473" i="1"/>
  <c r="K473" i="1"/>
  <c r="I474" i="1"/>
  <c r="K474" i="1"/>
  <c r="I475" i="1"/>
  <c r="K475" i="1"/>
  <c r="I476" i="1"/>
  <c r="K476" i="1"/>
  <c r="I477" i="1"/>
  <c r="K477" i="1"/>
  <c r="I478" i="1"/>
  <c r="K478" i="1"/>
  <c r="I479" i="1"/>
  <c r="K479" i="1"/>
  <c r="I480" i="1"/>
  <c r="K480" i="1"/>
  <c r="I481" i="1"/>
  <c r="K481" i="1"/>
  <c r="I482" i="1"/>
  <c r="K482" i="1"/>
  <c r="I483" i="1"/>
  <c r="K483" i="1"/>
  <c r="I484" i="1"/>
  <c r="K484" i="1"/>
  <c r="I485" i="1"/>
  <c r="K485" i="1"/>
  <c r="I486" i="1"/>
  <c r="K486" i="1"/>
  <c r="I487" i="1"/>
  <c r="K487" i="1"/>
  <c r="I488" i="1"/>
  <c r="K488" i="1"/>
  <c r="I489" i="1"/>
  <c r="K489" i="1"/>
  <c r="I490" i="1"/>
  <c r="K490" i="1"/>
  <c r="I491" i="1"/>
  <c r="K491" i="1"/>
  <c r="I492" i="1"/>
  <c r="K492" i="1"/>
  <c r="I493" i="1"/>
  <c r="K493" i="1"/>
  <c r="I494" i="1"/>
  <c r="K494" i="1"/>
  <c r="I495" i="1"/>
  <c r="K495" i="1"/>
  <c r="I496" i="1"/>
  <c r="K496" i="1"/>
  <c r="I497" i="1"/>
  <c r="K497" i="1"/>
  <c r="I498" i="1"/>
  <c r="K498" i="1"/>
  <c r="I499" i="1"/>
  <c r="K499" i="1"/>
  <c r="I500" i="1"/>
  <c r="K500" i="1"/>
  <c r="I501" i="1"/>
  <c r="K501" i="1"/>
  <c r="W5" i="1"/>
  <c r="R5" i="1"/>
  <c r="R485" i="1"/>
</calcChain>
</file>

<file path=xl/sharedStrings.xml><?xml version="1.0" encoding="utf-8"?>
<sst xmlns="http://schemas.openxmlformats.org/spreadsheetml/2006/main" count="2024" uniqueCount="541">
  <si>
    <t>Order_ID</t>
  </si>
  <si>
    <t>Order_Date</t>
  </si>
  <si>
    <t>Store</t>
  </si>
  <si>
    <t>City</t>
  </si>
  <si>
    <t>Category</t>
  </si>
  <si>
    <t>Quantity</t>
  </si>
  <si>
    <t>Unit_Price</t>
  </si>
  <si>
    <t>Total_Amount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</si>
  <si>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</si>
  <si>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</si>
  <si>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</si>
  <si>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</si>
  <si>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</si>
  <si>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</si>
  <si>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</si>
  <si>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</si>
  <si>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</si>
  <si>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</si>
  <si>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</si>
  <si>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</si>
  <si>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</si>
  <si>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</si>
  <si>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</si>
  <si>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</si>
  <si>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</si>
  <si>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</si>
  <si>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</si>
  <si>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</si>
  <si>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</si>
  <si>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</si>
  <si>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</si>
  <si>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</si>
  <si>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</si>
  <si>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</si>
  <si>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</si>
  <si>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</si>
  <si>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</si>
  <si>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</si>
  <si>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</si>
  <si>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</si>
  <si>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</si>
  <si>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</si>
  <si>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</si>
  <si>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</si>
  <si>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</si>
  <si>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</si>
  <si>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</si>
  <si>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</si>
  <si>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</si>
  <si>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</si>
  <si>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</si>
  <si>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</si>
  <si>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</si>
  <si>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</si>
  <si>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</si>
  <si>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</si>
  <si>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</si>
  <si>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</si>
  <si>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</si>
  <si>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</si>
  <si>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</si>
  <si>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</si>
  <si>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</si>
  <si>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</si>
  <si>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</si>
  <si>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</si>
  <si>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</si>
  <si>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</si>
  <si>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</si>
  <si>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</si>
  <si>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</si>
  <si>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</si>
  <si>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</si>
  <si>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</si>
  <si>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</si>
  <si>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</si>
  <si>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</si>
  <si>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</si>
  <si>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</si>
  <si>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</si>
  <si>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</si>
  <si>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</si>
  <si>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</si>
  <si>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</si>
  <si>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</si>
  <si>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</si>
  <si>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</si>
  <si>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</si>
  <si>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</si>
  <si>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</si>
  <si>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</si>
  <si>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</si>
  <si>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</si>
  <si>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</si>
  <si>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</si>
  <si>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</si>
  <si>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</si>
  <si>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</si>
  <si>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</si>
  <si>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</si>
  <si>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</si>
  <si>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</si>
  <si>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</si>
  <si>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</si>
  <si>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</si>
  <si>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</si>
  <si>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</si>
  <si>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</si>
  <si>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</si>
  <si>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</si>
  <si>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</si>
  <si>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</si>
  <si>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</si>
  <si>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</si>
  <si>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</si>
  <si>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</si>
  <si>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</si>
  <si>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</si>
  <si>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</si>
  <si>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</si>
  <si>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</si>
  <si>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</si>
  <si>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</si>
  <si>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</si>
  <si>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</si>
  <si>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</si>
  <si>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</si>
  <si>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</si>
  <si>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</si>
  <si>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</si>
  <si>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</si>
  <si>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</si>
  <si>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</si>
  <si>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</si>
  <si>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</si>
  <si>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</si>
  <si>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</si>
  <si>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</si>
  <si>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</si>
  <si>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</si>
  <si>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</si>
  <si>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</si>
  <si>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</si>
  <si>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</si>
  <si>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</si>
  <si>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</si>
  <si>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</si>
  <si>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</si>
  <si>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</si>
  <si>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</si>
  <si>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</si>
  <si>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</si>
  <si>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</si>
  <si>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</si>
  <si>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</si>
  <si>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</si>
  <si>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</si>
  <si>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</si>
  <si>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</si>
  <si>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</si>
  <si>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</si>
  <si>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</si>
  <si>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</si>
  <si>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</si>
  <si>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</si>
  <si>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</si>
  <si>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</si>
  <si>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</si>
  <si>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</si>
  <si>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</si>
  <si>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</si>
  <si>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</si>
  <si>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</si>
  <si>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</si>
  <si>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</si>
  <si>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</si>
  <si>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</si>
  <si>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</si>
  <si>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</si>
  <si>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</si>
  <si>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</si>
  <si>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</si>
  <si>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</si>
  <si>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</si>
  <si>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</si>
  <si>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</si>
  <si>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</si>
  <si>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</si>
  <si>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</si>
  <si>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</si>
  <si>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</si>
  <si>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</si>
  <si>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</si>
  <si>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</si>
  <si>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</si>
  <si>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</si>
  <si>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</si>
  <si>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</si>
  <si>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</si>
  <si>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</si>
  <si>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</si>
  <si>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</si>
  <si>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</si>
  <si>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</si>
  <si>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</si>
  <si>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</si>
  <si>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</si>
  <si>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</si>
  <si>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</si>
  <si>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</si>
  <si>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</si>
  <si>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</si>
  <si>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</si>
  <si>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</si>
  <si>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</si>
  <si>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</si>
  <si>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</si>
  <si>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</si>
  <si>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</si>
  <si>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</si>
  <si>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</si>
  <si>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</si>
  <si>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</si>
  <si>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</si>
  <si>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</si>
  <si>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</si>
  <si>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</si>
  <si>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</si>
  <si>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</si>
  <si>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</si>
  <si>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</si>
  <si>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</si>
  <si>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</si>
  <si>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</si>
  <si>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</si>
  <si>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</si>
  <si>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</si>
  <si>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</si>
  <si>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</si>
  <si>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</si>
  <si>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</si>
  <si>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</si>
  <si>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</si>
  <si>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</si>
  <si>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</si>
  <si>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</si>
  <si>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</si>
  <si>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</si>
  <si>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</si>
  <si>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</si>
  <si>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</si>
  <si>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</si>
  <si>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</si>
  <si>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</si>
  <si>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</si>
  <si>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</si>
  <si>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</si>
  <si>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</si>
  <si>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</si>
  <si>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</si>
  <si>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</si>
  <si>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</si>
  <si>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</si>
  <si>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</si>
  <si>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</si>
  <si>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</si>
  <si>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</si>
  <si>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</si>
  <si>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</si>
  <si>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</si>
  <si>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</si>
  <si>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</si>
  <si>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</si>
  <si>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</si>
  <si>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</si>
  <si>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</si>
  <si>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</si>
  <si>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</si>
  <si>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</si>
  <si>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</si>
  <si>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</si>
  <si>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</si>
  <si>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</si>
  <si>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</si>
  <si>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</si>
  <si>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</si>
  <si>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</si>
  <si>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</si>
  <si>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</si>
  <si>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</si>
  <si>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</si>
  <si>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</si>
  <si>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</si>
  <si>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</si>
  <si>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</si>
  <si>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</si>
  <si>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</si>
  <si>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</si>
  <si>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</si>
  <si>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</si>
  <si>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</si>
  <si>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</si>
  <si>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</si>
  <si>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</si>
  <si>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</si>
  <si>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</si>
  <si>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</si>
  <si>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</si>
  <si>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</si>
  <si>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</si>
  <si>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</si>
  <si>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</si>
  <si>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</si>
  <si>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</si>
  <si>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</si>
  <si>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</si>
  <si>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</si>
  <si>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</si>
  <si>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</si>
  <si>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</si>
  <si>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</si>
  <si>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</si>
  <si>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</si>
  <si>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</si>
  <si>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</si>
  <si>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</si>
  <si>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</si>
  <si>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</si>
  <si>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</si>
  <si>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</si>
  <si>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</si>
  <si>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</si>
  <si>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</si>
  <si>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</si>
  <si>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</si>
  <si>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</si>
  <si>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</si>
  <si>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</si>
  <si>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</si>
  <si>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</si>
  <si>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</si>
  <si>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</si>
  <si>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</si>
  <si>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</si>
  <si>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</si>
  <si>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</si>
  <si>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</si>
  <si>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</si>
  <si>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</si>
  <si>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</si>
  <si>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</si>
  <si>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</si>
  <si>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</si>
  <si>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</si>
  <si>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</si>
  <si>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</si>
  <si>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</si>
  <si>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</si>
  <si>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</si>
  <si>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</si>
  <si>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</si>
  <si>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</si>
  <si>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</si>
  <si>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</si>
  <si>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</si>
  <si>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</si>
  <si>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</si>
  <si>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</si>
  <si>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</si>
  <si>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</si>
  <si>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</si>
  <si>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</si>
  <si>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</si>
  <si>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</si>
  <si>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</si>
  <si>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</si>
  <si>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</si>
  <si>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</si>
  <si>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</si>
  <si>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</si>
  <si>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</si>
  <si>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</si>
  <si>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</si>
  <si>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</si>
  <si>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</si>
  <si>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</si>
  <si>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</si>
  <si>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</si>
  <si>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</si>
  <si>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</si>
  <si>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</si>
  <si>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</si>
  <si>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</si>
  <si>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</si>
  <si>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</si>
  <si>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</si>
  <si>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</si>
  <si>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</si>
  <si>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</si>
  <si>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</si>
  <si>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</si>
  <si>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</si>
  <si>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</si>
  <si>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</si>
  <si>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</si>
  <si>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</si>
  <si>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</si>
  <si>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</si>
  <si>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</si>
  <si>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</si>
  <si>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</si>
  <si>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</si>
  <si>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</si>
  <si>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</si>
  <si>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</si>
  <si>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</si>
  <si>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</si>
  <si>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</si>
  <si>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</si>
  <si>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</si>
  <si>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</si>
  <si>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</si>
  <si>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</si>
  <si>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</si>
  <si>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</si>
  <si>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</si>
  <si>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</si>
  <si>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</si>
  <si>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</si>
  <si>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</si>
  <si>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</si>
  <si>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</si>
  <si>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</si>
  <si>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</si>
  <si>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</si>
  <si>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</si>
  <si>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</si>
  <si>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</si>
  <si>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</si>
  <si>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</si>
  <si>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</si>
  <si>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</si>
  <si>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</si>
  <si>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</si>
  <si>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</si>
  <si>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</si>
  <si>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</si>
  <si>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</si>
  <si>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</si>
  <si>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</si>
  <si>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</si>
  <si>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</si>
  <si>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</si>
  <si>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</si>
  <si>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</si>
  <si>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</si>
  <si>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</si>
  <si>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</si>
  <si>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</si>
  <si>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</si>
  <si>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</si>
  <si>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</si>
  <si>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</si>
  <si>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</si>
  <si>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</si>
  <si>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</si>
  <si>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</si>
  <si>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</si>
  <si>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</si>
  <si>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</si>
  <si>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</si>
  <si>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</si>
  <si>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</si>
  <si>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</si>
  <si>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</si>
  <si>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</si>
  <si>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</si>
  <si>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</si>
  <si>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</si>
  <si>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</si>
  <si>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</si>
  <si>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</si>
  <si>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</si>
  <si>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</si>
  <si>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</si>
  <si>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</si>
  <si>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</si>
  <si>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</si>
  <si>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</si>
  <si>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</si>
  <si>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</si>
  <si>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</si>
  <si>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</si>
  <si>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</si>
  <si>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</si>
  <si>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</si>
  <si>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</si>
  <si>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</si>
  <si>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</si>
  <si>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</si>
  <si>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</si>
  <si>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</si>
  <si>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</si>
  <si>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</si>
  <si>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</si>
  <si>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</si>
  <si>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</si>
  <si>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</si>
  <si>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ValueShop</t>
  </si>
  <si>
    <t>CityStore</t>
  </si>
  <si>
    <t>QuickBuy</t>
  </si>
  <si>
    <t>MegaMart</t>
  </si>
  <si>
    <t>Trendz</t>
  </si>
  <si>
    <t>Bangalore</t>
  </si>
  <si>
    <t>Delhi</t>
  </si>
  <si>
    <t>Kolkata</t>
  </si>
  <si>
    <t>Chennai</t>
  </si>
  <si>
    <t>Hyderabad</t>
  </si>
  <si>
    <t>Pune</t>
  </si>
  <si>
    <t>Mumbai</t>
  </si>
  <si>
    <t>Electronics</t>
  </si>
  <si>
    <t>Clothing</t>
  </si>
  <si>
    <t>Books</t>
  </si>
  <si>
    <t>Home &amp; Kitchen</t>
  </si>
  <si>
    <t>Toys</t>
  </si>
  <si>
    <t>Groceries</t>
  </si>
  <si>
    <t>date</t>
  </si>
  <si>
    <t>total sales</t>
  </si>
  <si>
    <t>minimum value</t>
  </si>
  <si>
    <t>maximum value</t>
  </si>
  <si>
    <t>average</t>
  </si>
  <si>
    <t>round</t>
  </si>
  <si>
    <t>Column1</t>
  </si>
  <si>
    <t>store location</t>
  </si>
  <si>
    <t>length</t>
  </si>
  <si>
    <t>Column2</t>
  </si>
  <si>
    <t>lower</t>
  </si>
  <si>
    <t>upper</t>
  </si>
  <si>
    <t>proper</t>
  </si>
  <si>
    <t>sqrt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</si>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</sst>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14"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B9039-D932-4BBC-95E3-9C7B0242E3DC}" name="Table1" displayName="Table1" ref="A1:W502" totalsRowCount="1" headerRowDxfId="13" headerRowBorderDxfId="12" tableBorderDxfId="11">
  <autoFilter ref="A1:W501" xr:uid="{D22B9039-D932-4BBC-95E3-9C7B0242E3DC}"/>
  <tableColumns count="23">
    <tableColumn id="1" xr3:uid="{C24BD1ED-1A84-401A-A89E-D6F4A0AE2D10}" name="Order_ID"/>
    <tableColumn id="14" xr3:uid="{492A97CD-939C-44ED-A094-A1A396DC8468}" name="Column2" dataDxfId="10">
      <calculatedColumnFormula>MID(Table1[[#This Row],[Order_ID]],2,5)</calculatedColumnFormula>
    </tableColumn>
    <tableColumn id="2" xr3:uid="{AF9FDD0A-9273-4C36-93E7-07687D0BCFC5}" name="Order_Date" dataDxfId="9" totalsRowDxfId="4"/>
    <tableColumn id="3" xr3:uid="{C88C170E-6EDA-4639-B7A3-4D5CF718B6FA}" name="Store"/>
    <tableColumn id="4" xr3:uid="{E9734EEB-3097-4249-AA57-E3217391C44A}" name="City"/>
    <tableColumn id="20" xr3:uid="{E37437E1-4B99-47C3-8774-809A5B00912A}" name="lower">
      <calculatedColumnFormula>LOWER(Table1[[#This Row],[City]])</calculatedColumnFormula>
    </tableColumn>
    <tableColumn id="22" xr3:uid="{4E21E6C2-3CCE-4732-8880-604B2727BF87}" name="upper" dataDxfId="8">
      <calculatedColumnFormula>UPPER(Table1[[#This Row],[City]])</calculatedColumnFormula>
    </tableColumn>
    <tableColumn id="23" xr3:uid="{E27A7094-A8A7-47EC-B1DF-70CC9E483290}" name="proper" dataDxfId="7">
      <calculatedColumnFormula>PROPER(Table1[[#This Row],[City]])</calculatedColumnFormula>
    </tableColumn>
    <tableColumn id="10" xr3:uid="{D0AE0A6C-BE48-463C-8DE1-2A455BB10592}" name="store location">
      <calculatedColumnFormula>CONCATENATE(D2," _ ",E2)</calculatedColumnFormula>
    </tableColumn>
    <tableColumn id="5" xr3:uid="{803D0D12-00BD-4FC7-8789-B6C14E3DB6E7}" name="Category"/>
    <tableColumn id="11" xr3:uid="{D072C580-DED0-49C7-883E-499C8F22429A}" name="length" dataDxfId="6">
      <calculatedColumnFormula>LEN(J2)</calculatedColumnFormula>
    </tableColumn>
    <tableColumn id="13" xr3:uid="{889CC56C-0619-426C-84F9-706DA9792885}" name="Column1" dataDxfId="5">
      <calculatedColumnFormula>LEFT(Table1[[#This Row],[Category]],3)</calculatedColumnFormula>
    </tableColumn>
    <tableColumn id="6" xr3:uid="{9F99AFCE-857C-4DB6-82AC-9FD114956B6C}" name="Quantity"/>
    <tableColumn id="24" xr3:uid="{F0FA1ED7-5AC1-46B3-B931-D9707A83226C}" name="Column3" dataDxfId="2">
      <calculatedColumnFormula>IF(M2&gt;10,"bulk order","normal order")</calculatedColumnFormula>
    </tableColumn>
    <tableColumn id="21" xr3:uid="{8A2580D7-880E-4716-A62A-88EF1BC5695A}" name="sqrt" dataDxfId="3">
      <calculatedColumnFormula>SQRT(Table1[[#This Row],[Quantity]])</calculatedColumnFormula>
    </tableColumn>
    <tableColumn id="7" xr3:uid="{97176868-0E47-406D-8629-A911AA38B185}" name="Unit_Price" totalsRowLabel="total sales"/>
    <tableColumn id="8" xr3:uid="{74536C79-70DC-448E-B051-69A13F457A0C}" name="Total_Amount" totalsRowFunction="custom">
      <totalsRowFormula>SUM(Q2:Q501)</totalsRowFormula>
    </tableColumn>
    <tableColumn id="12" xr3:uid="{E223B2D2-6640-4A1A-9DD3-ACC58F5F6173}" name="date"/>
    <tableColumn id="15" xr3:uid="{65CF178D-9EB9-4D75-A52D-CF408249D8F1}" name="total sales"/>
    <tableColumn id="16" xr3:uid="{65571957-624E-40F7-840A-9DC9816B76D0}" name="minimum value"/>
    <tableColumn id="17" xr3:uid="{9F0FC35A-8435-4F31-B98D-4467B67D39AD}" name="maximum value"/>
    <tableColumn id="18" xr3:uid="{82209603-7EEA-484F-A0DF-7003CE01B336}" name="average"/>
    <tableColumn id="19" xr3:uid="{DB8D5115-F00A-4EA1-8114-36ACB84E0734}" name="rou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2"/>
  <sheetViews>
    <sheetView tabSelected="1" topLeftCell="J1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2" width="12.7109375" customWidth="1"/>
    <col min="3" max="3" width="15.5703125" customWidth="1"/>
    <col min="4" max="8" width="11.5703125" customWidth="1"/>
    <col min="9" max="9" width="21.140625" customWidth="1"/>
    <col min="10" max="14" width="12.42578125" customWidth="1"/>
    <col min="15" max="18" width="14.42578125" customWidth="1"/>
    <col min="19" max="19" width="17.42578125" customWidth="1"/>
    <col min="20" max="20" width="17.85546875" customWidth="1"/>
    <col min="21" max="21" width="15.5703125" bestFit="1" customWidth="1"/>
    <col min="22" max="22" width="16.42578125" customWidth="1"/>
    <col min="23" max="23" width="21.85546875" customWidth="1"/>
    <col min="24" max="24" width="14.7109375" customWidth="1"/>
  </cols>
  <sheetData>
    <row r="1" spans="1:23" x14ac:dyDescent="0.25">
      <c r="A1" s="2" t="s">
        <v>0</v>
      </c>
      <c r="B1" s="2" t="s">
        <v>535</v>
      </c>
      <c r="C1" s="2" t="s">
        <v>1</v>
      </c>
      <c r="D1" s="2" t="s">
        <v>2</v>
      </c>
      <c r="E1" s="2" t="s">
        <v>3</v>
      </c>
      <c r="F1" s="2" t="s">
        <v>536</v>
      </c>
      <c r="G1" s="2" t="s">
        <v>537</v>
      </c>
      <c r="H1" s="2" t="s">
        <v>538</v>
      </c>
      <c r="I1" s="2" t="s">
        <v>533</v>
      </c>
      <c r="J1" s="2" t="s">
        <v>4</v>
      </c>
      <c r="K1" s="2" t="s">
        <v>534</v>
      </c>
      <c r="L1" s="2" t="s">
        <v>532</v>
      </c>
      <c r="M1" s="2" t="s">
        <v>5</v>
      </c>
      <c r="N1" s="2" t="s">
        <v>540</v>
      </c>
      <c r="O1" s="2" t="s">
        <v>539</v>
      </c>
      <c r="P1" s="2" t="s">
        <v>6</v>
      </c>
      <c r="Q1" s="2" t="s">
        <v>7</v>
      </c>
      <c r="R1" s="2" t="s">
        <v>526</v>
      </c>
      <c r="S1" s="2" t="s">
        <v>527</v>
      </c>
      <c r="T1" s="2" t="s">
        <v>528</v>
      </c>
      <c r="U1" s="2" t="s">
        <v>529</v>
      </c>
      <c r="V1" s="2" t="s">
        <v>530</v>
      </c>
      <c r="W1" s="2" t="s">
        <v>531</v>
      </c>
    </row>
    <row r="2" spans="1:23" x14ac:dyDescent="0.25">
      <c r="A2" t="s">
        <v>8</v>
      </c>
      <c r="B2" t="str">
        <f>MID(Table1[[#This Row],[Order_ID]],2,5)</f>
        <v>RD100</v>
      </c>
      <c r="C2" s="1">
        <v>45619</v>
      </c>
      <c r="D2" t="s">
        <v>508</v>
      </c>
      <c r="E2" t="s">
        <v>513</v>
      </c>
      <c r="F2" t="str">
        <f>LOWER(Table1[[#This Row],[City]])</f>
        <v>bangalore</v>
      </c>
      <c r="G2" t="str">
        <f>UPPER(Table1[[#This Row],[City]])</f>
        <v>BANGALORE</v>
      </c>
      <c r="H2" t="str">
        <f>PROPER(Table1[[#This Row],[City]])</f>
        <v>Bangalore</v>
      </c>
      <c r="I2" t="str">
        <f t="shared" ref="I2:I65" si="0">CONCATENATE(D2," _ ",E2)</f>
        <v>ValueShop _ Bangalore</v>
      </c>
      <c r="J2" t="s">
        <v>520</v>
      </c>
      <c r="K2">
        <f t="shared" ref="K2:K65" si="1">LEN(J2)</f>
        <v>11</v>
      </c>
      <c r="L2" t="str">
        <f>LEFT(Table1[[#This Row],[Category]],3)</f>
        <v>Ele</v>
      </c>
      <c r="M2">
        <v>10</v>
      </c>
      <c r="N2" s="4" t="str">
        <f>IF(M2&gt;10,"bulk order","normal order")</f>
        <v>normal order</v>
      </c>
      <c r="O2">
        <f>SQRT(Table1[[#This Row],[Quantity]])</f>
        <v>3.1622776601683795</v>
      </c>
      <c r="P2">
        <v>1061.43</v>
      </c>
      <c r="Q2">
        <v>10614.3</v>
      </c>
    </row>
    <row r="3" spans="1:23" x14ac:dyDescent="0.25">
      <c r="A3" t="s">
        <v>9</v>
      </c>
      <c r="B3" t="str">
        <f>MID(Table1[[#This Row],[Order_ID]],2,5)</f>
        <v>RD100</v>
      </c>
      <c r="C3" s="1">
        <v>45349</v>
      </c>
      <c r="D3" t="s">
        <v>509</v>
      </c>
      <c r="E3" t="s">
        <v>513</v>
      </c>
      <c r="F3" t="str">
        <f>LOWER(Table1[[#This Row],[City]])</f>
        <v>bangalore</v>
      </c>
      <c r="G3" t="str">
        <f>UPPER(Table1[[#This Row],[City]])</f>
        <v>BANGALORE</v>
      </c>
      <c r="H3" t="str">
        <f>PROPER(Table1[[#This Row],[City]])</f>
        <v>Bangalore</v>
      </c>
      <c r="I3" t="str">
        <f t="shared" si="0"/>
        <v>CityStore _ Bangalore</v>
      </c>
      <c r="J3" t="s">
        <v>521</v>
      </c>
      <c r="K3">
        <f t="shared" si="1"/>
        <v>8</v>
      </c>
      <c r="L3" t="str">
        <f>LEFT(Table1[[#This Row],[Category]],3)</f>
        <v>Clo</v>
      </c>
      <c r="M3">
        <v>3</v>
      </c>
      <c r="N3" s="4" t="str">
        <f t="shared" ref="N3:N66" si="2">IF(M3&gt;10,"bulk order","normal order")</f>
        <v>normal order</v>
      </c>
      <c r="O3">
        <f>SQRT(Table1[[#This Row],[Quantity]])</f>
        <v>1.7320508075688772</v>
      </c>
      <c r="P3">
        <v>1143.73</v>
      </c>
      <c r="Q3">
        <v>3431.19</v>
      </c>
    </row>
    <row r="4" spans="1:23" x14ac:dyDescent="0.25">
      <c r="A4" t="s">
        <v>10</v>
      </c>
      <c r="B4" t="str">
        <f>MID(Table1[[#This Row],[Order_ID]],2,5)</f>
        <v>RD100</v>
      </c>
      <c r="C4" s="1">
        <v>45304</v>
      </c>
      <c r="D4" t="s">
        <v>510</v>
      </c>
      <c r="E4" t="s">
        <v>514</v>
      </c>
      <c r="F4" t="str">
        <f>LOWER(Table1[[#This Row],[City]])</f>
        <v>delhi</v>
      </c>
      <c r="G4" t="str">
        <f>UPPER(Table1[[#This Row],[City]])</f>
        <v>DELHI</v>
      </c>
      <c r="H4" t="str">
        <f>PROPER(Table1[[#This Row],[City]])</f>
        <v>Delhi</v>
      </c>
      <c r="I4" t="str">
        <f t="shared" si="0"/>
        <v>QuickBuy _ Delhi</v>
      </c>
      <c r="J4" t="s">
        <v>522</v>
      </c>
      <c r="K4">
        <f t="shared" si="1"/>
        <v>5</v>
      </c>
      <c r="L4" t="str">
        <f>LEFT(Table1[[#This Row],[Category]],3)</f>
        <v>Boo</v>
      </c>
      <c r="M4">
        <v>6</v>
      </c>
      <c r="N4" s="4" t="str">
        <f t="shared" si="2"/>
        <v>normal order</v>
      </c>
      <c r="O4">
        <f>SQRT(Table1[[#This Row],[Quantity]])</f>
        <v>2.4494897427831779</v>
      </c>
      <c r="P4">
        <v>1996.34</v>
      </c>
      <c r="Q4">
        <v>11978.04</v>
      </c>
    </row>
    <row r="5" spans="1:23" x14ac:dyDescent="0.25">
      <c r="A5" t="s">
        <v>11</v>
      </c>
      <c r="B5" t="str">
        <f>MID(Table1[[#This Row],[Order_ID]],2,5)</f>
        <v>RD100</v>
      </c>
      <c r="C5" s="1">
        <v>45432</v>
      </c>
      <c r="D5" t="s">
        <v>508</v>
      </c>
      <c r="E5" t="s">
        <v>515</v>
      </c>
      <c r="F5" t="str">
        <f>LOWER(Table1[[#This Row],[City]])</f>
        <v>kolkata</v>
      </c>
      <c r="G5" t="str">
        <f>UPPER(Table1[[#This Row],[City]])</f>
        <v>KOLKATA</v>
      </c>
      <c r="H5" t="str">
        <f>PROPER(Table1[[#This Row],[City]])</f>
        <v>Kolkata</v>
      </c>
      <c r="I5" t="str">
        <f t="shared" si="0"/>
        <v>ValueShop _ Kolkata</v>
      </c>
      <c r="J5" t="s">
        <v>523</v>
      </c>
      <c r="K5">
        <f t="shared" si="1"/>
        <v>14</v>
      </c>
      <c r="L5" t="str">
        <f>LEFT(Table1[[#This Row],[Category]],3)</f>
        <v>Hom</v>
      </c>
      <c r="M5">
        <v>9</v>
      </c>
      <c r="N5" s="4" t="str">
        <f t="shared" si="2"/>
        <v>normal order</v>
      </c>
      <c r="O5">
        <f>SQRT(Table1[[#This Row],[Quantity]])</f>
        <v>3</v>
      </c>
      <c r="P5">
        <v>982.82</v>
      </c>
      <c r="Q5">
        <v>8845.380000000001</v>
      </c>
      <c r="R5" s="3">
        <f ca="1">TODAY()</f>
        <v>45973</v>
      </c>
      <c r="S5">
        <f>SUM(Q2:Q501)</f>
        <v>5685144.3499999978</v>
      </c>
      <c r="T5">
        <f>MIN(Q2:Q501)</f>
        <v>74.06</v>
      </c>
      <c r="U5">
        <f>MAX(Q2:Q501)</f>
        <v>39459.4</v>
      </c>
      <c r="V5">
        <f>AVERAGE(Q2:Q501)</f>
        <v>11370.288699999996</v>
      </c>
      <c r="W5">
        <f>ROUND(V5,0)</f>
        <v>11370</v>
      </c>
    </row>
    <row r="6" spans="1:23" x14ac:dyDescent="0.25">
      <c r="A6" t="s">
        <v>12</v>
      </c>
      <c r="B6" t="str">
        <f>MID(Table1[[#This Row],[Order_ID]],2,5)</f>
        <v>RD100</v>
      </c>
      <c r="C6" s="1">
        <v>45417</v>
      </c>
      <c r="D6" t="s">
        <v>511</v>
      </c>
      <c r="E6" t="s">
        <v>516</v>
      </c>
      <c r="F6" t="str">
        <f>LOWER(Table1[[#This Row],[City]])</f>
        <v>chennai</v>
      </c>
      <c r="G6" t="str">
        <f>UPPER(Table1[[#This Row],[City]])</f>
        <v>CHENNAI</v>
      </c>
      <c r="H6" t="str">
        <f>PROPER(Table1[[#This Row],[City]])</f>
        <v>Chennai</v>
      </c>
      <c r="I6" t="str">
        <f t="shared" si="0"/>
        <v>MegaMart _ Chennai</v>
      </c>
      <c r="J6" t="s">
        <v>524</v>
      </c>
      <c r="K6">
        <f t="shared" si="1"/>
        <v>4</v>
      </c>
      <c r="L6" t="str">
        <f>LEFT(Table1[[#This Row],[Category]],3)</f>
        <v>Toy</v>
      </c>
      <c r="M6">
        <v>15</v>
      </c>
      <c r="N6" s="4" t="str">
        <f t="shared" si="2"/>
        <v>bulk order</v>
      </c>
      <c r="O6">
        <f>SQRT(Table1[[#This Row],[Quantity]])</f>
        <v>3.872983346207417</v>
      </c>
      <c r="P6">
        <v>784.81</v>
      </c>
      <c r="Q6">
        <v>11772.15</v>
      </c>
      <c r="R6" s="3"/>
    </row>
    <row r="7" spans="1:23" x14ac:dyDescent="0.25">
      <c r="A7" t="s">
        <v>13</v>
      </c>
      <c r="B7" t="str">
        <f>MID(Table1[[#This Row],[Order_ID]],2,5)</f>
        <v>RD100</v>
      </c>
      <c r="C7" s="1">
        <v>45406</v>
      </c>
      <c r="D7" t="s">
        <v>511</v>
      </c>
      <c r="E7" t="s">
        <v>515</v>
      </c>
      <c r="F7" t="str">
        <f>LOWER(Table1[[#This Row],[City]])</f>
        <v>kolkata</v>
      </c>
      <c r="G7" t="str">
        <f>UPPER(Table1[[#This Row],[City]])</f>
        <v>KOLKATA</v>
      </c>
      <c r="H7" t="str">
        <f>PROPER(Table1[[#This Row],[City]])</f>
        <v>Kolkata</v>
      </c>
      <c r="I7" t="str">
        <f t="shared" si="0"/>
        <v>MegaMart _ Kolkata</v>
      </c>
      <c r="J7" t="s">
        <v>520</v>
      </c>
      <c r="K7">
        <f t="shared" si="1"/>
        <v>11</v>
      </c>
      <c r="L7" t="str">
        <f>LEFT(Table1[[#This Row],[Category]],3)</f>
        <v>Ele</v>
      </c>
      <c r="M7">
        <v>17</v>
      </c>
      <c r="N7" s="4" t="str">
        <f t="shared" si="2"/>
        <v>bulk order</v>
      </c>
      <c r="O7">
        <f>SQRT(Table1[[#This Row],[Quantity]])</f>
        <v>4.1231056256176606</v>
      </c>
      <c r="P7">
        <v>1915.54</v>
      </c>
      <c r="Q7">
        <v>32564.18</v>
      </c>
    </row>
    <row r="8" spans="1:23" x14ac:dyDescent="0.25">
      <c r="A8" t="s">
        <v>14</v>
      </c>
      <c r="B8" t="str">
        <f>MID(Table1[[#This Row],[Order_ID]],2,5)</f>
        <v>RD100</v>
      </c>
      <c r="C8" s="1">
        <v>45363</v>
      </c>
      <c r="D8" t="s">
        <v>510</v>
      </c>
      <c r="E8" t="s">
        <v>517</v>
      </c>
      <c r="F8" t="str">
        <f>LOWER(Table1[[#This Row],[City]])</f>
        <v>hyderabad</v>
      </c>
      <c r="G8" t="str">
        <f>UPPER(Table1[[#This Row],[City]])</f>
        <v>HYDERABAD</v>
      </c>
      <c r="H8" t="str">
        <f>PROPER(Table1[[#This Row],[City]])</f>
        <v>Hyderabad</v>
      </c>
      <c r="I8" t="str">
        <f t="shared" si="0"/>
        <v>QuickBuy _ Hyderabad</v>
      </c>
      <c r="J8" t="s">
        <v>522</v>
      </c>
      <c r="K8">
        <f t="shared" si="1"/>
        <v>5</v>
      </c>
      <c r="L8" t="str">
        <f>LEFT(Table1[[#This Row],[Category]],3)</f>
        <v>Boo</v>
      </c>
      <c r="M8">
        <v>5</v>
      </c>
      <c r="N8" s="4" t="str">
        <f t="shared" si="2"/>
        <v>normal order</v>
      </c>
      <c r="O8">
        <f>SQRT(Table1[[#This Row],[Quantity]])</f>
        <v>2.2360679774997898</v>
      </c>
      <c r="P8">
        <v>946.34</v>
      </c>
      <c r="Q8">
        <v>4731.7</v>
      </c>
    </row>
    <row r="9" spans="1:23" x14ac:dyDescent="0.25">
      <c r="A9" t="s">
        <v>15</v>
      </c>
      <c r="B9" t="str">
        <f>MID(Table1[[#This Row],[Order_ID]],2,5)</f>
        <v>RD100</v>
      </c>
      <c r="C9" s="1">
        <v>45344</v>
      </c>
      <c r="D9" t="s">
        <v>512</v>
      </c>
      <c r="E9" t="s">
        <v>515</v>
      </c>
      <c r="F9" t="str">
        <f>LOWER(Table1[[#This Row],[City]])</f>
        <v>kolkata</v>
      </c>
      <c r="G9" t="str">
        <f>UPPER(Table1[[#This Row],[City]])</f>
        <v>KOLKATA</v>
      </c>
      <c r="H9" t="str">
        <f>PROPER(Table1[[#This Row],[City]])</f>
        <v>Kolkata</v>
      </c>
      <c r="I9" t="str">
        <f t="shared" si="0"/>
        <v>Trendz _ Kolkata</v>
      </c>
      <c r="J9" t="s">
        <v>520</v>
      </c>
      <c r="K9">
        <f t="shared" si="1"/>
        <v>11</v>
      </c>
      <c r="L9" t="str">
        <f>LEFT(Table1[[#This Row],[Category]],3)</f>
        <v>Ele</v>
      </c>
      <c r="M9">
        <v>14</v>
      </c>
      <c r="N9" s="4" t="str">
        <f t="shared" si="2"/>
        <v>bulk order</v>
      </c>
      <c r="O9">
        <f>SQRT(Table1[[#This Row],[Quantity]])</f>
        <v>3.7416573867739413</v>
      </c>
      <c r="P9">
        <v>1089.5999999999999</v>
      </c>
      <c r="Q9">
        <v>15254.4</v>
      </c>
    </row>
    <row r="10" spans="1:23" x14ac:dyDescent="0.25">
      <c r="A10" t="s">
        <v>16</v>
      </c>
      <c r="B10" t="str">
        <f>MID(Table1[[#This Row],[Order_ID]],2,5)</f>
        <v>RD100</v>
      </c>
      <c r="C10" s="1">
        <v>45638</v>
      </c>
      <c r="D10" t="s">
        <v>508</v>
      </c>
      <c r="E10" t="s">
        <v>514</v>
      </c>
      <c r="F10" t="str">
        <f>LOWER(Table1[[#This Row],[City]])</f>
        <v>delhi</v>
      </c>
      <c r="G10" t="str">
        <f>UPPER(Table1[[#This Row],[City]])</f>
        <v>DELHI</v>
      </c>
      <c r="H10" t="str">
        <f>PROPER(Table1[[#This Row],[City]])</f>
        <v>Delhi</v>
      </c>
      <c r="I10" t="str">
        <f t="shared" si="0"/>
        <v>ValueShop _ Delhi</v>
      </c>
      <c r="J10" t="s">
        <v>523</v>
      </c>
      <c r="K10">
        <f t="shared" si="1"/>
        <v>14</v>
      </c>
      <c r="L10" t="str">
        <f>LEFT(Table1[[#This Row],[Category]],3)</f>
        <v>Hom</v>
      </c>
      <c r="M10">
        <v>3</v>
      </c>
      <c r="N10" s="4" t="str">
        <f t="shared" si="2"/>
        <v>normal order</v>
      </c>
      <c r="O10">
        <f>SQRT(Table1[[#This Row],[Quantity]])</f>
        <v>1.7320508075688772</v>
      </c>
      <c r="P10">
        <v>1115.23</v>
      </c>
      <c r="Q10">
        <v>3345.69</v>
      </c>
    </row>
    <row r="11" spans="1:23" x14ac:dyDescent="0.25">
      <c r="A11" t="s">
        <v>17</v>
      </c>
      <c r="B11" t="str">
        <f>MID(Table1[[#This Row],[Order_ID]],2,5)</f>
        <v>RD100</v>
      </c>
      <c r="C11" s="1">
        <v>45571</v>
      </c>
      <c r="D11" t="s">
        <v>508</v>
      </c>
      <c r="E11" t="s">
        <v>518</v>
      </c>
      <c r="F11" t="str">
        <f>LOWER(Table1[[#This Row],[City]])</f>
        <v>pune</v>
      </c>
      <c r="G11" t="str">
        <f>UPPER(Table1[[#This Row],[City]])</f>
        <v>PUNE</v>
      </c>
      <c r="H11" t="str">
        <f>PROPER(Table1[[#This Row],[City]])</f>
        <v>Pune</v>
      </c>
      <c r="I11" t="str">
        <f t="shared" si="0"/>
        <v>ValueShop _ Pune</v>
      </c>
      <c r="J11" t="s">
        <v>523</v>
      </c>
      <c r="K11">
        <f t="shared" si="1"/>
        <v>14</v>
      </c>
      <c r="L11" t="str">
        <f>LEFT(Table1[[#This Row],[Category]],3)</f>
        <v>Hom</v>
      </c>
      <c r="M11">
        <v>8</v>
      </c>
      <c r="N11" s="4" t="str">
        <f t="shared" si="2"/>
        <v>normal order</v>
      </c>
      <c r="O11">
        <f>SQRT(Table1[[#This Row],[Quantity]])</f>
        <v>2.8284271247461903</v>
      </c>
      <c r="P11">
        <v>1367.94</v>
      </c>
      <c r="Q11">
        <v>10943.52</v>
      </c>
    </row>
    <row r="12" spans="1:23" x14ac:dyDescent="0.25">
      <c r="A12" t="s">
        <v>18</v>
      </c>
      <c r="B12" t="str">
        <f>MID(Table1[[#This Row],[Order_ID]],2,5)</f>
        <v>RD101</v>
      </c>
      <c r="C12" s="1">
        <v>45336</v>
      </c>
      <c r="D12" t="s">
        <v>512</v>
      </c>
      <c r="E12" t="s">
        <v>515</v>
      </c>
      <c r="F12" t="str">
        <f>LOWER(Table1[[#This Row],[City]])</f>
        <v>kolkata</v>
      </c>
      <c r="G12" t="str">
        <f>UPPER(Table1[[#This Row],[City]])</f>
        <v>KOLKATA</v>
      </c>
      <c r="H12" t="str">
        <f>PROPER(Table1[[#This Row],[City]])</f>
        <v>Kolkata</v>
      </c>
      <c r="I12" t="str">
        <f t="shared" si="0"/>
        <v>Trendz _ Kolkata</v>
      </c>
      <c r="J12" t="s">
        <v>525</v>
      </c>
      <c r="K12">
        <f t="shared" si="1"/>
        <v>9</v>
      </c>
      <c r="L12" t="str">
        <f>LEFT(Table1[[#This Row],[Category]],3)</f>
        <v>Gro</v>
      </c>
      <c r="M12">
        <v>15</v>
      </c>
      <c r="N12" s="4" t="str">
        <f t="shared" si="2"/>
        <v>bulk order</v>
      </c>
      <c r="O12">
        <f>SQRT(Table1[[#This Row],[Quantity]])</f>
        <v>3.872983346207417</v>
      </c>
      <c r="P12">
        <v>1741.93</v>
      </c>
      <c r="Q12">
        <v>26128.95</v>
      </c>
    </row>
    <row r="13" spans="1:23" x14ac:dyDescent="0.25">
      <c r="A13" t="s">
        <v>19</v>
      </c>
      <c r="B13" t="str">
        <f>MID(Table1[[#This Row],[Order_ID]],2,5)</f>
        <v>RD101</v>
      </c>
      <c r="C13" s="1">
        <v>45594</v>
      </c>
      <c r="D13" t="s">
        <v>510</v>
      </c>
      <c r="E13" t="s">
        <v>517</v>
      </c>
      <c r="F13" t="str">
        <f>LOWER(Table1[[#This Row],[City]])</f>
        <v>hyderabad</v>
      </c>
      <c r="G13" t="str">
        <f>UPPER(Table1[[#This Row],[City]])</f>
        <v>HYDERABAD</v>
      </c>
      <c r="H13" t="str">
        <f>PROPER(Table1[[#This Row],[City]])</f>
        <v>Hyderabad</v>
      </c>
      <c r="I13" t="str">
        <f t="shared" si="0"/>
        <v>QuickBuy _ Hyderabad</v>
      </c>
      <c r="J13" t="s">
        <v>524</v>
      </c>
      <c r="K13">
        <f t="shared" si="1"/>
        <v>4</v>
      </c>
      <c r="L13" t="str">
        <f>LEFT(Table1[[#This Row],[Category]],3)</f>
        <v>Toy</v>
      </c>
      <c r="M13">
        <v>12</v>
      </c>
      <c r="N13" s="4" t="str">
        <f t="shared" si="2"/>
        <v>bulk order</v>
      </c>
      <c r="O13">
        <f>SQRT(Table1[[#This Row],[Quantity]])</f>
        <v>3.4641016151377544</v>
      </c>
      <c r="P13">
        <v>1377.45</v>
      </c>
      <c r="Q13">
        <v>16529.400000000001</v>
      </c>
    </row>
    <row r="14" spans="1:23" x14ac:dyDescent="0.25">
      <c r="A14" t="s">
        <v>20</v>
      </c>
      <c r="B14" t="str">
        <f>MID(Table1[[#This Row],[Order_ID]],2,5)</f>
        <v>RD101</v>
      </c>
      <c r="C14" s="1">
        <v>45508</v>
      </c>
      <c r="D14" t="s">
        <v>510</v>
      </c>
      <c r="E14" t="s">
        <v>516</v>
      </c>
      <c r="F14" t="str">
        <f>LOWER(Table1[[#This Row],[City]])</f>
        <v>chennai</v>
      </c>
      <c r="G14" t="str">
        <f>UPPER(Table1[[#This Row],[City]])</f>
        <v>CHENNAI</v>
      </c>
      <c r="H14" t="str">
        <f>PROPER(Table1[[#This Row],[City]])</f>
        <v>Chennai</v>
      </c>
      <c r="I14" t="str">
        <f t="shared" si="0"/>
        <v>QuickBuy _ Chennai</v>
      </c>
      <c r="J14" t="s">
        <v>524</v>
      </c>
      <c r="K14">
        <f t="shared" si="1"/>
        <v>4</v>
      </c>
      <c r="L14" t="str">
        <f>LEFT(Table1[[#This Row],[Category]],3)</f>
        <v>Toy</v>
      </c>
      <c r="M14">
        <v>1</v>
      </c>
      <c r="N14" s="4" t="str">
        <f t="shared" si="2"/>
        <v>normal order</v>
      </c>
      <c r="O14">
        <f>SQRT(Table1[[#This Row],[Quantity]])</f>
        <v>1</v>
      </c>
      <c r="P14">
        <v>1617.12</v>
      </c>
      <c r="Q14">
        <v>1617.12</v>
      </c>
    </row>
    <row r="15" spans="1:23" x14ac:dyDescent="0.25">
      <c r="A15" t="s">
        <v>21</v>
      </c>
      <c r="B15" t="str">
        <f>MID(Table1[[#This Row],[Order_ID]],2,5)</f>
        <v>RD101</v>
      </c>
      <c r="C15" s="1">
        <v>45308</v>
      </c>
      <c r="D15" t="s">
        <v>511</v>
      </c>
      <c r="E15" t="s">
        <v>516</v>
      </c>
      <c r="F15" t="str">
        <f>LOWER(Table1[[#This Row],[City]])</f>
        <v>chennai</v>
      </c>
      <c r="G15" t="str">
        <f>UPPER(Table1[[#This Row],[City]])</f>
        <v>CHENNAI</v>
      </c>
      <c r="H15" t="str">
        <f>PROPER(Table1[[#This Row],[City]])</f>
        <v>Chennai</v>
      </c>
      <c r="I15" t="str">
        <f t="shared" si="0"/>
        <v>MegaMart _ Chennai</v>
      </c>
      <c r="J15" t="s">
        <v>520</v>
      </c>
      <c r="K15">
        <f t="shared" si="1"/>
        <v>11</v>
      </c>
      <c r="L15" t="str">
        <f>LEFT(Table1[[#This Row],[Category]],3)</f>
        <v>Ele</v>
      </c>
      <c r="M15">
        <v>14</v>
      </c>
      <c r="N15" s="4" t="str">
        <f t="shared" si="2"/>
        <v>bulk order</v>
      </c>
      <c r="O15">
        <f>SQRT(Table1[[#This Row],[Quantity]])</f>
        <v>3.7416573867739413</v>
      </c>
      <c r="P15">
        <v>565.51</v>
      </c>
      <c r="Q15">
        <v>7917.1399999999994</v>
      </c>
    </row>
    <row r="16" spans="1:23" x14ac:dyDescent="0.25">
      <c r="A16" t="s">
        <v>22</v>
      </c>
      <c r="B16" t="str">
        <f>MID(Table1[[#This Row],[Order_ID]],2,5)</f>
        <v>RD101</v>
      </c>
      <c r="C16" s="1">
        <v>45307</v>
      </c>
      <c r="D16" t="s">
        <v>512</v>
      </c>
      <c r="E16" t="s">
        <v>514</v>
      </c>
      <c r="F16" t="str">
        <f>LOWER(Table1[[#This Row],[City]])</f>
        <v>delhi</v>
      </c>
      <c r="G16" t="str">
        <f>UPPER(Table1[[#This Row],[City]])</f>
        <v>DELHI</v>
      </c>
      <c r="H16" t="str">
        <f>PROPER(Table1[[#This Row],[City]])</f>
        <v>Delhi</v>
      </c>
      <c r="I16" t="str">
        <f t="shared" si="0"/>
        <v>Trendz _ Delhi</v>
      </c>
      <c r="J16" t="s">
        <v>523</v>
      </c>
      <c r="K16">
        <f t="shared" si="1"/>
        <v>14</v>
      </c>
      <c r="L16" t="str">
        <f>LEFT(Table1[[#This Row],[Category]],3)</f>
        <v>Hom</v>
      </c>
      <c r="M16">
        <v>2</v>
      </c>
      <c r="N16" s="4" t="str">
        <f t="shared" si="2"/>
        <v>normal order</v>
      </c>
      <c r="O16">
        <f>SQRT(Table1[[#This Row],[Quantity]])</f>
        <v>1.4142135623730951</v>
      </c>
      <c r="P16">
        <v>994.15</v>
      </c>
      <c r="Q16">
        <v>1988.3</v>
      </c>
    </row>
    <row r="17" spans="1:17" x14ac:dyDescent="0.25">
      <c r="A17" t="s">
        <v>23</v>
      </c>
      <c r="B17" t="str">
        <f>MID(Table1[[#This Row],[Order_ID]],2,5)</f>
        <v>RD101</v>
      </c>
      <c r="C17" s="1">
        <v>45339</v>
      </c>
      <c r="D17" t="s">
        <v>510</v>
      </c>
      <c r="E17" t="s">
        <v>519</v>
      </c>
      <c r="F17" t="str">
        <f>LOWER(Table1[[#This Row],[City]])</f>
        <v>mumbai</v>
      </c>
      <c r="G17" t="str">
        <f>UPPER(Table1[[#This Row],[City]])</f>
        <v>MUMBAI</v>
      </c>
      <c r="H17" t="str">
        <f>PROPER(Table1[[#This Row],[City]])</f>
        <v>Mumbai</v>
      </c>
      <c r="I17" t="str">
        <f t="shared" si="0"/>
        <v>QuickBuy _ Mumbai</v>
      </c>
      <c r="J17" t="s">
        <v>524</v>
      </c>
      <c r="K17">
        <f t="shared" si="1"/>
        <v>4</v>
      </c>
      <c r="L17" t="str">
        <f>LEFT(Table1[[#This Row],[Category]],3)</f>
        <v>Toy</v>
      </c>
      <c r="M17">
        <v>13</v>
      </c>
      <c r="N17" s="4" t="str">
        <f t="shared" si="2"/>
        <v>bulk order</v>
      </c>
      <c r="O17">
        <f>SQRT(Table1[[#This Row],[Quantity]])</f>
        <v>3.6055512754639891</v>
      </c>
      <c r="P17">
        <v>1916.81</v>
      </c>
      <c r="Q17">
        <v>24918.53</v>
      </c>
    </row>
    <row r="18" spans="1:17" x14ac:dyDescent="0.25">
      <c r="A18" t="s">
        <v>24</v>
      </c>
      <c r="B18" t="str">
        <f>MID(Table1[[#This Row],[Order_ID]],2,5)</f>
        <v>RD101</v>
      </c>
      <c r="C18" s="1">
        <v>45403</v>
      </c>
      <c r="D18" t="s">
        <v>509</v>
      </c>
      <c r="E18" t="s">
        <v>517</v>
      </c>
      <c r="F18" t="str">
        <f>LOWER(Table1[[#This Row],[City]])</f>
        <v>hyderabad</v>
      </c>
      <c r="G18" t="str">
        <f>UPPER(Table1[[#This Row],[City]])</f>
        <v>HYDERABAD</v>
      </c>
      <c r="H18" t="str">
        <f>PROPER(Table1[[#This Row],[City]])</f>
        <v>Hyderabad</v>
      </c>
      <c r="I18" t="str">
        <f t="shared" si="0"/>
        <v>CityStore _ Hyderabad</v>
      </c>
      <c r="J18" t="s">
        <v>521</v>
      </c>
      <c r="K18">
        <f t="shared" si="1"/>
        <v>8</v>
      </c>
      <c r="L18" t="str">
        <f>LEFT(Table1[[#This Row],[Category]],3)</f>
        <v>Clo</v>
      </c>
      <c r="M18">
        <v>17</v>
      </c>
      <c r="N18" s="4" t="str">
        <f t="shared" si="2"/>
        <v>bulk order</v>
      </c>
      <c r="O18">
        <f>SQRT(Table1[[#This Row],[Quantity]])</f>
        <v>4.1231056256176606</v>
      </c>
      <c r="P18">
        <v>594.05999999999995</v>
      </c>
      <c r="Q18">
        <v>10099.02</v>
      </c>
    </row>
    <row r="19" spans="1:17" x14ac:dyDescent="0.25">
      <c r="A19" t="s">
        <v>25</v>
      </c>
      <c r="B19" t="str">
        <f>MID(Table1[[#This Row],[Order_ID]],2,5)</f>
        <v>RD101</v>
      </c>
      <c r="C19" s="1">
        <v>45411</v>
      </c>
      <c r="D19" t="s">
        <v>508</v>
      </c>
      <c r="E19" t="s">
        <v>513</v>
      </c>
      <c r="F19" t="str">
        <f>LOWER(Table1[[#This Row],[City]])</f>
        <v>bangalore</v>
      </c>
      <c r="G19" t="str">
        <f>UPPER(Table1[[#This Row],[City]])</f>
        <v>BANGALORE</v>
      </c>
      <c r="H19" t="str">
        <f>PROPER(Table1[[#This Row],[City]])</f>
        <v>Bangalore</v>
      </c>
      <c r="I19" t="str">
        <f t="shared" si="0"/>
        <v>ValueShop _ Bangalore</v>
      </c>
      <c r="J19" t="s">
        <v>524</v>
      </c>
      <c r="K19">
        <f t="shared" si="1"/>
        <v>4</v>
      </c>
      <c r="L19" t="str">
        <f>LEFT(Table1[[#This Row],[Category]],3)</f>
        <v>Toy</v>
      </c>
      <c r="M19">
        <v>12</v>
      </c>
      <c r="N19" s="4" t="str">
        <f t="shared" si="2"/>
        <v>bulk order</v>
      </c>
      <c r="O19">
        <f>SQRT(Table1[[#This Row],[Quantity]])</f>
        <v>3.4641016151377544</v>
      </c>
      <c r="P19">
        <v>632.07000000000005</v>
      </c>
      <c r="Q19">
        <v>7584.84</v>
      </c>
    </row>
    <row r="20" spans="1:17" x14ac:dyDescent="0.25">
      <c r="A20" t="s">
        <v>26</v>
      </c>
      <c r="B20" t="str">
        <f>MID(Table1[[#This Row],[Order_ID]],2,5)</f>
        <v>RD101</v>
      </c>
      <c r="C20" s="1">
        <v>45550</v>
      </c>
      <c r="D20" t="s">
        <v>511</v>
      </c>
      <c r="E20" t="s">
        <v>517</v>
      </c>
      <c r="F20" t="str">
        <f>LOWER(Table1[[#This Row],[City]])</f>
        <v>hyderabad</v>
      </c>
      <c r="G20" t="str">
        <f>UPPER(Table1[[#This Row],[City]])</f>
        <v>HYDERABAD</v>
      </c>
      <c r="H20" t="str">
        <f>PROPER(Table1[[#This Row],[City]])</f>
        <v>Hyderabad</v>
      </c>
      <c r="I20" t="str">
        <f t="shared" si="0"/>
        <v>MegaMart _ Hyderabad</v>
      </c>
      <c r="J20" t="s">
        <v>520</v>
      </c>
      <c r="K20">
        <f t="shared" si="1"/>
        <v>11</v>
      </c>
      <c r="L20" t="str">
        <f>LEFT(Table1[[#This Row],[Category]],3)</f>
        <v>Ele</v>
      </c>
      <c r="M20">
        <v>8</v>
      </c>
      <c r="N20" s="4" t="str">
        <f t="shared" si="2"/>
        <v>normal order</v>
      </c>
      <c r="O20">
        <f>SQRT(Table1[[#This Row],[Quantity]])</f>
        <v>2.8284271247461903</v>
      </c>
      <c r="P20">
        <v>1885.9</v>
      </c>
      <c r="Q20">
        <v>15087.2</v>
      </c>
    </row>
    <row r="21" spans="1:17" x14ac:dyDescent="0.25">
      <c r="A21" t="s">
        <v>27</v>
      </c>
      <c r="B21" t="str">
        <f>MID(Table1[[#This Row],[Order_ID]],2,5)</f>
        <v>RD101</v>
      </c>
      <c r="C21" s="1">
        <v>45600</v>
      </c>
      <c r="D21" t="s">
        <v>512</v>
      </c>
      <c r="E21" t="s">
        <v>515</v>
      </c>
      <c r="F21" t="str">
        <f>LOWER(Table1[[#This Row],[City]])</f>
        <v>kolkata</v>
      </c>
      <c r="G21" t="str">
        <f>UPPER(Table1[[#This Row],[City]])</f>
        <v>KOLKATA</v>
      </c>
      <c r="H21" t="str">
        <f>PROPER(Table1[[#This Row],[City]])</f>
        <v>Kolkata</v>
      </c>
      <c r="I21" t="str">
        <f t="shared" si="0"/>
        <v>Trendz _ Kolkata</v>
      </c>
      <c r="J21" t="s">
        <v>522</v>
      </c>
      <c r="K21">
        <f t="shared" si="1"/>
        <v>5</v>
      </c>
      <c r="L21" t="str">
        <f>LEFT(Table1[[#This Row],[Category]],3)</f>
        <v>Boo</v>
      </c>
      <c r="M21">
        <v>13</v>
      </c>
      <c r="N21" s="4" t="str">
        <f t="shared" si="2"/>
        <v>bulk order</v>
      </c>
      <c r="O21">
        <f>SQRT(Table1[[#This Row],[Quantity]])</f>
        <v>3.6055512754639891</v>
      </c>
      <c r="P21">
        <v>1965.41</v>
      </c>
      <c r="Q21">
        <v>25550.33</v>
      </c>
    </row>
    <row r="22" spans="1:17" x14ac:dyDescent="0.25">
      <c r="A22" t="s">
        <v>28</v>
      </c>
      <c r="B22" t="str">
        <f>MID(Table1[[#This Row],[Order_ID]],2,5)</f>
        <v>RD102</v>
      </c>
      <c r="C22" s="1">
        <v>45305</v>
      </c>
      <c r="D22" t="s">
        <v>511</v>
      </c>
      <c r="E22" t="s">
        <v>516</v>
      </c>
      <c r="F22" t="str">
        <f>LOWER(Table1[[#This Row],[City]])</f>
        <v>chennai</v>
      </c>
      <c r="G22" t="str">
        <f>UPPER(Table1[[#This Row],[City]])</f>
        <v>CHENNAI</v>
      </c>
      <c r="H22" t="str">
        <f>PROPER(Table1[[#This Row],[City]])</f>
        <v>Chennai</v>
      </c>
      <c r="I22" t="str">
        <f t="shared" si="0"/>
        <v>MegaMart _ Chennai</v>
      </c>
      <c r="J22" t="s">
        <v>522</v>
      </c>
      <c r="K22">
        <f t="shared" si="1"/>
        <v>5</v>
      </c>
      <c r="L22" t="str">
        <f>LEFT(Table1[[#This Row],[Category]],3)</f>
        <v>Boo</v>
      </c>
      <c r="M22">
        <v>3</v>
      </c>
      <c r="N22" s="4" t="str">
        <f t="shared" si="2"/>
        <v>normal order</v>
      </c>
      <c r="O22">
        <f>SQRT(Table1[[#This Row],[Quantity]])</f>
        <v>1.7320508075688772</v>
      </c>
      <c r="P22">
        <v>1553.79</v>
      </c>
      <c r="Q22">
        <v>4661.37</v>
      </c>
    </row>
    <row r="23" spans="1:17" x14ac:dyDescent="0.25">
      <c r="A23" t="s">
        <v>29</v>
      </c>
      <c r="B23" t="str">
        <f>MID(Table1[[#This Row],[Order_ID]],2,5)</f>
        <v>RD102</v>
      </c>
      <c r="C23" s="1">
        <v>45579</v>
      </c>
      <c r="D23" t="s">
        <v>510</v>
      </c>
      <c r="E23" t="s">
        <v>518</v>
      </c>
      <c r="F23" t="str">
        <f>LOWER(Table1[[#This Row],[City]])</f>
        <v>pune</v>
      </c>
      <c r="G23" t="str">
        <f>UPPER(Table1[[#This Row],[City]])</f>
        <v>PUNE</v>
      </c>
      <c r="H23" t="str">
        <f>PROPER(Table1[[#This Row],[City]])</f>
        <v>Pune</v>
      </c>
      <c r="I23" t="str">
        <f t="shared" si="0"/>
        <v>QuickBuy _ Pune</v>
      </c>
      <c r="J23" t="s">
        <v>524</v>
      </c>
      <c r="K23">
        <f t="shared" si="1"/>
        <v>4</v>
      </c>
      <c r="L23" t="str">
        <f>LEFT(Table1[[#This Row],[Category]],3)</f>
        <v>Toy</v>
      </c>
      <c r="M23">
        <v>12</v>
      </c>
      <c r="N23" s="4" t="str">
        <f t="shared" si="2"/>
        <v>bulk order</v>
      </c>
      <c r="O23">
        <f>SQRT(Table1[[#This Row],[Quantity]])</f>
        <v>3.4641016151377544</v>
      </c>
      <c r="P23">
        <v>1424.56</v>
      </c>
      <c r="Q23">
        <v>17094.72</v>
      </c>
    </row>
    <row r="24" spans="1:17" x14ac:dyDescent="0.25">
      <c r="A24" t="s">
        <v>30</v>
      </c>
      <c r="B24" t="str">
        <f>MID(Table1[[#This Row],[Order_ID]],2,5)</f>
        <v>RD102</v>
      </c>
      <c r="C24" s="1">
        <v>45393</v>
      </c>
      <c r="D24" t="s">
        <v>510</v>
      </c>
      <c r="E24" t="s">
        <v>516</v>
      </c>
      <c r="F24" t="str">
        <f>LOWER(Table1[[#This Row],[City]])</f>
        <v>chennai</v>
      </c>
      <c r="G24" t="str">
        <f>UPPER(Table1[[#This Row],[City]])</f>
        <v>CHENNAI</v>
      </c>
      <c r="H24" t="str">
        <f>PROPER(Table1[[#This Row],[City]])</f>
        <v>Chennai</v>
      </c>
      <c r="I24" t="str">
        <f t="shared" si="0"/>
        <v>QuickBuy _ Chennai</v>
      </c>
      <c r="J24" t="s">
        <v>525</v>
      </c>
      <c r="K24">
        <f t="shared" si="1"/>
        <v>9</v>
      </c>
      <c r="L24" t="str">
        <f>LEFT(Table1[[#This Row],[Category]],3)</f>
        <v>Gro</v>
      </c>
      <c r="M24">
        <v>8</v>
      </c>
      <c r="N24" s="4" t="str">
        <f t="shared" si="2"/>
        <v>normal order</v>
      </c>
      <c r="O24">
        <f>SQRT(Table1[[#This Row],[Quantity]])</f>
        <v>2.8284271247461903</v>
      </c>
      <c r="P24">
        <v>1395.97</v>
      </c>
      <c r="Q24">
        <v>11167.76</v>
      </c>
    </row>
    <row r="25" spans="1:17" x14ac:dyDescent="0.25">
      <c r="A25" t="s">
        <v>31</v>
      </c>
      <c r="B25" t="str">
        <f>MID(Table1[[#This Row],[Order_ID]],2,5)</f>
        <v>RD102</v>
      </c>
      <c r="C25" s="1">
        <v>45624</v>
      </c>
      <c r="D25" t="s">
        <v>509</v>
      </c>
      <c r="E25" t="s">
        <v>515</v>
      </c>
      <c r="F25" t="str">
        <f>LOWER(Table1[[#This Row],[City]])</f>
        <v>kolkata</v>
      </c>
      <c r="G25" t="str">
        <f>UPPER(Table1[[#This Row],[City]])</f>
        <v>KOLKATA</v>
      </c>
      <c r="H25" t="str">
        <f>PROPER(Table1[[#This Row],[City]])</f>
        <v>Kolkata</v>
      </c>
      <c r="I25" t="str">
        <f t="shared" si="0"/>
        <v>CityStore _ Kolkata</v>
      </c>
      <c r="J25" t="s">
        <v>523</v>
      </c>
      <c r="K25">
        <f t="shared" si="1"/>
        <v>14</v>
      </c>
      <c r="L25" t="str">
        <f>LEFT(Table1[[#This Row],[Category]],3)</f>
        <v>Hom</v>
      </c>
      <c r="M25">
        <v>1</v>
      </c>
      <c r="N25" s="4" t="str">
        <f t="shared" si="2"/>
        <v>normal order</v>
      </c>
      <c r="O25">
        <f>SQRT(Table1[[#This Row],[Quantity]])</f>
        <v>1</v>
      </c>
      <c r="P25">
        <v>1003.56</v>
      </c>
      <c r="Q25">
        <v>1003.56</v>
      </c>
    </row>
    <row r="26" spans="1:17" x14ac:dyDescent="0.25">
      <c r="A26" t="s">
        <v>32</v>
      </c>
      <c r="B26" t="str">
        <f>MID(Table1[[#This Row],[Order_ID]],2,5)</f>
        <v>RD102</v>
      </c>
      <c r="C26" s="1">
        <v>45651</v>
      </c>
      <c r="D26" t="s">
        <v>508</v>
      </c>
      <c r="E26" t="s">
        <v>514</v>
      </c>
      <c r="F26" t="str">
        <f>LOWER(Table1[[#This Row],[City]])</f>
        <v>delhi</v>
      </c>
      <c r="G26" t="str">
        <f>UPPER(Table1[[#This Row],[City]])</f>
        <v>DELHI</v>
      </c>
      <c r="H26" t="str">
        <f>PROPER(Table1[[#This Row],[City]])</f>
        <v>Delhi</v>
      </c>
      <c r="I26" t="str">
        <f t="shared" si="0"/>
        <v>ValueShop _ Delhi</v>
      </c>
      <c r="J26" t="s">
        <v>522</v>
      </c>
      <c r="K26">
        <f t="shared" si="1"/>
        <v>5</v>
      </c>
      <c r="L26" t="str">
        <f>LEFT(Table1[[#This Row],[Category]],3)</f>
        <v>Boo</v>
      </c>
      <c r="M26">
        <v>11</v>
      </c>
      <c r="N26" s="4" t="str">
        <f t="shared" si="2"/>
        <v>bulk order</v>
      </c>
      <c r="O26">
        <f>SQRT(Table1[[#This Row],[Quantity]])</f>
        <v>3.3166247903553998</v>
      </c>
      <c r="P26">
        <v>985.62</v>
      </c>
      <c r="Q26">
        <v>10841.82</v>
      </c>
    </row>
    <row r="27" spans="1:17" x14ac:dyDescent="0.25">
      <c r="A27" t="s">
        <v>33</v>
      </c>
      <c r="B27" t="str">
        <f>MID(Table1[[#This Row],[Order_ID]],2,5)</f>
        <v>RD102</v>
      </c>
      <c r="C27" s="1">
        <v>45571</v>
      </c>
      <c r="D27" t="s">
        <v>512</v>
      </c>
      <c r="E27" t="s">
        <v>519</v>
      </c>
      <c r="F27" t="str">
        <f>LOWER(Table1[[#This Row],[City]])</f>
        <v>mumbai</v>
      </c>
      <c r="G27" t="str">
        <f>UPPER(Table1[[#This Row],[City]])</f>
        <v>MUMBAI</v>
      </c>
      <c r="H27" t="str">
        <f>PROPER(Table1[[#This Row],[City]])</f>
        <v>Mumbai</v>
      </c>
      <c r="I27" t="str">
        <f t="shared" si="0"/>
        <v>Trendz _ Mumbai</v>
      </c>
      <c r="J27" t="s">
        <v>520</v>
      </c>
      <c r="K27">
        <f t="shared" si="1"/>
        <v>11</v>
      </c>
      <c r="L27" t="str">
        <f>LEFT(Table1[[#This Row],[Category]],3)</f>
        <v>Ele</v>
      </c>
      <c r="M27">
        <v>4</v>
      </c>
      <c r="N27" s="4" t="str">
        <f t="shared" si="2"/>
        <v>normal order</v>
      </c>
      <c r="O27">
        <f>SQRT(Table1[[#This Row],[Quantity]])</f>
        <v>2</v>
      </c>
      <c r="P27">
        <v>1142.95</v>
      </c>
      <c r="Q27">
        <v>4571.8</v>
      </c>
    </row>
    <row r="28" spans="1:17" x14ac:dyDescent="0.25">
      <c r="A28" t="s">
        <v>34</v>
      </c>
      <c r="B28" t="str">
        <f>MID(Table1[[#This Row],[Order_ID]],2,5)</f>
        <v>RD102</v>
      </c>
      <c r="C28" s="1">
        <v>45506</v>
      </c>
      <c r="D28" t="s">
        <v>511</v>
      </c>
      <c r="E28" t="s">
        <v>513</v>
      </c>
      <c r="F28" t="str">
        <f>LOWER(Table1[[#This Row],[City]])</f>
        <v>bangalore</v>
      </c>
      <c r="G28" t="str">
        <f>UPPER(Table1[[#This Row],[City]])</f>
        <v>BANGALORE</v>
      </c>
      <c r="H28" t="str">
        <f>PROPER(Table1[[#This Row],[City]])</f>
        <v>Bangalore</v>
      </c>
      <c r="I28" t="str">
        <f t="shared" si="0"/>
        <v>MegaMart _ Bangalore</v>
      </c>
      <c r="J28" t="s">
        <v>520</v>
      </c>
      <c r="K28">
        <f t="shared" si="1"/>
        <v>11</v>
      </c>
      <c r="L28" t="str">
        <f>LEFT(Table1[[#This Row],[Category]],3)</f>
        <v>Ele</v>
      </c>
      <c r="M28">
        <v>11</v>
      </c>
      <c r="N28" s="4" t="str">
        <f t="shared" si="2"/>
        <v>bulk order</v>
      </c>
      <c r="O28">
        <f>SQRT(Table1[[#This Row],[Quantity]])</f>
        <v>3.3166247903553998</v>
      </c>
      <c r="P28">
        <v>1872.25</v>
      </c>
      <c r="Q28">
        <v>20594.75</v>
      </c>
    </row>
    <row r="29" spans="1:17" x14ac:dyDescent="0.25">
      <c r="A29" t="s">
        <v>35</v>
      </c>
      <c r="B29" t="str">
        <f>MID(Table1[[#This Row],[Order_ID]],2,5)</f>
        <v>RD102</v>
      </c>
      <c r="C29" s="1">
        <v>45404</v>
      </c>
      <c r="D29" t="s">
        <v>508</v>
      </c>
      <c r="E29" t="s">
        <v>517</v>
      </c>
      <c r="F29" t="str">
        <f>LOWER(Table1[[#This Row],[City]])</f>
        <v>hyderabad</v>
      </c>
      <c r="G29" t="str">
        <f>UPPER(Table1[[#This Row],[City]])</f>
        <v>HYDERABAD</v>
      </c>
      <c r="H29" t="str">
        <f>PROPER(Table1[[#This Row],[City]])</f>
        <v>Hyderabad</v>
      </c>
      <c r="I29" t="str">
        <f t="shared" si="0"/>
        <v>ValueShop _ Hyderabad</v>
      </c>
      <c r="J29" t="s">
        <v>523</v>
      </c>
      <c r="K29">
        <f t="shared" si="1"/>
        <v>14</v>
      </c>
      <c r="L29" t="str">
        <f>LEFT(Table1[[#This Row],[Category]],3)</f>
        <v>Hom</v>
      </c>
      <c r="M29">
        <v>5</v>
      </c>
      <c r="N29" s="4" t="str">
        <f t="shared" si="2"/>
        <v>normal order</v>
      </c>
      <c r="O29">
        <f>SQRT(Table1[[#This Row],[Quantity]])</f>
        <v>2.2360679774997898</v>
      </c>
      <c r="P29">
        <v>1457.25</v>
      </c>
      <c r="Q29">
        <v>7286.25</v>
      </c>
    </row>
    <row r="30" spans="1:17" x14ac:dyDescent="0.25">
      <c r="A30" t="s">
        <v>36</v>
      </c>
      <c r="B30" t="str">
        <f>MID(Table1[[#This Row],[Order_ID]],2,5)</f>
        <v>RD102</v>
      </c>
      <c r="C30" s="1">
        <v>45521</v>
      </c>
      <c r="D30" t="s">
        <v>510</v>
      </c>
      <c r="E30" t="s">
        <v>519</v>
      </c>
      <c r="F30" t="str">
        <f>LOWER(Table1[[#This Row],[City]])</f>
        <v>mumbai</v>
      </c>
      <c r="G30" t="str">
        <f>UPPER(Table1[[#This Row],[City]])</f>
        <v>MUMBAI</v>
      </c>
      <c r="H30" t="str">
        <f>PROPER(Table1[[#This Row],[City]])</f>
        <v>Mumbai</v>
      </c>
      <c r="I30" t="str">
        <f t="shared" si="0"/>
        <v>QuickBuy _ Mumbai</v>
      </c>
      <c r="J30" t="s">
        <v>523</v>
      </c>
      <c r="K30">
        <f t="shared" si="1"/>
        <v>14</v>
      </c>
      <c r="L30" t="str">
        <f>LEFT(Table1[[#This Row],[Category]],3)</f>
        <v>Hom</v>
      </c>
      <c r="M30">
        <v>5</v>
      </c>
      <c r="N30" s="4" t="str">
        <f t="shared" si="2"/>
        <v>normal order</v>
      </c>
      <c r="O30">
        <f>SQRT(Table1[[#This Row],[Quantity]])</f>
        <v>2.2360679774997898</v>
      </c>
      <c r="P30">
        <v>611.19000000000005</v>
      </c>
      <c r="Q30">
        <v>3055.95</v>
      </c>
    </row>
    <row r="31" spans="1:17" x14ac:dyDescent="0.25">
      <c r="A31" t="s">
        <v>37</v>
      </c>
      <c r="B31" t="str">
        <f>MID(Table1[[#This Row],[Order_ID]],2,5)</f>
        <v>RD102</v>
      </c>
      <c r="C31" s="1">
        <v>45593</v>
      </c>
      <c r="D31" t="s">
        <v>508</v>
      </c>
      <c r="E31" t="s">
        <v>513</v>
      </c>
      <c r="F31" t="str">
        <f>LOWER(Table1[[#This Row],[City]])</f>
        <v>bangalore</v>
      </c>
      <c r="G31" t="str">
        <f>UPPER(Table1[[#This Row],[City]])</f>
        <v>BANGALORE</v>
      </c>
      <c r="H31" t="str">
        <f>PROPER(Table1[[#This Row],[City]])</f>
        <v>Bangalore</v>
      </c>
      <c r="I31" t="str">
        <f t="shared" si="0"/>
        <v>ValueShop _ Bangalore</v>
      </c>
      <c r="J31" t="s">
        <v>523</v>
      </c>
      <c r="K31">
        <f t="shared" si="1"/>
        <v>14</v>
      </c>
      <c r="L31" t="str">
        <f>LEFT(Table1[[#This Row],[Category]],3)</f>
        <v>Hom</v>
      </c>
      <c r="M31">
        <v>2</v>
      </c>
      <c r="N31" s="4" t="str">
        <f t="shared" si="2"/>
        <v>normal order</v>
      </c>
      <c r="O31">
        <f>SQRT(Table1[[#This Row],[Quantity]])</f>
        <v>1.4142135623730951</v>
      </c>
      <c r="P31">
        <v>1168.28</v>
      </c>
      <c r="Q31">
        <v>2336.56</v>
      </c>
    </row>
    <row r="32" spans="1:17" x14ac:dyDescent="0.25">
      <c r="A32" t="s">
        <v>38</v>
      </c>
      <c r="B32" t="str">
        <f>MID(Table1[[#This Row],[Order_ID]],2,5)</f>
        <v>RD103</v>
      </c>
      <c r="C32" s="1">
        <v>45434</v>
      </c>
      <c r="D32" t="s">
        <v>511</v>
      </c>
      <c r="E32" t="s">
        <v>516</v>
      </c>
      <c r="F32" t="str">
        <f>LOWER(Table1[[#This Row],[City]])</f>
        <v>chennai</v>
      </c>
      <c r="G32" t="str">
        <f>UPPER(Table1[[#This Row],[City]])</f>
        <v>CHENNAI</v>
      </c>
      <c r="H32" t="str">
        <f>PROPER(Table1[[#This Row],[City]])</f>
        <v>Chennai</v>
      </c>
      <c r="I32" t="str">
        <f t="shared" si="0"/>
        <v>MegaMart _ Chennai</v>
      </c>
      <c r="J32" t="s">
        <v>522</v>
      </c>
      <c r="K32">
        <f t="shared" si="1"/>
        <v>5</v>
      </c>
      <c r="L32" t="str">
        <f>LEFT(Table1[[#This Row],[Category]],3)</f>
        <v>Boo</v>
      </c>
      <c r="M32">
        <v>10</v>
      </c>
      <c r="N32" s="4" t="str">
        <f t="shared" si="2"/>
        <v>normal order</v>
      </c>
      <c r="O32">
        <f>SQRT(Table1[[#This Row],[Quantity]])</f>
        <v>3.1622776601683795</v>
      </c>
      <c r="P32">
        <v>1109.22</v>
      </c>
      <c r="Q32">
        <v>11092.2</v>
      </c>
    </row>
    <row r="33" spans="1:17" x14ac:dyDescent="0.25">
      <c r="A33" t="s">
        <v>39</v>
      </c>
      <c r="B33" t="str">
        <f>MID(Table1[[#This Row],[Order_ID]],2,5)</f>
        <v>RD103</v>
      </c>
      <c r="C33" s="1">
        <v>45295</v>
      </c>
      <c r="D33" t="s">
        <v>508</v>
      </c>
      <c r="E33" t="s">
        <v>518</v>
      </c>
      <c r="F33" t="str">
        <f>LOWER(Table1[[#This Row],[City]])</f>
        <v>pune</v>
      </c>
      <c r="G33" t="str">
        <f>UPPER(Table1[[#This Row],[City]])</f>
        <v>PUNE</v>
      </c>
      <c r="H33" t="str">
        <f>PROPER(Table1[[#This Row],[City]])</f>
        <v>Pune</v>
      </c>
      <c r="I33" t="str">
        <f t="shared" si="0"/>
        <v>ValueShop _ Pune</v>
      </c>
      <c r="J33" t="s">
        <v>520</v>
      </c>
      <c r="K33">
        <f t="shared" si="1"/>
        <v>11</v>
      </c>
      <c r="L33" t="str">
        <f>LEFT(Table1[[#This Row],[Category]],3)</f>
        <v>Ele</v>
      </c>
      <c r="M33">
        <v>16</v>
      </c>
      <c r="N33" s="4" t="str">
        <f t="shared" si="2"/>
        <v>bulk order</v>
      </c>
      <c r="O33">
        <f>SQRT(Table1[[#This Row],[Quantity]])</f>
        <v>4</v>
      </c>
      <c r="P33">
        <v>1796.73</v>
      </c>
      <c r="Q33">
        <v>28747.68</v>
      </c>
    </row>
    <row r="34" spans="1:17" x14ac:dyDescent="0.25">
      <c r="A34" t="s">
        <v>40</v>
      </c>
      <c r="B34" t="str">
        <f>MID(Table1[[#This Row],[Order_ID]],2,5)</f>
        <v>RD103</v>
      </c>
      <c r="C34" s="1">
        <v>45373</v>
      </c>
      <c r="D34" t="s">
        <v>510</v>
      </c>
      <c r="E34" t="s">
        <v>516</v>
      </c>
      <c r="F34" t="str">
        <f>LOWER(Table1[[#This Row],[City]])</f>
        <v>chennai</v>
      </c>
      <c r="G34" t="str">
        <f>UPPER(Table1[[#This Row],[City]])</f>
        <v>CHENNAI</v>
      </c>
      <c r="H34" t="str">
        <f>PROPER(Table1[[#This Row],[City]])</f>
        <v>Chennai</v>
      </c>
      <c r="I34" t="str">
        <f t="shared" si="0"/>
        <v>QuickBuy _ Chennai</v>
      </c>
      <c r="J34" t="s">
        <v>523</v>
      </c>
      <c r="K34">
        <f t="shared" si="1"/>
        <v>14</v>
      </c>
      <c r="L34" t="str">
        <f>LEFT(Table1[[#This Row],[Category]],3)</f>
        <v>Hom</v>
      </c>
      <c r="M34">
        <v>5</v>
      </c>
      <c r="N34" s="4" t="str">
        <f t="shared" si="2"/>
        <v>normal order</v>
      </c>
      <c r="O34">
        <f>SQRT(Table1[[#This Row],[Quantity]])</f>
        <v>2.2360679774997898</v>
      </c>
      <c r="P34">
        <v>819.34</v>
      </c>
      <c r="Q34">
        <v>4096.7</v>
      </c>
    </row>
    <row r="35" spans="1:17" x14ac:dyDescent="0.25">
      <c r="A35" t="s">
        <v>41</v>
      </c>
      <c r="B35" t="str">
        <f>MID(Table1[[#This Row],[Order_ID]],2,5)</f>
        <v>RD103</v>
      </c>
      <c r="C35" s="1">
        <v>45649</v>
      </c>
      <c r="D35" t="s">
        <v>508</v>
      </c>
      <c r="E35" t="s">
        <v>514</v>
      </c>
      <c r="F35" t="str">
        <f>LOWER(Table1[[#This Row],[City]])</f>
        <v>delhi</v>
      </c>
      <c r="G35" t="str">
        <f>UPPER(Table1[[#This Row],[City]])</f>
        <v>DELHI</v>
      </c>
      <c r="H35" t="str">
        <f>PROPER(Table1[[#This Row],[City]])</f>
        <v>Delhi</v>
      </c>
      <c r="I35" t="str">
        <f t="shared" si="0"/>
        <v>ValueShop _ Delhi</v>
      </c>
      <c r="J35" t="s">
        <v>522</v>
      </c>
      <c r="K35">
        <f t="shared" si="1"/>
        <v>5</v>
      </c>
      <c r="L35" t="str">
        <f>LEFT(Table1[[#This Row],[Category]],3)</f>
        <v>Boo</v>
      </c>
      <c r="M35">
        <v>16</v>
      </c>
      <c r="N35" s="4" t="str">
        <f t="shared" si="2"/>
        <v>bulk order</v>
      </c>
      <c r="O35">
        <f>SQRT(Table1[[#This Row],[Quantity]])</f>
        <v>4</v>
      </c>
      <c r="P35">
        <v>723.01</v>
      </c>
      <c r="Q35">
        <v>11568.16</v>
      </c>
    </row>
    <row r="36" spans="1:17" x14ac:dyDescent="0.25">
      <c r="A36" t="s">
        <v>42</v>
      </c>
      <c r="B36" t="str">
        <f>MID(Table1[[#This Row],[Order_ID]],2,5)</f>
        <v>RD103</v>
      </c>
      <c r="C36" s="1">
        <v>45508</v>
      </c>
      <c r="D36" t="s">
        <v>512</v>
      </c>
      <c r="E36" t="s">
        <v>514</v>
      </c>
      <c r="F36" t="str">
        <f>LOWER(Table1[[#This Row],[City]])</f>
        <v>delhi</v>
      </c>
      <c r="G36" t="str">
        <f>UPPER(Table1[[#This Row],[City]])</f>
        <v>DELHI</v>
      </c>
      <c r="H36" t="str">
        <f>PROPER(Table1[[#This Row],[City]])</f>
        <v>Delhi</v>
      </c>
      <c r="I36" t="str">
        <f t="shared" si="0"/>
        <v>Trendz _ Delhi</v>
      </c>
      <c r="J36" t="s">
        <v>523</v>
      </c>
      <c r="K36">
        <f t="shared" si="1"/>
        <v>14</v>
      </c>
      <c r="L36" t="str">
        <f>LEFT(Table1[[#This Row],[Category]],3)</f>
        <v>Hom</v>
      </c>
      <c r="M36">
        <v>15</v>
      </c>
      <c r="N36" s="4" t="str">
        <f t="shared" si="2"/>
        <v>bulk order</v>
      </c>
      <c r="O36">
        <f>SQRT(Table1[[#This Row],[Quantity]])</f>
        <v>3.872983346207417</v>
      </c>
      <c r="P36">
        <v>1557.48</v>
      </c>
      <c r="Q36">
        <v>23362.2</v>
      </c>
    </row>
    <row r="37" spans="1:17" x14ac:dyDescent="0.25">
      <c r="A37" t="s">
        <v>43</v>
      </c>
      <c r="B37" t="str">
        <f>MID(Table1[[#This Row],[Order_ID]],2,5)</f>
        <v>RD103</v>
      </c>
      <c r="C37" s="1">
        <v>45466</v>
      </c>
      <c r="D37" t="s">
        <v>508</v>
      </c>
      <c r="E37" t="s">
        <v>518</v>
      </c>
      <c r="F37" t="str">
        <f>LOWER(Table1[[#This Row],[City]])</f>
        <v>pune</v>
      </c>
      <c r="G37" t="str">
        <f>UPPER(Table1[[#This Row],[City]])</f>
        <v>PUNE</v>
      </c>
      <c r="H37" t="str">
        <f>PROPER(Table1[[#This Row],[City]])</f>
        <v>Pune</v>
      </c>
      <c r="I37" t="str">
        <f t="shared" si="0"/>
        <v>ValueShop _ Pune</v>
      </c>
      <c r="J37" t="s">
        <v>520</v>
      </c>
      <c r="K37">
        <f t="shared" si="1"/>
        <v>11</v>
      </c>
      <c r="L37" t="str">
        <f>LEFT(Table1[[#This Row],[Category]],3)</f>
        <v>Ele</v>
      </c>
      <c r="M37">
        <v>20</v>
      </c>
      <c r="N37" s="4" t="str">
        <f t="shared" si="2"/>
        <v>bulk order</v>
      </c>
      <c r="O37">
        <f>SQRT(Table1[[#This Row],[Quantity]])</f>
        <v>4.4721359549995796</v>
      </c>
      <c r="P37">
        <v>335.63</v>
      </c>
      <c r="Q37">
        <v>6712.6</v>
      </c>
    </row>
    <row r="38" spans="1:17" x14ac:dyDescent="0.25">
      <c r="A38" t="s">
        <v>44</v>
      </c>
      <c r="B38" t="str">
        <f>MID(Table1[[#This Row],[Order_ID]],2,5)</f>
        <v>RD103</v>
      </c>
      <c r="C38" s="1">
        <v>45434</v>
      </c>
      <c r="D38" t="s">
        <v>512</v>
      </c>
      <c r="E38" t="s">
        <v>517</v>
      </c>
      <c r="F38" t="str">
        <f>LOWER(Table1[[#This Row],[City]])</f>
        <v>hyderabad</v>
      </c>
      <c r="G38" t="str">
        <f>UPPER(Table1[[#This Row],[City]])</f>
        <v>HYDERABAD</v>
      </c>
      <c r="H38" t="str">
        <f>PROPER(Table1[[#This Row],[City]])</f>
        <v>Hyderabad</v>
      </c>
      <c r="I38" t="str">
        <f t="shared" si="0"/>
        <v>Trendz _ Hyderabad</v>
      </c>
      <c r="J38" t="s">
        <v>520</v>
      </c>
      <c r="K38">
        <f t="shared" si="1"/>
        <v>11</v>
      </c>
      <c r="L38" t="str">
        <f>LEFT(Table1[[#This Row],[Category]],3)</f>
        <v>Ele</v>
      </c>
      <c r="M38">
        <v>1</v>
      </c>
      <c r="N38" s="4" t="str">
        <f t="shared" si="2"/>
        <v>normal order</v>
      </c>
      <c r="O38">
        <f>SQRT(Table1[[#This Row],[Quantity]])</f>
        <v>1</v>
      </c>
      <c r="P38">
        <v>132.03</v>
      </c>
      <c r="Q38">
        <v>132.03</v>
      </c>
    </row>
    <row r="39" spans="1:17" x14ac:dyDescent="0.25">
      <c r="A39" t="s">
        <v>45</v>
      </c>
      <c r="B39" t="str">
        <f>MID(Table1[[#This Row],[Order_ID]],2,5)</f>
        <v>RD103</v>
      </c>
      <c r="C39" s="1">
        <v>45371</v>
      </c>
      <c r="D39" t="s">
        <v>508</v>
      </c>
      <c r="E39" t="s">
        <v>515</v>
      </c>
      <c r="F39" t="str">
        <f>LOWER(Table1[[#This Row],[City]])</f>
        <v>kolkata</v>
      </c>
      <c r="G39" t="str">
        <f>UPPER(Table1[[#This Row],[City]])</f>
        <v>KOLKATA</v>
      </c>
      <c r="H39" t="str">
        <f>PROPER(Table1[[#This Row],[City]])</f>
        <v>Kolkata</v>
      </c>
      <c r="I39" t="str">
        <f t="shared" si="0"/>
        <v>ValueShop _ Kolkata</v>
      </c>
      <c r="J39" t="s">
        <v>525</v>
      </c>
      <c r="K39">
        <f t="shared" si="1"/>
        <v>9</v>
      </c>
      <c r="L39" t="str">
        <f>LEFT(Table1[[#This Row],[Category]],3)</f>
        <v>Gro</v>
      </c>
      <c r="M39">
        <v>3</v>
      </c>
      <c r="N39" s="4" t="str">
        <f t="shared" si="2"/>
        <v>normal order</v>
      </c>
      <c r="O39">
        <f>SQRT(Table1[[#This Row],[Quantity]])</f>
        <v>1.7320508075688772</v>
      </c>
      <c r="P39">
        <v>1912.86</v>
      </c>
      <c r="Q39">
        <v>5738.58</v>
      </c>
    </row>
    <row r="40" spans="1:17" x14ac:dyDescent="0.25">
      <c r="A40" t="s">
        <v>46</v>
      </c>
      <c r="B40" t="str">
        <f>MID(Table1[[#This Row],[Order_ID]],2,5)</f>
        <v>RD103</v>
      </c>
      <c r="C40" s="1">
        <v>45402</v>
      </c>
      <c r="D40" t="s">
        <v>510</v>
      </c>
      <c r="E40" t="s">
        <v>519</v>
      </c>
      <c r="F40" t="str">
        <f>LOWER(Table1[[#This Row],[City]])</f>
        <v>mumbai</v>
      </c>
      <c r="G40" t="str">
        <f>UPPER(Table1[[#This Row],[City]])</f>
        <v>MUMBAI</v>
      </c>
      <c r="H40" t="str">
        <f>PROPER(Table1[[#This Row],[City]])</f>
        <v>Mumbai</v>
      </c>
      <c r="I40" t="str">
        <f t="shared" si="0"/>
        <v>QuickBuy _ Mumbai</v>
      </c>
      <c r="J40" t="s">
        <v>524</v>
      </c>
      <c r="K40">
        <f t="shared" si="1"/>
        <v>4</v>
      </c>
      <c r="L40" t="str">
        <f>LEFT(Table1[[#This Row],[Category]],3)</f>
        <v>Toy</v>
      </c>
      <c r="M40">
        <v>1</v>
      </c>
      <c r="N40" s="4" t="str">
        <f t="shared" si="2"/>
        <v>normal order</v>
      </c>
      <c r="O40">
        <f>SQRT(Table1[[#This Row],[Quantity]])</f>
        <v>1</v>
      </c>
      <c r="P40">
        <v>204.11</v>
      </c>
      <c r="Q40">
        <v>204.11</v>
      </c>
    </row>
    <row r="41" spans="1:17" x14ac:dyDescent="0.25">
      <c r="A41" t="s">
        <v>47</v>
      </c>
      <c r="B41" t="str">
        <f>MID(Table1[[#This Row],[Order_ID]],2,5)</f>
        <v>RD103</v>
      </c>
      <c r="C41" s="1">
        <v>45464</v>
      </c>
      <c r="D41" t="s">
        <v>509</v>
      </c>
      <c r="E41" t="s">
        <v>518</v>
      </c>
      <c r="F41" t="str">
        <f>LOWER(Table1[[#This Row],[City]])</f>
        <v>pune</v>
      </c>
      <c r="G41" t="str">
        <f>UPPER(Table1[[#This Row],[City]])</f>
        <v>PUNE</v>
      </c>
      <c r="H41" t="str">
        <f>PROPER(Table1[[#This Row],[City]])</f>
        <v>Pune</v>
      </c>
      <c r="I41" t="str">
        <f t="shared" si="0"/>
        <v>CityStore _ Pune</v>
      </c>
      <c r="J41" t="s">
        <v>521</v>
      </c>
      <c r="K41">
        <f t="shared" si="1"/>
        <v>8</v>
      </c>
      <c r="L41" t="str">
        <f>LEFT(Table1[[#This Row],[Category]],3)</f>
        <v>Clo</v>
      </c>
      <c r="M41">
        <v>9</v>
      </c>
      <c r="N41" s="4" t="str">
        <f t="shared" si="2"/>
        <v>normal order</v>
      </c>
      <c r="O41">
        <f>SQRT(Table1[[#This Row],[Quantity]])</f>
        <v>3</v>
      </c>
      <c r="P41">
        <v>1851.82</v>
      </c>
      <c r="Q41">
        <v>16666.38</v>
      </c>
    </row>
    <row r="42" spans="1:17" x14ac:dyDescent="0.25">
      <c r="A42" t="s">
        <v>48</v>
      </c>
      <c r="B42" t="str">
        <f>MID(Table1[[#This Row],[Order_ID]],2,5)</f>
        <v>RD104</v>
      </c>
      <c r="C42" s="1">
        <v>45344</v>
      </c>
      <c r="D42" t="s">
        <v>509</v>
      </c>
      <c r="E42" t="s">
        <v>519</v>
      </c>
      <c r="F42" t="str">
        <f>LOWER(Table1[[#This Row],[City]])</f>
        <v>mumbai</v>
      </c>
      <c r="G42" t="str">
        <f>UPPER(Table1[[#This Row],[City]])</f>
        <v>MUMBAI</v>
      </c>
      <c r="H42" t="str">
        <f>PROPER(Table1[[#This Row],[City]])</f>
        <v>Mumbai</v>
      </c>
      <c r="I42" t="str">
        <f t="shared" si="0"/>
        <v>CityStore _ Mumbai</v>
      </c>
      <c r="J42" t="s">
        <v>520</v>
      </c>
      <c r="K42">
        <f t="shared" si="1"/>
        <v>11</v>
      </c>
      <c r="L42" t="str">
        <f>LEFT(Table1[[#This Row],[Category]],3)</f>
        <v>Ele</v>
      </c>
      <c r="M42">
        <v>7</v>
      </c>
      <c r="N42" s="4" t="str">
        <f t="shared" si="2"/>
        <v>normal order</v>
      </c>
      <c r="O42">
        <f>SQRT(Table1[[#This Row],[Quantity]])</f>
        <v>2.6457513110645907</v>
      </c>
      <c r="P42">
        <v>1329.15</v>
      </c>
      <c r="Q42">
        <v>9304.0500000000011</v>
      </c>
    </row>
    <row r="43" spans="1:17" x14ac:dyDescent="0.25">
      <c r="A43" t="s">
        <v>49</v>
      </c>
      <c r="B43" t="str">
        <f>MID(Table1[[#This Row],[Order_ID]],2,5)</f>
        <v>RD104</v>
      </c>
      <c r="C43" s="1">
        <v>45339</v>
      </c>
      <c r="D43" t="s">
        <v>512</v>
      </c>
      <c r="E43" t="s">
        <v>513</v>
      </c>
      <c r="F43" t="str">
        <f>LOWER(Table1[[#This Row],[City]])</f>
        <v>bangalore</v>
      </c>
      <c r="G43" t="str">
        <f>UPPER(Table1[[#This Row],[City]])</f>
        <v>BANGALORE</v>
      </c>
      <c r="H43" t="str">
        <f>PROPER(Table1[[#This Row],[City]])</f>
        <v>Bangalore</v>
      </c>
      <c r="I43" t="str">
        <f t="shared" si="0"/>
        <v>Trendz _ Bangalore</v>
      </c>
      <c r="J43" t="s">
        <v>521</v>
      </c>
      <c r="K43">
        <f t="shared" si="1"/>
        <v>8</v>
      </c>
      <c r="L43" t="str">
        <f>LEFT(Table1[[#This Row],[Category]],3)</f>
        <v>Clo</v>
      </c>
      <c r="M43">
        <v>5</v>
      </c>
      <c r="N43" s="4" t="str">
        <f t="shared" si="2"/>
        <v>normal order</v>
      </c>
      <c r="O43">
        <f>SQRT(Table1[[#This Row],[Quantity]])</f>
        <v>2.2360679774997898</v>
      </c>
      <c r="P43">
        <v>1507.31</v>
      </c>
      <c r="Q43">
        <v>7536.5499999999993</v>
      </c>
    </row>
    <row r="44" spans="1:17" x14ac:dyDescent="0.25">
      <c r="A44" t="s">
        <v>50</v>
      </c>
      <c r="B44" t="str">
        <f>MID(Table1[[#This Row],[Order_ID]],2,5)</f>
        <v>RD104</v>
      </c>
      <c r="C44" s="1">
        <v>45486</v>
      </c>
      <c r="D44" t="s">
        <v>512</v>
      </c>
      <c r="E44" t="s">
        <v>517</v>
      </c>
      <c r="F44" t="str">
        <f>LOWER(Table1[[#This Row],[City]])</f>
        <v>hyderabad</v>
      </c>
      <c r="G44" t="str">
        <f>UPPER(Table1[[#This Row],[City]])</f>
        <v>HYDERABAD</v>
      </c>
      <c r="H44" t="str">
        <f>PROPER(Table1[[#This Row],[City]])</f>
        <v>Hyderabad</v>
      </c>
      <c r="I44" t="str">
        <f t="shared" si="0"/>
        <v>Trendz _ Hyderabad</v>
      </c>
      <c r="J44" t="s">
        <v>525</v>
      </c>
      <c r="K44">
        <f t="shared" si="1"/>
        <v>9</v>
      </c>
      <c r="L44" t="str">
        <f>LEFT(Table1[[#This Row],[Category]],3)</f>
        <v>Gro</v>
      </c>
      <c r="M44">
        <v>18</v>
      </c>
      <c r="N44" s="4" t="str">
        <f t="shared" si="2"/>
        <v>bulk order</v>
      </c>
      <c r="O44">
        <f>SQRT(Table1[[#This Row],[Quantity]])</f>
        <v>4.2426406871192848</v>
      </c>
      <c r="P44">
        <v>467.27</v>
      </c>
      <c r="Q44">
        <v>8410.86</v>
      </c>
    </row>
    <row r="45" spans="1:17" x14ac:dyDescent="0.25">
      <c r="A45" t="s">
        <v>51</v>
      </c>
      <c r="B45" t="str">
        <f>MID(Table1[[#This Row],[Order_ID]],2,5)</f>
        <v>RD104</v>
      </c>
      <c r="C45" s="1">
        <v>45341</v>
      </c>
      <c r="D45" t="s">
        <v>509</v>
      </c>
      <c r="E45" t="s">
        <v>514</v>
      </c>
      <c r="F45" t="str">
        <f>LOWER(Table1[[#This Row],[City]])</f>
        <v>delhi</v>
      </c>
      <c r="G45" t="str">
        <f>UPPER(Table1[[#This Row],[City]])</f>
        <v>DELHI</v>
      </c>
      <c r="H45" t="str">
        <f>PROPER(Table1[[#This Row],[City]])</f>
        <v>Delhi</v>
      </c>
      <c r="I45" t="str">
        <f t="shared" si="0"/>
        <v>CityStore _ Delhi</v>
      </c>
      <c r="J45" t="s">
        <v>524</v>
      </c>
      <c r="K45">
        <f t="shared" si="1"/>
        <v>4</v>
      </c>
      <c r="L45" t="str">
        <f>LEFT(Table1[[#This Row],[Category]],3)</f>
        <v>Toy</v>
      </c>
      <c r="M45">
        <v>20</v>
      </c>
      <c r="N45" s="4" t="str">
        <f t="shared" si="2"/>
        <v>bulk order</v>
      </c>
      <c r="O45">
        <f>SQRT(Table1[[#This Row],[Quantity]])</f>
        <v>4.4721359549995796</v>
      </c>
      <c r="P45">
        <v>1664.51</v>
      </c>
      <c r="Q45">
        <v>33290.199999999997</v>
      </c>
    </row>
    <row r="46" spans="1:17" x14ac:dyDescent="0.25">
      <c r="A46" t="s">
        <v>52</v>
      </c>
      <c r="B46" t="str">
        <f>MID(Table1[[#This Row],[Order_ID]],2,5)</f>
        <v>RD104</v>
      </c>
      <c r="C46" s="1">
        <v>45475</v>
      </c>
      <c r="D46" t="s">
        <v>510</v>
      </c>
      <c r="E46" t="s">
        <v>517</v>
      </c>
      <c r="F46" t="str">
        <f>LOWER(Table1[[#This Row],[City]])</f>
        <v>hyderabad</v>
      </c>
      <c r="G46" t="str">
        <f>UPPER(Table1[[#This Row],[City]])</f>
        <v>HYDERABAD</v>
      </c>
      <c r="H46" t="str">
        <f>PROPER(Table1[[#This Row],[City]])</f>
        <v>Hyderabad</v>
      </c>
      <c r="I46" t="str">
        <f t="shared" si="0"/>
        <v>QuickBuy _ Hyderabad</v>
      </c>
      <c r="J46" t="s">
        <v>522</v>
      </c>
      <c r="K46">
        <f t="shared" si="1"/>
        <v>5</v>
      </c>
      <c r="L46" t="str">
        <f>LEFT(Table1[[#This Row],[Category]],3)</f>
        <v>Boo</v>
      </c>
      <c r="M46">
        <v>17</v>
      </c>
      <c r="N46" s="4" t="str">
        <f t="shared" si="2"/>
        <v>bulk order</v>
      </c>
      <c r="O46">
        <f>SQRT(Table1[[#This Row],[Quantity]])</f>
        <v>4.1231056256176606</v>
      </c>
      <c r="P46">
        <v>578.71</v>
      </c>
      <c r="Q46">
        <v>9838.07</v>
      </c>
    </row>
    <row r="47" spans="1:17" x14ac:dyDescent="0.25">
      <c r="A47" t="s">
        <v>53</v>
      </c>
      <c r="B47" t="str">
        <f>MID(Table1[[#This Row],[Order_ID]],2,5)</f>
        <v>RD104</v>
      </c>
      <c r="C47" s="1">
        <v>45468</v>
      </c>
      <c r="D47" t="s">
        <v>510</v>
      </c>
      <c r="E47" t="s">
        <v>516</v>
      </c>
      <c r="F47" t="str">
        <f>LOWER(Table1[[#This Row],[City]])</f>
        <v>chennai</v>
      </c>
      <c r="G47" t="str">
        <f>UPPER(Table1[[#This Row],[City]])</f>
        <v>CHENNAI</v>
      </c>
      <c r="H47" t="str">
        <f>PROPER(Table1[[#This Row],[City]])</f>
        <v>Chennai</v>
      </c>
      <c r="I47" t="str">
        <f t="shared" si="0"/>
        <v>QuickBuy _ Chennai</v>
      </c>
      <c r="J47" t="s">
        <v>524</v>
      </c>
      <c r="K47">
        <f t="shared" si="1"/>
        <v>4</v>
      </c>
      <c r="L47" t="str">
        <f>LEFT(Table1[[#This Row],[Category]],3)</f>
        <v>Toy</v>
      </c>
      <c r="M47">
        <v>14</v>
      </c>
      <c r="N47" s="4" t="str">
        <f t="shared" si="2"/>
        <v>bulk order</v>
      </c>
      <c r="O47">
        <f>SQRT(Table1[[#This Row],[Quantity]])</f>
        <v>3.7416573867739413</v>
      </c>
      <c r="P47">
        <v>1145.94</v>
      </c>
      <c r="Q47">
        <v>16043.16</v>
      </c>
    </row>
    <row r="48" spans="1:17" x14ac:dyDescent="0.25">
      <c r="A48" t="s">
        <v>54</v>
      </c>
      <c r="B48" t="str">
        <f>MID(Table1[[#This Row],[Order_ID]],2,5)</f>
        <v>RD104</v>
      </c>
      <c r="C48" s="1">
        <v>45601</v>
      </c>
      <c r="D48" t="s">
        <v>508</v>
      </c>
      <c r="E48" t="s">
        <v>514</v>
      </c>
      <c r="F48" t="str">
        <f>LOWER(Table1[[#This Row],[City]])</f>
        <v>delhi</v>
      </c>
      <c r="G48" t="str">
        <f>UPPER(Table1[[#This Row],[City]])</f>
        <v>DELHI</v>
      </c>
      <c r="H48" t="str">
        <f>PROPER(Table1[[#This Row],[City]])</f>
        <v>Delhi</v>
      </c>
      <c r="I48" t="str">
        <f t="shared" si="0"/>
        <v>ValueShop _ Delhi</v>
      </c>
      <c r="J48" t="s">
        <v>524</v>
      </c>
      <c r="K48">
        <f t="shared" si="1"/>
        <v>4</v>
      </c>
      <c r="L48" t="str">
        <f>LEFT(Table1[[#This Row],[Category]],3)</f>
        <v>Toy</v>
      </c>
      <c r="M48">
        <v>4</v>
      </c>
      <c r="N48" s="4" t="str">
        <f t="shared" si="2"/>
        <v>normal order</v>
      </c>
      <c r="O48">
        <f>SQRT(Table1[[#This Row],[Quantity]])</f>
        <v>2</v>
      </c>
      <c r="P48">
        <v>579.66</v>
      </c>
      <c r="Q48">
        <v>2318.64</v>
      </c>
    </row>
    <row r="49" spans="1:17" x14ac:dyDescent="0.25">
      <c r="A49" t="s">
        <v>55</v>
      </c>
      <c r="B49" t="str">
        <f>MID(Table1[[#This Row],[Order_ID]],2,5)</f>
        <v>RD104</v>
      </c>
      <c r="C49" s="1">
        <v>45427</v>
      </c>
      <c r="D49" t="s">
        <v>512</v>
      </c>
      <c r="E49" t="s">
        <v>519</v>
      </c>
      <c r="F49" t="str">
        <f>LOWER(Table1[[#This Row],[City]])</f>
        <v>mumbai</v>
      </c>
      <c r="G49" t="str">
        <f>UPPER(Table1[[#This Row],[City]])</f>
        <v>MUMBAI</v>
      </c>
      <c r="H49" t="str">
        <f>PROPER(Table1[[#This Row],[City]])</f>
        <v>Mumbai</v>
      </c>
      <c r="I49" t="str">
        <f t="shared" si="0"/>
        <v>Trendz _ Mumbai</v>
      </c>
      <c r="J49" t="s">
        <v>522</v>
      </c>
      <c r="K49">
        <f t="shared" si="1"/>
        <v>5</v>
      </c>
      <c r="L49" t="str">
        <f>LEFT(Table1[[#This Row],[Category]],3)</f>
        <v>Boo</v>
      </c>
      <c r="M49">
        <v>10</v>
      </c>
      <c r="N49" s="4" t="str">
        <f t="shared" si="2"/>
        <v>normal order</v>
      </c>
      <c r="O49">
        <f>SQRT(Table1[[#This Row],[Quantity]])</f>
        <v>3.1622776601683795</v>
      </c>
      <c r="P49">
        <v>262.99</v>
      </c>
      <c r="Q49">
        <v>2629.9</v>
      </c>
    </row>
    <row r="50" spans="1:17" x14ac:dyDescent="0.25">
      <c r="A50" t="s">
        <v>56</v>
      </c>
      <c r="B50" t="str">
        <f>MID(Table1[[#This Row],[Order_ID]],2,5)</f>
        <v>RD104</v>
      </c>
      <c r="C50" s="1">
        <v>45314</v>
      </c>
      <c r="D50" t="s">
        <v>510</v>
      </c>
      <c r="E50" t="s">
        <v>515</v>
      </c>
      <c r="F50" t="str">
        <f>LOWER(Table1[[#This Row],[City]])</f>
        <v>kolkata</v>
      </c>
      <c r="G50" t="str">
        <f>UPPER(Table1[[#This Row],[City]])</f>
        <v>KOLKATA</v>
      </c>
      <c r="H50" t="str">
        <f>PROPER(Table1[[#This Row],[City]])</f>
        <v>Kolkata</v>
      </c>
      <c r="I50" t="str">
        <f t="shared" si="0"/>
        <v>QuickBuy _ Kolkata</v>
      </c>
      <c r="J50" t="s">
        <v>525</v>
      </c>
      <c r="K50">
        <f t="shared" si="1"/>
        <v>9</v>
      </c>
      <c r="L50" t="str">
        <f>LEFT(Table1[[#This Row],[Category]],3)</f>
        <v>Gro</v>
      </c>
      <c r="M50">
        <v>8</v>
      </c>
      <c r="N50" s="4" t="str">
        <f t="shared" si="2"/>
        <v>normal order</v>
      </c>
      <c r="O50">
        <f>SQRT(Table1[[#This Row],[Quantity]])</f>
        <v>2.8284271247461903</v>
      </c>
      <c r="P50">
        <v>1494.74</v>
      </c>
      <c r="Q50">
        <v>11957.92</v>
      </c>
    </row>
    <row r="51" spans="1:17" x14ac:dyDescent="0.25">
      <c r="A51" t="s">
        <v>57</v>
      </c>
      <c r="B51" t="str">
        <f>MID(Table1[[#This Row],[Order_ID]],2,5)</f>
        <v>RD104</v>
      </c>
      <c r="C51" s="1">
        <v>45527</v>
      </c>
      <c r="D51" t="s">
        <v>511</v>
      </c>
      <c r="E51" t="s">
        <v>514</v>
      </c>
      <c r="F51" t="str">
        <f>LOWER(Table1[[#This Row],[City]])</f>
        <v>delhi</v>
      </c>
      <c r="G51" t="str">
        <f>UPPER(Table1[[#This Row],[City]])</f>
        <v>DELHI</v>
      </c>
      <c r="H51" t="str">
        <f>PROPER(Table1[[#This Row],[City]])</f>
        <v>Delhi</v>
      </c>
      <c r="I51" t="str">
        <f t="shared" si="0"/>
        <v>MegaMart _ Delhi</v>
      </c>
      <c r="J51" t="s">
        <v>523</v>
      </c>
      <c r="K51">
        <f t="shared" si="1"/>
        <v>14</v>
      </c>
      <c r="L51" t="str">
        <f>LEFT(Table1[[#This Row],[Category]],3)</f>
        <v>Hom</v>
      </c>
      <c r="M51">
        <v>10</v>
      </c>
      <c r="N51" s="4" t="str">
        <f t="shared" si="2"/>
        <v>normal order</v>
      </c>
      <c r="O51">
        <f>SQRT(Table1[[#This Row],[Quantity]])</f>
        <v>3.1622776601683795</v>
      </c>
      <c r="P51">
        <v>516.6</v>
      </c>
      <c r="Q51">
        <v>5166</v>
      </c>
    </row>
    <row r="52" spans="1:17" x14ac:dyDescent="0.25">
      <c r="A52" t="s">
        <v>58</v>
      </c>
      <c r="B52" t="str">
        <f>MID(Table1[[#This Row],[Order_ID]],2,5)</f>
        <v>RD105</v>
      </c>
      <c r="C52" s="1">
        <v>45566</v>
      </c>
      <c r="D52" t="s">
        <v>508</v>
      </c>
      <c r="E52" t="s">
        <v>516</v>
      </c>
      <c r="F52" t="str">
        <f>LOWER(Table1[[#This Row],[City]])</f>
        <v>chennai</v>
      </c>
      <c r="G52" t="str">
        <f>UPPER(Table1[[#This Row],[City]])</f>
        <v>CHENNAI</v>
      </c>
      <c r="H52" t="str">
        <f>PROPER(Table1[[#This Row],[City]])</f>
        <v>Chennai</v>
      </c>
      <c r="I52" t="str">
        <f t="shared" si="0"/>
        <v>ValueShop _ Chennai</v>
      </c>
      <c r="J52" t="s">
        <v>524</v>
      </c>
      <c r="K52">
        <f t="shared" si="1"/>
        <v>4</v>
      </c>
      <c r="L52" t="str">
        <f>LEFT(Table1[[#This Row],[Category]],3)</f>
        <v>Toy</v>
      </c>
      <c r="M52">
        <v>4</v>
      </c>
      <c r="N52" s="4" t="str">
        <f t="shared" si="2"/>
        <v>normal order</v>
      </c>
      <c r="O52">
        <f>SQRT(Table1[[#This Row],[Quantity]])</f>
        <v>2</v>
      </c>
      <c r="P52">
        <v>148.99</v>
      </c>
      <c r="Q52">
        <v>595.96</v>
      </c>
    </row>
    <row r="53" spans="1:17" x14ac:dyDescent="0.25">
      <c r="A53" t="s">
        <v>59</v>
      </c>
      <c r="B53" t="str">
        <f>MID(Table1[[#This Row],[Order_ID]],2,5)</f>
        <v>RD105</v>
      </c>
      <c r="C53" s="1">
        <v>45355</v>
      </c>
      <c r="D53" t="s">
        <v>508</v>
      </c>
      <c r="E53" t="s">
        <v>514</v>
      </c>
      <c r="F53" t="str">
        <f>LOWER(Table1[[#This Row],[City]])</f>
        <v>delhi</v>
      </c>
      <c r="G53" t="str">
        <f>UPPER(Table1[[#This Row],[City]])</f>
        <v>DELHI</v>
      </c>
      <c r="H53" t="str">
        <f>PROPER(Table1[[#This Row],[City]])</f>
        <v>Delhi</v>
      </c>
      <c r="I53" t="str">
        <f t="shared" si="0"/>
        <v>ValueShop _ Delhi</v>
      </c>
      <c r="J53" t="s">
        <v>524</v>
      </c>
      <c r="K53">
        <f t="shared" si="1"/>
        <v>4</v>
      </c>
      <c r="L53" t="str">
        <f>LEFT(Table1[[#This Row],[Category]],3)</f>
        <v>Toy</v>
      </c>
      <c r="M53">
        <v>2</v>
      </c>
      <c r="N53" s="4" t="str">
        <f t="shared" si="2"/>
        <v>normal order</v>
      </c>
      <c r="O53">
        <f>SQRT(Table1[[#This Row],[Quantity]])</f>
        <v>1.4142135623730951</v>
      </c>
      <c r="P53">
        <v>1815.11</v>
      </c>
      <c r="Q53">
        <v>3630.22</v>
      </c>
    </row>
    <row r="54" spans="1:17" x14ac:dyDescent="0.25">
      <c r="A54" t="s">
        <v>60</v>
      </c>
      <c r="B54" t="str">
        <f>MID(Table1[[#This Row],[Order_ID]],2,5)</f>
        <v>RD105</v>
      </c>
      <c r="C54" s="1">
        <v>45485</v>
      </c>
      <c r="D54" t="s">
        <v>509</v>
      </c>
      <c r="E54" t="s">
        <v>518</v>
      </c>
      <c r="F54" t="str">
        <f>LOWER(Table1[[#This Row],[City]])</f>
        <v>pune</v>
      </c>
      <c r="G54" t="str">
        <f>UPPER(Table1[[#This Row],[City]])</f>
        <v>PUNE</v>
      </c>
      <c r="H54" t="str">
        <f>PROPER(Table1[[#This Row],[City]])</f>
        <v>Pune</v>
      </c>
      <c r="I54" t="str">
        <f t="shared" si="0"/>
        <v>CityStore _ Pune</v>
      </c>
      <c r="J54" t="s">
        <v>525</v>
      </c>
      <c r="K54">
        <f t="shared" si="1"/>
        <v>9</v>
      </c>
      <c r="L54" t="str">
        <f>LEFT(Table1[[#This Row],[Category]],3)</f>
        <v>Gro</v>
      </c>
      <c r="M54">
        <v>8</v>
      </c>
      <c r="N54" s="4" t="str">
        <f t="shared" si="2"/>
        <v>normal order</v>
      </c>
      <c r="O54">
        <f>SQRT(Table1[[#This Row],[Quantity]])</f>
        <v>2.8284271247461903</v>
      </c>
      <c r="P54">
        <v>490.06</v>
      </c>
      <c r="Q54">
        <v>3920.48</v>
      </c>
    </row>
    <row r="55" spans="1:17" x14ac:dyDescent="0.25">
      <c r="A55" t="s">
        <v>61</v>
      </c>
      <c r="B55" t="str">
        <f>MID(Table1[[#This Row],[Order_ID]],2,5)</f>
        <v>RD105</v>
      </c>
      <c r="C55" s="1">
        <v>45332</v>
      </c>
      <c r="D55" t="s">
        <v>512</v>
      </c>
      <c r="E55" t="s">
        <v>515</v>
      </c>
      <c r="F55" t="str">
        <f>LOWER(Table1[[#This Row],[City]])</f>
        <v>kolkata</v>
      </c>
      <c r="G55" t="str">
        <f>UPPER(Table1[[#This Row],[City]])</f>
        <v>KOLKATA</v>
      </c>
      <c r="H55" t="str">
        <f>PROPER(Table1[[#This Row],[City]])</f>
        <v>Kolkata</v>
      </c>
      <c r="I55" t="str">
        <f t="shared" si="0"/>
        <v>Trendz _ Kolkata</v>
      </c>
      <c r="J55" t="s">
        <v>523</v>
      </c>
      <c r="K55">
        <f t="shared" si="1"/>
        <v>14</v>
      </c>
      <c r="L55" t="str">
        <f>LEFT(Table1[[#This Row],[Category]],3)</f>
        <v>Hom</v>
      </c>
      <c r="M55">
        <v>14</v>
      </c>
      <c r="N55" s="4" t="str">
        <f t="shared" si="2"/>
        <v>bulk order</v>
      </c>
      <c r="O55">
        <f>SQRT(Table1[[#This Row],[Quantity]])</f>
        <v>3.7416573867739413</v>
      </c>
      <c r="P55">
        <v>504.03</v>
      </c>
      <c r="Q55">
        <v>7056.42</v>
      </c>
    </row>
    <row r="56" spans="1:17" x14ac:dyDescent="0.25">
      <c r="A56" t="s">
        <v>62</v>
      </c>
      <c r="B56" t="str">
        <f>MID(Table1[[#This Row],[Order_ID]],2,5)</f>
        <v>RD105</v>
      </c>
      <c r="C56" s="1">
        <v>45574</v>
      </c>
      <c r="D56" t="s">
        <v>510</v>
      </c>
      <c r="E56" t="s">
        <v>519</v>
      </c>
      <c r="F56" t="str">
        <f>LOWER(Table1[[#This Row],[City]])</f>
        <v>mumbai</v>
      </c>
      <c r="G56" t="str">
        <f>UPPER(Table1[[#This Row],[City]])</f>
        <v>MUMBAI</v>
      </c>
      <c r="H56" t="str">
        <f>PROPER(Table1[[#This Row],[City]])</f>
        <v>Mumbai</v>
      </c>
      <c r="I56" t="str">
        <f t="shared" si="0"/>
        <v>QuickBuy _ Mumbai</v>
      </c>
      <c r="J56" t="s">
        <v>524</v>
      </c>
      <c r="K56">
        <f t="shared" si="1"/>
        <v>4</v>
      </c>
      <c r="L56" t="str">
        <f>LEFT(Table1[[#This Row],[Category]],3)</f>
        <v>Toy</v>
      </c>
      <c r="M56">
        <v>20</v>
      </c>
      <c r="N56" s="4" t="str">
        <f t="shared" si="2"/>
        <v>bulk order</v>
      </c>
      <c r="O56">
        <f>SQRT(Table1[[#This Row],[Quantity]])</f>
        <v>4.4721359549995796</v>
      </c>
      <c r="P56">
        <v>245.39</v>
      </c>
      <c r="Q56">
        <v>4907.7999999999993</v>
      </c>
    </row>
    <row r="57" spans="1:17" x14ac:dyDescent="0.25">
      <c r="A57" t="s">
        <v>63</v>
      </c>
      <c r="B57" t="str">
        <f>MID(Table1[[#This Row],[Order_ID]],2,5)</f>
        <v>RD105</v>
      </c>
      <c r="C57" s="1">
        <v>45442</v>
      </c>
      <c r="D57" t="s">
        <v>510</v>
      </c>
      <c r="E57" t="s">
        <v>516</v>
      </c>
      <c r="F57" t="str">
        <f>LOWER(Table1[[#This Row],[City]])</f>
        <v>chennai</v>
      </c>
      <c r="G57" t="str">
        <f>UPPER(Table1[[#This Row],[City]])</f>
        <v>CHENNAI</v>
      </c>
      <c r="H57" t="str">
        <f>PROPER(Table1[[#This Row],[City]])</f>
        <v>Chennai</v>
      </c>
      <c r="I57" t="str">
        <f t="shared" si="0"/>
        <v>QuickBuy _ Chennai</v>
      </c>
      <c r="J57" t="s">
        <v>524</v>
      </c>
      <c r="K57">
        <f t="shared" si="1"/>
        <v>4</v>
      </c>
      <c r="L57" t="str">
        <f>LEFT(Table1[[#This Row],[Category]],3)</f>
        <v>Toy</v>
      </c>
      <c r="M57">
        <v>15</v>
      </c>
      <c r="N57" s="4" t="str">
        <f t="shared" si="2"/>
        <v>bulk order</v>
      </c>
      <c r="O57">
        <f>SQRT(Table1[[#This Row],[Quantity]])</f>
        <v>3.872983346207417</v>
      </c>
      <c r="P57">
        <v>694.07</v>
      </c>
      <c r="Q57">
        <v>10411.049999999999</v>
      </c>
    </row>
    <row r="58" spans="1:17" x14ac:dyDescent="0.25">
      <c r="A58" t="s">
        <v>64</v>
      </c>
      <c r="B58" t="str">
        <f>MID(Table1[[#This Row],[Order_ID]],2,5)</f>
        <v>RD105</v>
      </c>
      <c r="C58" s="1">
        <v>45613</v>
      </c>
      <c r="D58" t="s">
        <v>508</v>
      </c>
      <c r="E58" t="s">
        <v>518</v>
      </c>
      <c r="F58" t="str">
        <f>LOWER(Table1[[#This Row],[City]])</f>
        <v>pune</v>
      </c>
      <c r="G58" t="str">
        <f>UPPER(Table1[[#This Row],[City]])</f>
        <v>PUNE</v>
      </c>
      <c r="H58" t="str">
        <f>PROPER(Table1[[#This Row],[City]])</f>
        <v>Pune</v>
      </c>
      <c r="I58" t="str">
        <f t="shared" si="0"/>
        <v>ValueShop _ Pune</v>
      </c>
      <c r="J58" t="s">
        <v>523</v>
      </c>
      <c r="K58">
        <f t="shared" si="1"/>
        <v>14</v>
      </c>
      <c r="L58" t="str">
        <f>LEFT(Table1[[#This Row],[Category]],3)</f>
        <v>Hom</v>
      </c>
      <c r="M58">
        <v>3</v>
      </c>
      <c r="N58" s="4" t="str">
        <f t="shared" si="2"/>
        <v>normal order</v>
      </c>
      <c r="O58">
        <f>SQRT(Table1[[#This Row],[Quantity]])</f>
        <v>1.7320508075688772</v>
      </c>
      <c r="P58">
        <v>971.19</v>
      </c>
      <c r="Q58">
        <v>2913.57</v>
      </c>
    </row>
    <row r="59" spans="1:17" x14ac:dyDescent="0.25">
      <c r="A59" t="s">
        <v>65</v>
      </c>
      <c r="B59" t="str">
        <f>MID(Table1[[#This Row],[Order_ID]],2,5)</f>
        <v>RD105</v>
      </c>
      <c r="C59" s="1">
        <v>45608</v>
      </c>
      <c r="D59" t="s">
        <v>512</v>
      </c>
      <c r="E59" t="s">
        <v>513</v>
      </c>
      <c r="F59" t="str">
        <f>LOWER(Table1[[#This Row],[City]])</f>
        <v>bangalore</v>
      </c>
      <c r="G59" t="str">
        <f>UPPER(Table1[[#This Row],[City]])</f>
        <v>BANGALORE</v>
      </c>
      <c r="H59" t="str">
        <f>PROPER(Table1[[#This Row],[City]])</f>
        <v>Bangalore</v>
      </c>
      <c r="I59" t="str">
        <f t="shared" si="0"/>
        <v>Trendz _ Bangalore</v>
      </c>
      <c r="J59" t="s">
        <v>520</v>
      </c>
      <c r="K59">
        <f t="shared" si="1"/>
        <v>11</v>
      </c>
      <c r="L59" t="str">
        <f>LEFT(Table1[[#This Row],[Category]],3)</f>
        <v>Ele</v>
      </c>
      <c r="M59">
        <v>4</v>
      </c>
      <c r="N59" s="4" t="str">
        <f t="shared" si="2"/>
        <v>normal order</v>
      </c>
      <c r="O59">
        <f>SQRT(Table1[[#This Row],[Quantity]])</f>
        <v>2</v>
      </c>
      <c r="P59">
        <v>1378.32</v>
      </c>
      <c r="Q59">
        <v>5513.28</v>
      </c>
    </row>
    <row r="60" spans="1:17" x14ac:dyDescent="0.25">
      <c r="A60" t="s">
        <v>66</v>
      </c>
      <c r="B60" t="str">
        <f>MID(Table1[[#This Row],[Order_ID]],2,5)</f>
        <v>RD105</v>
      </c>
      <c r="C60" s="1">
        <v>45477</v>
      </c>
      <c r="D60" t="s">
        <v>512</v>
      </c>
      <c r="E60" t="s">
        <v>517</v>
      </c>
      <c r="F60" t="str">
        <f>LOWER(Table1[[#This Row],[City]])</f>
        <v>hyderabad</v>
      </c>
      <c r="G60" t="str">
        <f>UPPER(Table1[[#This Row],[City]])</f>
        <v>HYDERABAD</v>
      </c>
      <c r="H60" t="str">
        <f>PROPER(Table1[[#This Row],[City]])</f>
        <v>Hyderabad</v>
      </c>
      <c r="I60" t="str">
        <f t="shared" si="0"/>
        <v>Trendz _ Hyderabad</v>
      </c>
      <c r="J60" t="s">
        <v>522</v>
      </c>
      <c r="K60">
        <f t="shared" si="1"/>
        <v>5</v>
      </c>
      <c r="L60" t="str">
        <f>LEFT(Table1[[#This Row],[Category]],3)</f>
        <v>Boo</v>
      </c>
      <c r="M60">
        <v>16</v>
      </c>
      <c r="N60" s="4" t="str">
        <f t="shared" si="2"/>
        <v>bulk order</v>
      </c>
      <c r="O60">
        <f>SQRT(Table1[[#This Row],[Quantity]])</f>
        <v>4</v>
      </c>
      <c r="P60">
        <v>318.06</v>
      </c>
      <c r="Q60">
        <v>5088.96</v>
      </c>
    </row>
    <row r="61" spans="1:17" x14ac:dyDescent="0.25">
      <c r="A61" t="s">
        <v>67</v>
      </c>
      <c r="B61" t="str">
        <f>MID(Table1[[#This Row],[Order_ID]],2,5)</f>
        <v>RD105</v>
      </c>
      <c r="C61" s="1">
        <v>45587</v>
      </c>
      <c r="D61" t="s">
        <v>512</v>
      </c>
      <c r="E61" t="s">
        <v>518</v>
      </c>
      <c r="F61" t="str">
        <f>LOWER(Table1[[#This Row],[City]])</f>
        <v>pune</v>
      </c>
      <c r="G61" t="str">
        <f>UPPER(Table1[[#This Row],[City]])</f>
        <v>PUNE</v>
      </c>
      <c r="H61" t="str">
        <f>PROPER(Table1[[#This Row],[City]])</f>
        <v>Pune</v>
      </c>
      <c r="I61" t="str">
        <f t="shared" si="0"/>
        <v>Trendz _ Pune</v>
      </c>
      <c r="J61" t="s">
        <v>520</v>
      </c>
      <c r="K61">
        <f t="shared" si="1"/>
        <v>11</v>
      </c>
      <c r="L61" t="str">
        <f>LEFT(Table1[[#This Row],[Category]],3)</f>
        <v>Ele</v>
      </c>
      <c r="M61">
        <v>20</v>
      </c>
      <c r="N61" s="4" t="str">
        <f t="shared" si="2"/>
        <v>bulk order</v>
      </c>
      <c r="O61">
        <f>SQRT(Table1[[#This Row],[Quantity]])</f>
        <v>4.4721359549995796</v>
      </c>
      <c r="P61">
        <v>1930.81</v>
      </c>
      <c r="Q61">
        <v>38616.199999999997</v>
      </c>
    </row>
    <row r="62" spans="1:17" x14ac:dyDescent="0.25">
      <c r="A62" t="s">
        <v>68</v>
      </c>
      <c r="B62" t="str">
        <f>MID(Table1[[#This Row],[Order_ID]],2,5)</f>
        <v>RD106</v>
      </c>
      <c r="C62" s="1">
        <v>45390</v>
      </c>
      <c r="D62" t="s">
        <v>509</v>
      </c>
      <c r="E62" t="s">
        <v>513</v>
      </c>
      <c r="F62" t="str">
        <f>LOWER(Table1[[#This Row],[City]])</f>
        <v>bangalore</v>
      </c>
      <c r="G62" t="str">
        <f>UPPER(Table1[[#This Row],[City]])</f>
        <v>BANGALORE</v>
      </c>
      <c r="H62" t="str">
        <f>PROPER(Table1[[#This Row],[City]])</f>
        <v>Bangalore</v>
      </c>
      <c r="I62" t="str">
        <f t="shared" si="0"/>
        <v>CityStore _ Bangalore</v>
      </c>
      <c r="J62" t="s">
        <v>522</v>
      </c>
      <c r="K62">
        <f t="shared" si="1"/>
        <v>5</v>
      </c>
      <c r="L62" t="str">
        <f>LEFT(Table1[[#This Row],[Category]],3)</f>
        <v>Boo</v>
      </c>
      <c r="M62">
        <v>18</v>
      </c>
      <c r="N62" s="4" t="str">
        <f t="shared" si="2"/>
        <v>bulk order</v>
      </c>
      <c r="O62">
        <f>SQRT(Table1[[#This Row],[Quantity]])</f>
        <v>4.2426406871192848</v>
      </c>
      <c r="P62">
        <v>1956.93</v>
      </c>
      <c r="Q62">
        <v>35224.74</v>
      </c>
    </row>
    <row r="63" spans="1:17" x14ac:dyDescent="0.25">
      <c r="A63" t="s">
        <v>69</v>
      </c>
      <c r="B63" t="str">
        <f>MID(Table1[[#This Row],[Order_ID]],2,5)</f>
        <v>RD106</v>
      </c>
      <c r="C63" s="1">
        <v>45652</v>
      </c>
      <c r="D63" t="s">
        <v>510</v>
      </c>
      <c r="E63" t="s">
        <v>516</v>
      </c>
      <c r="F63" t="str">
        <f>LOWER(Table1[[#This Row],[City]])</f>
        <v>chennai</v>
      </c>
      <c r="G63" t="str">
        <f>UPPER(Table1[[#This Row],[City]])</f>
        <v>CHENNAI</v>
      </c>
      <c r="H63" t="str">
        <f>PROPER(Table1[[#This Row],[City]])</f>
        <v>Chennai</v>
      </c>
      <c r="I63" t="str">
        <f t="shared" si="0"/>
        <v>QuickBuy _ Chennai</v>
      </c>
      <c r="J63" t="s">
        <v>522</v>
      </c>
      <c r="K63">
        <f t="shared" si="1"/>
        <v>5</v>
      </c>
      <c r="L63" t="str">
        <f>LEFT(Table1[[#This Row],[Category]],3)</f>
        <v>Boo</v>
      </c>
      <c r="M63">
        <v>1</v>
      </c>
      <c r="N63" s="4" t="str">
        <f t="shared" si="2"/>
        <v>normal order</v>
      </c>
      <c r="O63">
        <f>SQRT(Table1[[#This Row],[Quantity]])</f>
        <v>1</v>
      </c>
      <c r="P63">
        <v>357.99</v>
      </c>
      <c r="Q63">
        <v>357.99</v>
      </c>
    </row>
    <row r="64" spans="1:17" x14ac:dyDescent="0.25">
      <c r="A64" t="s">
        <v>70</v>
      </c>
      <c r="B64" t="str">
        <f>MID(Table1[[#This Row],[Order_ID]],2,5)</f>
        <v>RD106</v>
      </c>
      <c r="C64" s="1">
        <v>45327</v>
      </c>
      <c r="D64" t="s">
        <v>512</v>
      </c>
      <c r="E64" t="s">
        <v>515</v>
      </c>
      <c r="F64" t="str">
        <f>LOWER(Table1[[#This Row],[City]])</f>
        <v>kolkata</v>
      </c>
      <c r="G64" t="str">
        <f>UPPER(Table1[[#This Row],[City]])</f>
        <v>KOLKATA</v>
      </c>
      <c r="H64" t="str">
        <f>PROPER(Table1[[#This Row],[City]])</f>
        <v>Kolkata</v>
      </c>
      <c r="I64" t="str">
        <f t="shared" si="0"/>
        <v>Trendz _ Kolkata</v>
      </c>
      <c r="J64" t="s">
        <v>524</v>
      </c>
      <c r="K64">
        <f t="shared" si="1"/>
        <v>4</v>
      </c>
      <c r="L64" t="str">
        <f>LEFT(Table1[[#This Row],[Category]],3)</f>
        <v>Toy</v>
      </c>
      <c r="M64">
        <v>17</v>
      </c>
      <c r="N64" s="4" t="str">
        <f t="shared" si="2"/>
        <v>bulk order</v>
      </c>
      <c r="O64">
        <f>SQRT(Table1[[#This Row],[Quantity]])</f>
        <v>4.1231056256176606</v>
      </c>
      <c r="P64">
        <v>1323.14</v>
      </c>
      <c r="Q64">
        <v>22493.38</v>
      </c>
    </row>
    <row r="65" spans="1:17" x14ac:dyDescent="0.25">
      <c r="A65" t="s">
        <v>71</v>
      </c>
      <c r="B65" t="str">
        <f>MID(Table1[[#This Row],[Order_ID]],2,5)</f>
        <v>RD106</v>
      </c>
      <c r="C65" s="1">
        <v>45315</v>
      </c>
      <c r="D65" t="s">
        <v>509</v>
      </c>
      <c r="E65" t="s">
        <v>516</v>
      </c>
      <c r="F65" t="str">
        <f>LOWER(Table1[[#This Row],[City]])</f>
        <v>chennai</v>
      </c>
      <c r="G65" t="str">
        <f>UPPER(Table1[[#This Row],[City]])</f>
        <v>CHENNAI</v>
      </c>
      <c r="H65" t="str">
        <f>PROPER(Table1[[#This Row],[City]])</f>
        <v>Chennai</v>
      </c>
      <c r="I65" t="str">
        <f t="shared" si="0"/>
        <v>CityStore _ Chennai</v>
      </c>
      <c r="J65" t="s">
        <v>522</v>
      </c>
      <c r="K65">
        <f t="shared" si="1"/>
        <v>5</v>
      </c>
      <c r="L65" t="str">
        <f>LEFT(Table1[[#This Row],[Category]],3)</f>
        <v>Boo</v>
      </c>
      <c r="M65">
        <v>19</v>
      </c>
      <c r="N65" s="4" t="str">
        <f t="shared" si="2"/>
        <v>bulk order</v>
      </c>
      <c r="O65">
        <f>SQRT(Table1[[#This Row],[Quantity]])</f>
        <v>4.358898943540674</v>
      </c>
      <c r="P65">
        <v>1767.26</v>
      </c>
      <c r="Q65">
        <v>33577.94</v>
      </c>
    </row>
    <row r="66" spans="1:17" x14ac:dyDescent="0.25">
      <c r="A66" t="s">
        <v>72</v>
      </c>
      <c r="B66" t="str">
        <f>MID(Table1[[#This Row],[Order_ID]],2,5)</f>
        <v>RD106</v>
      </c>
      <c r="C66" s="1">
        <v>45630</v>
      </c>
      <c r="D66" t="s">
        <v>511</v>
      </c>
      <c r="E66" t="s">
        <v>516</v>
      </c>
      <c r="F66" t="str">
        <f>LOWER(Table1[[#This Row],[City]])</f>
        <v>chennai</v>
      </c>
      <c r="G66" t="str">
        <f>UPPER(Table1[[#This Row],[City]])</f>
        <v>CHENNAI</v>
      </c>
      <c r="H66" t="str">
        <f>PROPER(Table1[[#This Row],[City]])</f>
        <v>Chennai</v>
      </c>
      <c r="I66" t="str">
        <f t="shared" ref="I66:I129" si="3">CONCATENATE(D66," _ ",E66)</f>
        <v>MegaMart _ Chennai</v>
      </c>
      <c r="J66" t="s">
        <v>521</v>
      </c>
      <c r="K66">
        <f t="shared" ref="K66:K129" si="4">LEN(J66)</f>
        <v>8</v>
      </c>
      <c r="L66" t="str">
        <f>LEFT(Table1[[#This Row],[Category]],3)</f>
        <v>Clo</v>
      </c>
      <c r="M66">
        <v>8</v>
      </c>
      <c r="N66" s="4" t="str">
        <f t="shared" si="2"/>
        <v>normal order</v>
      </c>
      <c r="O66">
        <f>SQRT(Table1[[#This Row],[Quantity]])</f>
        <v>2.8284271247461903</v>
      </c>
      <c r="P66">
        <v>977.61</v>
      </c>
      <c r="Q66">
        <v>7820.88</v>
      </c>
    </row>
    <row r="67" spans="1:17" x14ac:dyDescent="0.25">
      <c r="A67" t="s">
        <v>73</v>
      </c>
      <c r="B67" t="str">
        <f>MID(Table1[[#This Row],[Order_ID]],2,5)</f>
        <v>RD106</v>
      </c>
      <c r="C67" s="1">
        <v>45408</v>
      </c>
      <c r="D67" t="s">
        <v>508</v>
      </c>
      <c r="E67" t="s">
        <v>519</v>
      </c>
      <c r="F67" t="str">
        <f>LOWER(Table1[[#This Row],[City]])</f>
        <v>mumbai</v>
      </c>
      <c r="G67" t="str">
        <f>UPPER(Table1[[#This Row],[City]])</f>
        <v>MUMBAI</v>
      </c>
      <c r="H67" t="str">
        <f>PROPER(Table1[[#This Row],[City]])</f>
        <v>Mumbai</v>
      </c>
      <c r="I67" t="str">
        <f t="shared" si="3"/>
        <v>ValueShop _ Mumbai</v>
      </c>
      <c r="J67" t="s">
        <v>523</v>
      </c>
      <c r="K67">
        <f t="shared" si="4"/>
        <v>14</v>
      </c>
      <c r="L67" t="str">
        <f>LEFT(Table1[[#This Row],[Category]],3)</f>
        <v>Hom</v>
      </c>
      <c r="M67">
        <v>5</v>
      </c>
      <c r="N67" s="4" t="str">
        <f t="shared" ref="N67:N130" si="5">IF(M67&gt;10,"bulk order","normal order")</f>
        <v>normal order</v>
      </c>
      <c r="O67">
        <f>SQRT(Table1[[#This Row],[Quantity]])</f>
        <v>2.2360679774997898</v>
      </c>
      <c r="P67">
        <v>1318.55</v>
      </c>
      <c r="Q67">
        <v>6592.75</v>
      </c>
    </row>
    <row r="68" spans="1:17" x14ac:dyDescent="0.25">
      <c r="A68" t="s">
        <v>74</v>
      </c>
      <c r="B68" t="str">
        <f>MID(Table1[[#This Row],[Order_ID]],2,5)</f>
        <v>RD106</v>
      </c>
      <c r="C68" s="1">
        <v>45440</v>
      </c>
      <c r="D68" t="s">
        <v>510</v>
      </c>
      <c r="E68" t="s">
        <v>516</v>
      </c>
      <c r="F68" t="str">
        <f>LOWER(Table1[[#This Row],[City]])</f>
        <v>chennai</v>
      </c>
      <c r="G68" t="str">
        <f>UPPER(Table1[[#This Row],[City]])</f>
        <v>CHENNAI</v>
      </c>
      <c r="H68" t="str">
        <f>PROPER(Table1[[#This Row],[City]])</f>
        <v>Chennai</v>
      </c>
      <c r="I68" t="str">
        <f t="shared" si="3"/>
        <v>QuickBuy _ Chennai</v>
      </c>
      <c r="J68" t="s">
        <v>523</v>
      </c>
      <c r="K68">
        <f t="shared" si="4"/>
        <v>14</v>
      </c>
      <c r="L68" t="str">
        <f>LEFT(Table1[[#This Row],[Category]],3)</f>
        <v>Hom</v>
      </c>
      <c r="M68">
        <v>10</v>
      </c>
      <c r="N68" s="4" t="str">
        <f t="shared" si="5"/>
        <v>normal order</v>
      </c>
      <c r="O68">
        <f>SQRT(Table1[[#This Row],[Quantity]])</f>
        <v>3.1622776601683795</v>
      </c>
      <c r="P68">
        <v>1524.03</v>
      </c>
      <c r="Q68">
        <v>15240.3</v>
      </c>
    </row>
    <row r="69" spans="1:17" x14ac:dyDescent="0.25">
      <c r="A69" t="s">
        <v>75</v>
      </c>
      <c r="B69" t="str">
        <f>MID(Table1[[#This Row],[Order_ID]],2,5)</f>
        <v>RD106</v>
      </c>
      <c r="C69" s="1">
        <v>45332</v>
      </c>
      <c r="D69" t="s">
        <v>510</v>
      </c>
      <c r="E69" t="s">
        <v>517</v>
      </c>
      <c r="F69" t="str">
        <f>LOWER(Table1[[#This Row],[City]])</f>
        <v>hyderabad</v>
      </c>
      <c r="G69" t="str">
        <f>UPPER(Table1[[#This Row],[City]])</f>
        <v>HYDERABAD</v>
      </c>
      <c r="H69" t="str">
        <f>PROPER(Table1[[#This Row],[City]])</f>
        <v>Hyderabad</v>
      </c>
      <c r="I69" t="str">
        <f t="shared" si="3"/>
        <v>QuickBuy _ Hyderabad</v>
      </c>
      <c r="J69" t="s">
        <v>521</v>
      </c>
      <c r="K69">
        <f t="shared" si="4"/>
        <v>8</v>
      </c>
      <c r="L69" t="str">
        <f>LEFT(Table1[[#This Row],[Category]],3)</f>
        <v>Clo</v>
      </c>
      <c r="M69">
        <v>14</v>
      </c>
      <c r="N69" s="4" t="str">
        <f t="shared" si="5"/>
        <v>bulk order</v>
      </c>
      <c r="O69">
        <f>SQRT(Table1[[#This Row],[Quantity]])</f>
        <v>3.7416573867739413</v>
      </c>
      <c r="P69">
        <v>610.13</v>
      </c>
      <c r="Q69">
        <v>8541.82</v>
      </c>
    </row>
    <row r="70" spans="1:17" x14ac:dyDescent="0.25">
      <c r="A70" t="s">
        <v>76</v>
      </c>
      <c r="B70" t="str">
        <f>MID(Table1[[#This Row],[Order_ID]],2,5)</f>
        <v>RD106</v>
      </c>
      <c r="C70" s="1">
        <v>45411</v>
      </c>
      <c r="D70" t="s">
        <v>508</v>
      </c>
      <c r="E70" t="s">
        <v>519</v>
      </c>
      <c r="F70" t="str">
        <f>LOWER(Table1[[#This Row],[City]])</f>
        <v>mumbai</v>
      </c>
      <c r="G70" t="str">
        <f>UPPER(Table1[[#This Row],[City]])</f>
        <v>MUMBAI</v>
      </c>
      <c r="H70" t="str">
        <f>PROPER(Table1[[#This Row],[City]])</f>
        <v>Mumbai</v>
      </c>
      <c r="I70" t="str">
        <f t="shared" si="3"/>
        <v>ValueShop _ Mumbai</v>
      </c>
      <c r="J70" t="s">
        <v>523</v>
      </c>
      <c r="K70">
        <f t="shared" si="4"/>
        <v>14</v>
      </c>
      <c r="L70" t="str">
        <f>LEFT(Table1[[#This Row],[Category]],3)</f>
        <v>Hom</v>
      </c>
      <c r="M70">
        <v>1</v>
      </c>
      <c r="N70" s="4" t="str">
        <f t="shared" si="5"/>
        <v>normal order</v>
      </c>
      <c r="O70">
        <f>SQRT(Table1[[#This Row],[Quantity]])</f>
        <v>1</v>
      </c>
      <c r="P70">
        <v>606.55999999999995</v>
      </c>
      <c r="Q70">
        <v>606.55999999999995</v>
      </c>
    </row>
    <row r="71" spans="1:17" x14ac:dyDescent="0.25">
      <c r="A71" t="s">
        <v>77</v>
      </c>
      <c r="B71" t="str">
        <f>MID(Table1[[#This Row],[Order_ID]],2,5)</f>
        <v>RD106</v>
      </c>
      <c r="C71" s="1">
        <v>45343</v>
      </c>
      <c r="D71" t="s">
        <v>511</v>
      </c>
      <c r="E71" t="s">
        <v>516</v>
      </c>
      <c r="F71" t="str">
        <f>LOWER(Table1[[#This Row],[City]])</f>
        <v>chennai</v>
      </c>
      <c r="G71" t="str">
        <f>UPPER(Table1[[#This Row],[City]])</f>
        <v>CHENNAI</v>
      </c>
      <c r="H71" t="str">
        <f>PROPER(Table1[[#This Row],[City]])</f>
        <v>Chennai</v>
      </c>
      <c r="I71" t="str">
        <f t="shared" si="3"/>
        <v>MegaMart _ Chennai</v>
      </c>
      <c r="J71" t="s">
        <v>525</v>
      </c>
      <c r="K71">
        <f t="shared" si="4"/>
        <v>9</v>
      </c>
      <c r="L71" t="str">
        <f>LEFT(Table1[[#This Row],[Category]],3)</f>
        <v>Gro</v>
      </c>
      <c r="M71">
        <v>20</v>
      </c>
      <c r="N71" s="4" t="str">
        <f t="shared" si="5"/>
        <v>bulk order</v>
      </c>
      <c r="O71">
        <f>SQRT(Table1[[#This Row],[Quantity]])</f>
        <v>4.4721359549995796</v>
      </c>
      <c r="P71">
        <v>165.37</v>
      </c>
      <c r="Q71">
        <v>3307.4</v>
      </c>
    </row>
    <row r="72" spans="1:17" x14ac:dyDescent="0.25">
      <c r="A72" t="s">
        <v>78</v>
      </c>
      <c r="B72" t="str">
        <f>MID(Table1[[#This Row],[Order_ID]],2,5)</f>
        <v>RD107</v>
      </c>
      <c r="C72" s="1">
        <v>45486</v>
      </c>
      <c r="D72" t="s">
        <v>509</v>
      </c>
      <c r="E72" t="s">
        <v>519</v>
      </c>
      <c r="F72" t="str">
        <f>LOWER(Table1[[#This Row],[City]])</f>
        <v>mumbai</v>
      </c>
      <c r="G72" t="str">
        <f>UPPER(Table1[[#This Row],[City]])</f>
        <v>MUMBAI</v>
      </c>
      <c r="H72" t="str">
        <f>PROPER(Table1[[#This Row],[City]])</f>
        <v>Mumbai</v>
      </c>
      <c r="I72" t="str">
        <f t="shared" si="3"/>
        <v>CityStore _ Mumbai</v>
      </c>
      <c r="J72" t="s">
        <v>523</v>
      </c>
      <c r="K72">
        <f t="shared" si="4"/>
        <v>14</v>
      </c>
      <c r="L72" t="str">
        <f>LEFT(Table1[[#This Row],[Category]],3)</f>
        <v>Hom</v>
      </c>
      <c r="M72">
        <v>12</v>
      </c>
      <c r="N72" s="4" t="str">
        <f t="shared" si="5"/>
        <v>bulk order</v>
      </c>
      <c r="O72">
        <f>SQRT(Table1[[#This Row],[Quantity]])</f>
        <v>3.4641016151377544</v>
      </c>
      <c r="P72">
        <v>1549.01</v>
      </c>
      <c r="Q72">
        <v>18588.12</v>
      </c>
    </row>
    <row r="73" spans="1:17" x14ac:dyDescent="0.25">
      <c r="A73" t="s">
        <v>79</v>
      </c>
      <c r="B73" t="str">
        <f>MID(Table1[[#This Row],[Order_ID]],2,5)</f>
        <v>RD107</v>
      </c>
      <c r="C73" s="1">
        <v>45434</v>
      </c>
      <c r="D73" t="s">
        <v>508</v>
      </c>
      <c r="E73" t="s">
        <v>517</v>
      </c>
      <c r="F73" t="str">
        <f>LOWER(Table1[[#This Row],[City]])</f>
        <v>hyderabad</v>
      </c>
      <c r="G73" t="str">
        <f>UPPER(Table1[[#This Row],[City]])</f>
        <v>HYDERABAD</v>
      </c>
      <c r="H73" t="str">
        <f>PROPER(Table1[[#This Row],[City]])</f>
        <v>Hyderabad</v>
      </c>
      <c r="I73" t="str">
        <f t="shared" si="3"/>
        <v>ValueShop _ Hyderabad</v>
      </c>
      <c r="J73" t="s">
        <v>523</v>
      </c>
      <c r="K73">
        <f t="shared" si="4"/>
        <v>14</v>
      </c>
      <c r="L73" t="str">
        <f>LEFT(Table1[[#This Row],[Category]],3)</f>
        <v>Hom</v>
      </c>
      <c r="M73">
        <v>8</v>
      </c>
      <c r="N73" s="4" t="str">
        <f t="shared" si="5"/>
        <v>normal order</v>
      </c>
      <c r="O73">
        <f>SQRT(Table1[[#This Row],[Quantity]])</f>
        <v>2.8284271247461903</v>
      </c>
      <c r="P73">
        <v>1321.98</v>
      </c>
      <c r="Q73">
        <v>10575.84</v>
      </c>
    </row>
    <row r="74" spans="1:17" x14ac:dyDescent="0.25">
      <c r="A74" t="s">
        <v>80</v>
      </c>
      <c r="B74" t="str">
        <f>MID(Table1[[#This Row],[Order_ID]],2,5)</f>
        <v>RD107</v>
      </c>
      <c r="C74" s="1">
        <v>45524</v>
      </c>
      <c r="D74" t="s">
        <v>509</v>
      </c>
      <c r="E74" t="s">
        <v>517</v>
      </c>
      <c r="F74" t="str">
        <f>LOWER(Table1[[#This Row],[City]])</f>
        <v>hyderabad</v>
      </c>
      <c r="G74" t="str">
        <f>UPPER(Table1[[#This Row],[City]])</f>
        <v>HYDERABAD</v>
      </c>
      <c r="H74" t="str">
        <f>PROPER(Table1[[#This Row],[City]])</f>
        <v>Hyderabad</v>
      </c>
      <c r="I74" t="str">
        <f t="shared" si="3"/>
        <v>CityStore _ Hyderabad</v>
      </c>
      <c r="J74" t="s">
        <v>523</v>
      </c>
      <c r="K74">
        <f t="shared" si="4"/>
        <v>14</v>
      </c>
      <c r="L74" t="str">
        <f>LEFT(Table1[[#This Row],[Category]],3)</f>
        <v>Hom</v>
      </c>
      <c r="M74">
        <v>19</v>
      </c>
      <c r="N74" s="4" t="str">
        <f t="shared" si="5"/>
        <v>bulk order</v>
      </c>
      <c r="O74">
        <f>SQRT(Table1[[#This Row],[Quantity]])</f>
        <v>4.358898943540674</v>
      </c>
      <c r="P74">
        <v>502.83</v>
      </c>
      <c r="Q74">
        <v>9553.77</v>
      </c>
    </row>
    <row r="75" spans="1:17" x14ac:dyDescent="0.25">
      <c r="A75" t="s">
        <v>81</v>
      </c>
      <c r="B75" t="str">
        <f>MID(Table1[[#This Row],[Order_ID]],2,5)</f>
        <v>RD107</v>
      </c>
      <c r="C75" s="1">
        <v>45617</v>
      </c>
      <c r="D75" t="s">
        <v>509</v>
      </c>
      <c r="E75" t="s">
        <v>518</v>
      </c>
      <c r="F75" t="str">
        <f>LOWER(Table1[[#This Row],[City]])</f>
        <v>pune</v>
      </c>
      <c r="G75" t="str">
        <f>UPPER(Table1[[#This Row],[City]])</f>
        <v>PUNE</v>
      </c>
      <c r="H75" t="str">
        <f>PROPER(Table1[[#This Row],[City]])</f>
        <v>Pune</v>
      </c>
      <c r="I75" t="str">
        <f t="shared" si="3"/>
        <v>CityStore _ Pune</v>
      </c>
      <c r="J75" t="s">
        <v>522</v>
      </c>
      <c r="K75">
        <f t="shared" si="4"/>
        <v>5</v>
      </c>
      <c r="L75" t="str">
        <f>LEFT(Table1[[#This Row],[Category]],3)</f>
        <v>Boo</v>
      </c>
      <c r="M75">
        <v>14</v>
      </c>
      <c r="N75" s="4" t="str">
        <f t="shared" si="5"/>
        <v>bulk order</v>
      </c>
      <c r="O75">
        <f>SQRT(Table1[[#This Row],[Quantity]])</f>
        <v>3.7416573867739413</v>
      </c>
      <c r="P75">
        <v>1490.44</v>
      </c>
      <c r="Q75">
        <v>20866.16</v>
      </c>
    </row>
    <row r="76" spans="1:17" x14ac:dyDescent="0.25">
      <c r="A76" t="s">
        <v>82</v>
      </c>
      <c r="B76" t="str">
        <f>MID(Table1[[#This Row],[Order_ID]],2,5)</f>
        <v>RD107</v>
      </c>
      <c r="C76" s="1">
        <v>45478</v>
      </c>
      <c r="D76" t="s">
        <v>509</v>
      </c>
      <c r="E76" t="s">
        <v>519</v>
      </c>
      <c r="F76" t="str">
        <f>LOWER(Table1[[#This Row],[City]])</f>
        <v>mumbai</v>
      </c>
      <c r="G76" t="str">
        <f>UPPER(Table1[[#This Row],[City]])</f>
        <v>MUMBAI</v>
      </c>
      <c r="H76" t="str">
        <f>PROPER(Table1[[#This Row],[City]])</f>
        <v>Mumbai</v>
      </c>
      <c r="I76" t="str">
        <f t="shared" si="3"/>
        <v>CityStore _ Mumbai</v>
      </c>
      <c r="J76" t="s">
        <v>520</v>
      </c>
      <c r="K76">
        <f t="shared" si="4"/>
        <v>11</v>
      </c>
      <c r="L76" t="str">
        <f>LEFT(Table1[[#This Row],[Category]],3)</f>
        <v>Ele</v>
      </c>
      <c r="M76">
        <v>6</v>
      </c>
      <c r="N76" s="4" t="str">
        <f t="shared" si="5"/>
        <v>normal order</v>
      </c>
      <c r="O76">
        <f>SQRT(Table1[[#This Row],[Quantity]])</f>
        <v>2.4494897427831779</v>
      </c>
      <c r="P76">
        <v>1708.15</v>
      </c>
      <c r="Q76">
        <v>10248.9</v>
      </c>
    </row>
    <row r="77" spans="1:17" x14ac:dyDescent="0.25">
      <c r="A77" t="s">
        <v>83</v>
      </c>
      <c r="B77" t="str">
        <f>MID(Table1[[#This Row],[Order_ID]],2,5)</f>
        <v>RD107</v>
      </c>
      <c r="C77" s="1">
        <v>45375</v>
      </c>
      <c r="D77" t="s">
        <v>511</v>
      </c>
      <c r="E77" t="s">
        <v>515</v>
      </c>
      <c r="F77" t="str">
        <f>LOWER(Table1[[#This Row],[City]])</f>
        <v>kolkata</v>
      </c>
      <c r="G77" t="str">
        <f>UPPER(Table1[[#This Row],[City]])</f>
        <v>KOLKATA</v>
      </c>
      <c r="H77" t="str">
        <f>PROPER(Table1[[#This Row],[City]])</f>
        <v>Kolkata</v>
      </c>
      <c r="I77" t="str">
        <f t="shared" si="3"/>
        <v>MegaMart _ Kolkata</v>
      </c>
      <c r="J77" t="s">
        <v>525</v>
      </c>
      <c r="K77">
        <f t="shared" si="4"/>
        <v>9</v>
      </c>
      <c r="L77" t="str">
        <f>LEFT(Table1[[#This Row],[Category]],3)</f>
        <v>Gro</v>
      </c>
      <c r="M77">
        <v>3</v>
      </c>
      <c r="N77" s="4" t="str">
        <f t="shared" si="5"/>
        <v>normal order</v>
      </c>
      <c r="O77">
        <f>SQRT(Table1[[#This Row],[Quantity]])</f>
        <v>1.7320508075688772</v>
      </c>
      <c r="P77">
        <v>122.73</v>
      </c>
      <c r="Q77">
        <v>368.19</v>
      </c>
    </row>
    <row r="78" spans="1:17" x14ac:dyDescent="0.25">
      <c r="A78" t="s">
        <v>84</v>
      </c>
      <c r="B78" t="str">
        <f>MID(Table1[[#This Row],[Order_ID]],2,5)</f>
        <v>RD107</v>
      </c>
      <c r="C78" s="1">
        <v>45481</v>
      </c>
      <c r="D78" t="s">
        <v>511</v>
      </c>
      <c r="E78" t="s">
        <v>514</v>
      </c>
      <c r="F78" t="str">
        <f>LOWER(Table1[[#This Row],[City]])</f>
        <v>delhi</v>
      </c>
      <c r="G78" t="str">
        <f>UPPER(Table1[[#This Row],[City]])</f>
        <v>DELHI</v>
      </c>
      <c r="H78" t="str">
        <f>PROPER(Table1[[#This Row],[City]])</f>
        <v>Delhi</v>
      </c>
      <c r="I78" t="str">
        <f t="shared" si="3"/>
        <v>MegaMart _ Delhi</v>
      </c>
      <c r="J78" t="s">
        <v>523</v>
      </c>
      <c r="K78">
        <f t="shared" si="4"/>
        <v>14</v>
      </c>
      <c r="L78" t="str">
        <f>LEFT(Table1[[#This Row],[Category]],3)</f>
        <v>Hom</v>
      </c>
      <c r="M78">
        <v>17</v>
      </c>
      <c r="N78" s="4" t="str">
        <f t="shared" si="5"/>
        <v>bulk order</v>
      </c>
      <c r="O78">
        <f>SQRT(Table1[[#This Row],[Quantity]])</f>
        <v>4.1231056256176606</v>
      </c>
      <c r="P78">
        <v>1846.87</v>
      </c>
      <c r="Q78">
        <v>31396.79</v>
      </c>
    </row>
    <row r="79" spans="1:17" x14ac:dyDescent="0.25">
      <c r="A79" t="s">
        <v>85</v>
      </c>
      <c r="B79" t="str">
        <f>MID(Table1[[#This Row],[Order_ID]],2,5)</f>
        <v>RD107</v>
      </c>
      <c r="C79" s="1">
        <v>45473</v>
      </c>
      <c r="D79" t="s">
        <v>509</v>
      </c>
      <c r="E79" t="s">
        <v>513</v>
      </c>
      <c r="F79" t="str">
        <f>LOWER(Table1[[#This Row],[City]])</f>
        <v>bangalore</v>
      </c>
      <c r="G79" t="str">
        <f>UPPER(Table1[[#This Row],[City]])</f>
        <v>BANGALORE</v>
      </c>
      <c r="H79" t="str">
        <f>PROPER(Table1[[#This Row],[City]])</f>
        <v>Bangalore</v>
      </c>
      <c r="I79" t="str">
        <f t="shared" si="3"/>
        <v>CityStore _ Bangalore</v>
      </c>
      <c r="J79" t="s">
        <v>525</v>
      </c>
      <c r="K79">
        <f t="shared" si="4"/>
        <v>9</v>
      </c>
      <c r="L79" t="str">
        <f>LEFT(Table1[[#This Row],[Category]],3)</f>
        <v>Gro</v>
      </c>
      <c r="M79">
        <v>12</v>
      </c>
      <c r="N79" s="4" t="str">
        <f t="shared" si="5"/>
        <v>bulk order</v>
      </c>
      <c r="O79">
        <f>SQRT(Table1[[#This Row],[Quantity]])</f>
        <v>3.4641016151377544</v>
      </c>
      <c r="P79">
        <v>864.88</v>
      </c>
      <c r="Q79">
        <v>10378.56</v>
      </c>
    </row>
    <row r="80" spans="1:17" x14ac:dyDescent="0.25">
      <c r="A80" t="s">
        <v>86</v>
      </c>
      <c r="B80" t="str">
        <f>MID(Table1[[#This Row],[Order_ID]],2,5)</f>
        <v>RD107</v>
      </c>
      <c r="C80" s="1">
        <v>45399</v>
      </c>
      <c r="D80" t="s">
        <v>512</v>
      </c>
      <c r="E80" t="s">
        <v>515</v>
      </c>
      <c r="F80" t="str">
        <f>LOWER(Table1[[#This Row],[City]])</f>
        <v>kolkata</v>
      </c>
      <c r="G80" t="str">
        <f>UPPER(Table1[[#This Row],[City]])</f>
        <v>KOLKATA</v>
      </c>
      <c r="H80" t="str">
        <f>PROPER(Table1[[#This Row],[City]])</f>
        <v>Kolkata</v>
      </c>
      <c r="I80" t="str">
        <f t="shared" si="3"/>
        <v>Trendz _ Kolkata</v>
      </c>
      <c r="J80" t="s">
        <v>522</v>
      </c>
      <c r="K80">
        <f t="shared" si="4"/>
        <v>5</v>
      </c>
      <c r="L80" t="str">
        <f>LEFT(Table1[[#This Row],[Category]],3)</f>
        <v>Boo</v>
      </c>
      <c r="M80">
        <v>3</v>
      </c>
      <c r="N80" s="4" t="str">
        <f t="shared" si="5"/>
        <v>normal order</v>
      </c>
      <c r="O80">
        <f>SQRT(Table1[[#This Row],[Quantity]])</f>
        <v>1.7320508075688772</v>
      </c>
      <c r="P80">
        <v>1683.33</v>
      </c>
      <c r="Q80">
        <v>5049.99</v>
      </c>
    </row>
    <row r="81" spans="1:17" x14ac:dyDescent="0.25">
      <c r="A81" t="s">
        <v>87</v>
      </c>
      <c r="B81" t="str">
        <f>MID(Table1[[#This Row],[Order_ID]],2,5)</f>
        <v>RD107</v>
      </c>
      <c r="C81" s="1">
        <v>45635</v>
      </c>
      <c r="D81" t="s">
        <v>510</v>
      </c>
      <c r="E81" t="s">
        <v>515</v>
      </c>
      <c r="F81" t="str">
        <f>LOWER(Table1[[#This Row],[City]])</f>
        <v>kolkata</v>
      </c>
      <c r="G81" t="str">
        <f>UPPER(Table1[[#This Row],[City]])</f>
        <v>KOLKATA</v>
      </c>
      <c r="H81" t="str">
        <f>PROPER(Table1[[#This Row],[City]])</f>
        <v>Kolkata</v>
      </c>
      <c r="I81" t="str">
        <f t="shared" si="3"/>
        <v>QuickBuy _ Kolkata</v>
      </c>
      <c r="J81" t="s">
        <v>525</v>
      </c>
      <c r="K81">
        <f t="shared" si="4"/>
        <v>9</v>
      </c>
      <c r="L81" t="str">
        <f>LEFT(Table1[[#This Row],[Category]],3)</f>
        <v>Gro</v>
      </c>
      <c r="M81">
        <v>17</v>
      </c>
      <c r="N81" s="4" t="str">
        <f t="shared" si="5"/>
        <v>bulk order</v>
      </c>
      <c r="O81">
        <f>SQRT(Table1[[#This Row],[Quantity]])</f>
        <v>4.1231056256176606</v>
      </c>
      <c r="P81">
        <v>1871.15</v>
      </c>
      <c r="Q81">
        <v>31809.55</v>
      </c>
    </row>
    <row r="82" spans="1:17" x14ac:dyDescent="0.25">
      <c r="A82" t="s">
        <v>88</v>
      </c>
      <c r="B82" t="str">
        <f>MID(Table1[[#This Row],[Order_ID]],2,5)</f>
        <v>RD108</v>
      </c>
      <c r="C82" s="1">
        <v>45428</v>
      </c>
      <c r="D82" t="s">
        <v>511</v>
      </c>
      <c r="E82" t="s">
        <v>515</v>
      </c>
      <c r="F82" t="str">
        <f>LOWER(Table1[[#This Row],[City]])</f>
        <v>kolkata</v>
      </c>
      <c r="G82" t="str">
        <f>UPPER(Table1[[#This Row],[City]])</f>
        <v>KOLKATA</v>
      </c>
      <c r="H82" t="str">
        <f>PROPER(Table1[[#This Row],[City]])</f>
        <v>Kolkata</v>
      </c>
      <c r="I82" t="str">
        <f t="shared" si="3"/>
        <v>MegaMart _ Kolkata</v>
      </c>
      <c r="J82" t="s">
        <v>525</v>
      </c>
      <c r="K82">
        <f t="shared" si="4"/>
        <v>9</v>
      </c>
      <c r="L82" t="str">
        <f>LEFT(Table1[[#This Row],[Category]],3)</f>
        <v>Gro</v>
      </c>
      <c r="M82">
        <v>18</v>
      </c>
      <c r="N82" s="4" t="str">
        <f t="shared" si="5"/>
        <v>bulk order</v>
      </c>
      <c r="O82">
        <f>SQRT(Table1[[#This Row],[Quantity]])</f>
        <v>4.2426406871192848</v>
      </c>
      <c r="P82">
        <v>120.86</v>
      </c>
      <c r="Q82">
        <v>2175.48</v>
      </c>
    </row>
    <row r="83" spans="1:17" x14ac:dyDescent="0.25">
      <c r="A83" t="s">
        <v>89</v>
      </c>
      <c r="B83" t="str">
        <f>MID(Table1[[#This Row],[Order_ID]],2,5)</f>
        <v>RD108</v>
      </c>
      <c r="C83" s="1">
        <v>45651</v>
      </c>
      <c r="D83" t="s">
        <v>512</v>
      </c>
      <c r="E83" t="s">
        <v>516</v>
      </c>
      <c r="F83" t="str">
        <f>LOWER(Table1[[#This Row],[City]])</f>
        <v>chennai</v>
      </c>
      <c r="G83" t="str">
        <f>UPPER(Table1[[#This Row],[City]])</f>
        <v>CHENNAI</v>
      </c>
      <c r="H83" t="str">
        <f>PROPER(Table1[[#This Row],[City]])</f>
        <v>Chennai</v>
      </c>
      <c r="I83" t="str">
        <f t="shared" si="3"/>
        <v>Trendz _ Chennai</v>
      </c>
      <c r="J83" t="s">
        <v>521</v>
      </c>
      <c r="K83">
        <f t="shared" si="4"/>
        <v>8</v>
      </c>
      <c r="L83" t="str">
        <f>LEFT(Table1[[#This Row],[Category]],3)</f>
        <v>Clo</v>
      </c>
      <c r="M83">
        <v>17</v>
      </c>
      <c r="N83" s="4" t="str">
        <f t="shared" si="5"/>
        <v>bulk order</v>
      </c>
      <c r="O83">
        <f>SQRT(Table1[[#This Row],[Quantity]])</f>
        <v>4.1231056256176606</v>
      </c>
      <c r="P83">
        <v>1680.6</v>
      </c>
      <c r="Q83">
        <v>28570.2</v>
      </c>
    </row>
    <row r="84" spans="1:17" x14ac:dyDescent="0.25">
      <c r="A84" t="s">
        <v>90</v>
      </c>
      <c r="B84" t="str">
        <f>MID(Table1[[#This Row],[Order_ID]],2,5)</f>
        <v>RD108</v>
      </c>
      <c r="C84" s="1">
        <v>45641</v>
      </c>
      <c r="D84" t="s">
        <v>512</v>
      </c>
      <c r="E84" t="s">
        <v>513</v>
      </c>
      <c r="F84" t="str">
        <f>LOWER(Table1[[#This Row],[City]])</f>
        <v>bangalore</v>
      </c>
      <c r="G84" t="str">
        <f>UPPER(Table1[[#This Row],[City]])</f>
        <v>BANGALORE</v>
      </c>
      <c r="H84" t="str">
        <f>PROPER(Table1[[#This Row],[City]])</f>
        <v>Bangalore</v>
      </c>
      <c r="I84" t="str">
        <f t="shared" si="3"/>
        <v>Trendz _ Bangalore</v>
      </c>
      <c r="J84" t="s">
        <v>522</v>
      </c>
      <c r="K84">
        <f t="shared" si="4"/>
        <v>5</v>
      </c>
      <c r="L84" t="str">
        <f>LEFT(Table1[[#This Row],[Category]],3)</f>
        <v>Boo</v>
      </c>
      <c r="M84">
        <v>17</v>
      </c>
      <c r="N84" s="4" t="str">
        <f t="shared" si="5"/>
        <v>bulk order</v>
      </c>
      <c r="O84">
        <f>SQRT(Table1[[#This Row],[Quantity]])</f>
        <v>4.1231056256176606</v>
      </c>
      <c r="P84">
        <v>1586.52</v>
      </c>
      <c r="Q84">
        <v>26970.84</v>
      </c>
    </row>
    <row r="85" spans="1:17" x14ac:dyDescent="0.25">
      <c r="A85" t="s">
        <v>91</v>
      </c>
      <c r="B85" t="str">
        <f>MID(Table1[[#This Row],[Order_ID]],2,5)</f>
        <v>RD108</v>
      </c>
      <c r="C85" s="1">
        <v>45623</v>
      </c>
      <c r="D85" t="s">
        <v>510</v>
      </c>
      <c r="E85" t="s">
        <v>515</v>
      </c>
      <c r="F85" t="str">
        <f>LOWER(Table1[[#This Row],[City]])</f>
        <v>kolkata</v>
      </c>
      <c r="G85" t="str">
        <f>UPPER(Table1[[#This Row],[City]])</f>
        <v>KOLKATA</v>
      </c>
      <c r="H85" t="str">
        <f>PROPER(Table1[[#This Row],[City]])</f>
        <v>Kolkata</v>
      </c>
      <c r="I85" t="str">
        <f t="shared" si="3"/>
        <v>QuickBuy _ Kolkata</v>
      </c>
      <c r="J85" t="s">
        <v>523</v>
      </c>
      <c r="K85">
        <f t="shared" si="4"/>
        <v>14</v>
      </c>
      <c r="L85" t="str">
        <f>LEFT(Table1[[#This Row],[Category]],3)</f>
        <v>Hom</v>
      </c>
      <c r="M85">
        <v>18</v>
      </c>
      <c r="N85" s="4" t="str">
        <f t="shared" si="5"/>
        <v>bulk order</v>
      </c>
      <c r="O85">
        <f>SQRT(Table1[[#This Row],[Quantity]])</f>
        <v>4.2426406871192848</v>
      </c>
      <c r="P85">
        <v>413.31</v>
      </c>
      <c r="Q85">
        <v>7439.58</v>
      </c>
    </row>
    <row r="86" spans="1:17" x14ac:dyDescent="0.25">
      <c r="A86" t="s">
        <v>92</v>
      </c>
      <c r="B86" t="str">
        <f>MID(Table1[[#This Row],[Order_ID]],2,5)</f>
        <v>RD108</v>
      </c>
      <c r="C86" s="1">
        <v>45328</v>
      </c>
      <c r="D86" t="s">
        <v>509</v>
      </c>
      <c r="E86" t="s">
        <v>517</v>
      </c>
      <c r="F86" t="str">
        <f>LOWER(Table1[[#This Row],[City]])</f>
        <v>hyderabad</v>
      </c>
      <c r="G86" t="str">
        <f>UPPER(Table1[[#This Row],[City]])</f>
        <v>HYDERABAD</v>
      </c>
      <c r="H86" t="str">
        <f>PROPER(Table1[[#This Row],[City]])</f>
        <v>Hyderabad</v>
      </c>
      <c r="I86" t="str">
        <f t="shared" si="3"/>
        <v>CityStore _ Hyderabad</v>
      </c>
      <c r="J86" t="s">
        <v>520</v>
      </c>
      <c r="K86">
        <f t="shared" si="4"/>
        <v>11</v>
      </c>
      <c r="L86" t="str">
        <f>LEFT(Table1[[#This Row],[Category]],3)</f>
        <v>Ele</v>
      </c>
      <c r="M86">
        <v>1</v>
      </c>
      <c r="N86" s="4" t="str">
        <f t="shared" si="5"/>
        <v>normal order</v>
      </c>
      <c r="O86">
        <f>SQRT(Table1[[#This Row],[Quantity]])</f>
        <v>1</v>
      </c>
      <c r="P86">
        <v>1510.56</v>
      </c>
      <c r="Q86">
        <v>1510.56</v>
      </c>
    </row>
    <row r="87" spans="1:17" x14ac:dyDescent="0.25">
      <c r="A87" t="s">
        <v>93</v>
      </c>
      <c r="B87" t="str">
        <f>MID(Table1[[#This Row],[Order_ID]],2,5)</f>
        <v>RD108</v>
      </c>
      <c r="C87" s="1">
        <v>45603</v>
      </c>
      <c r="D87" t="s">
        <v>512</v>
      </c>
      <c r="E87" t="s">
        <v>513</v>
      </c>
      <c r="F87" t="str">
        <f>LOWER(Table1[[#This Row],[City]])</f>
        <v>bangalore</v>
      </c>
      <c r="G87" t="str">
        <f>UPPER(Table1[[#This Row],[City]])</f>
        <v>BANGALORE</v>
      </c>
      <c r="H87" t="str">
        <f>PROPER(Table1[[#This Row],[City]])</f>
        <v>Bangalore</v>
      </c>
      <c r="I87" t="str">
        <f t="shared" si="3"/>
        <v>Trendz _ Bangalore</v>
      </c>
      <c r="J87" t="s">
        <v>520</v>
      </c>
      <c r="K87">
        <f t="shared" si="4"/>
        <v>11</v>
      </c>
      <c r="L87" t="str">
        <f>LEFT(Table1[[#This Row],[Category]],3)</f>
        <v>Ele</v>
      </c>
      <c r="M87">
        <v>13</v>
      </c>
      <c r="N87" s="4" t="str">
        <f t="shared" si="5"/>
        <v>bulk order</v>
      </c>
      <c r="O87">
        <f>SQRT(Table1[[#This Row],[Quantity]])</f>
        <v>3.6055512754639891</v>
      </c>
      <c r="P87">
        <v>1750.97</v>
      </c>
      <c r="Q87">
        <v>22762.61</v>
      </c>
    </row>
    <row r="88" spans="1:17" x14ac:dyDescent="0.25">
      <c r="A88" t="s">
        <v>94</v>
      </c>
      <c r="B88" t="str">
        <f>MID(Table1[[#This Row],[Order_ID]],2,5)</f>
        <v>RD108</v>
      </c>
      <c r="C88" s="1">
        <v>45617</v>
      </c>
      <c r="D88" t="s">
        <v>512</v>
      </c>
      <c r="E88" t="s">
        <v>515</v>
      </c>
      <c r="F88" t="str">
        <f>LOWER(Table1[[#This Row],[City]])</f>
        <v>kolkata</v>
      </c>
      <c r="G88" t="str">
        <f>UPPER(Table1[[#This Row],[City]])</f>
        <v>KOLKATA</v>
      </c>
      <c r="H88" t="str">
        <f>PROPER(Table1[[#This Row],[City]])</f>
        <v>Kolkata</v>
      </c>
      <c r="I88" t="str">
        <f t="shared" si="3"/>
        <v>Trendz _ Kolkata</v>
      </c>
      <c r="J88" t="s">
        <v>520</v>
      </c>
      <c r="K88">
        <f t="shared" si="4"/>
        <v>11</v>
      </c>
      <c r="L88" t="str">
        <f>LEFT(Table1[[#This Row],[Category]],3)</f>
        <v>Ele</v>
      </c>
      <c r="M88">
        <v>16</v>
      </c>
      <c r="N88" s="4" t="str">
        <f t="shared" si="5"/>
        <v>bulk order</v>
      </c>
      <c r="O88">
        <f>SQRT(Table1[[#This Row],[Quantity]])</f>
        <v>4</v>
      </c>
      <c r="P88">
        <v>614.46</v>
      </c>
      <c r="Q88">
        <v>9831.36</v>
      </c>
    </row>
    <row r="89" spans="1:17" x14ac:dyDescent="0.25">
      <c r="A89" t="s">
        <v>95</v>
      </c>
      <c r="B89" t="str">
        <f>MID(Table1[[#This Row],[Order_ID]],2,5)</f>
        <v>RD108</v>
      </c>
      <c r="C89" s="1">
        <v>45379</v>
      </c>
      <c r="D89" t="s">
        <v>512</v>
      </c>
      <c r="E89" t="s">
        <v>514</v>
      </c>
      <c r="F89" t="str">
        <f>LOWER(Table1[[#This Row],[City]])</f>
        <v>delhi</v>
      </c>
      <c r="G89" t="str">
        <f>UPPER(Table1[[#This Row],[City]])</f>
        <v>DELHI</v>
      </c>
      <c r="H89" t="str">
        <f>PROPER(Table1[[#This Row],[City]])</f>
        <v>Delhi</v>
      </c>
      <c r="I89" t="str">
        <f t="shared" si="3"/>
        <v>Trendz _ Delhi</v>
      </c>
      <c r="J89" t="s">
        <v>520</v>
      </c>
      <c r="K89">
        <f t="shared" si="4"/>
        <v>11</v>
      </c>
      <c r="L89" t="str">
        <f>LEFT(Table1[[#This Row],[Category]],3)</f>
        <v>Ele</v>
      </c>
      <c r="M89">
        <v>2</v>
      </c>
      <c r="N89" s="4" t="str">
        <f t="shared" si="5"/>
        <v>normal order</v>
      </c>
      <c r="O89">
        <f>SQRT(Table1[[#This Row],[Quantity]])</f>
        <v>1.4142135623730951</v>
      </c>
      <c r="P89">
        <v>123.06</v>
      </c>
      <c r="Q89">
        <v>246.12</v>
      </c>
    </row>
    <row r="90" spans="1:17" x14ac:dyDescent="0.25">
      <c r="A90" t="s">
        <v>96</v>
      </c>
      <c r="B90" t="str">
        <f>MID(Table1[[#This Row],[Order_ID]],2,5)</f>
        <v>RD108</v>
      </c>
      <c r="C90" s="1">
        <v>45565</v>
      </c>
      <c r="D90" t="s">
        <v>509</v>
      </c>
      <c r="E90" t="s">
        <v>513</v>
      </c>
      <c r="F90" t="str">
        <f>LOWER(Table1[[#This Row],[City]])</f>
        <v>bangalore</v>
      </c>
      <c r="G90" t="str">
        <f>UPPER(Table1[[#This Row],[City]])</f>
        <v>BANGALORE</v>
      </c>
      <c r="H90" t="str">
        <f>PROPER(Table1[[#This Row],[City]])</f>
        <v>Bangalore</v>
      </c>
      <c r="I90" t="str">
        <f t="shared" si="3"/>
        <v>CityStore _ Bangalore</v>
      </c>
      <c r="J90" t="s">
        <v>523</v>
      </c>
      <c r="K90">
        <f t="shared" si="4"/>
        <v>14</v>
      </c>
      <c r="L90" t="str">
        <f>LEFT(Table1[[#This Row],[Category]],3)</f>
        <v>Hom</v>
      </c>
      <c r="M90">
        <v>13</v>
      </c>
      <c r="N90" s="4" t="str">
        <f t="shared" si="5"/>
        <v>bulk order</v>
      </c>
      <c r="O90">
        <f>SQRT(Table1[[#This Row],[Quantity]])</f>
        <v>3.6055512754639891</v>
      </c>
      <c r="P90">
        <v>631.86</v>
      </c>
      <c r="Q90">
        <v>8214.18</v>
      </c>
    </row>
    <row r="91" spans="1:17" x14ac:dyDescent="0.25">
      <c r="A91" t="s">
        <v>97</v>
      </c>
      <c r="B91" t="str">
        <f>MID(Table1[[#This Row],[Order_ID]],2,5)</f>
        <v>RD108</v>
      </c>
      <c r="C91" s="1">
        <v>45417</v>
      </c>
      <c r="D91" t="s">
        <v>509</v>
      </c>
      <c r="E91" t="s">
        <v>518</v>
      </c>
      <c r="F91" t="str">
        <f>LOWER(Table1[[#This Row],[City]])</f>
        <v>pune</v>
      </c>
      <c r="G91" t="str">
        <f>UPPER(Table1[[#This Row],[City]])</f>
        <v>PUNE</v>
      </c>
      <c r="H91" t="str">
        <f>PROPER(Table1[[#This Row],[City]])</f>
        <v>Pune</v>
      </c>
      <c r="I91" t="str">
        <f t="shared" si="3"/>
        <v>CityStore _ Pune</v>
      </c>
      <c r="J91" t="s">
        <v>520</v>
      </c>
      <c r="K91">
        <f t="shared" si="4"/>
        <v>11</v>
      </c>
      <c r="L91" t="str">
        <f>LEFT(Table1[[#This Row],[Category]],3)</f>
        <v>Ele</v>
      </c>
      <c r="M91">
        <v>12</v>
      </c>
      <c r="N91" s="4" t="str">
        <f t="shared" si="5"/>
        <v>bulk order</v>
      </c>
      <c r="O91">
        <f>SQRT(Table1[[#This Row],[Quantity]])</f>
        <v>3.4641016151377544</v>
      </c>
      <c r="P91">
        <v>1225.43</v>
      </c>
      <c r="Q91">
        <v>14705.16</v>
      </c>
    </row>
    <row r="92" spans="1:17" x14ac:dyDescent="0.25">
      <c r="A92" t="s">
        <v>98</v>
      </c>
      <c r="B92" t="str">
        <f>MID(Table1[[#This Row],[Order_ID]],2,5)</f>
        <v>RD109</v>
      </c>
      <c r="C92" s="1">
        <v>45375</v>
      </c>
      <c r="D92" t="s">
        <v>511</v>
      </c>
      <c r="E92" t="s">
        <v>513</v>
      </c>
      <c r="F92" t="str">
        <f>LOWER(Table1[[#This Row],[City]])</f>
        <v>bangalore</v>
      </c>
      <c r="G92" t="str">
        <f>UPPER(Table1[[#This Row],[City]])</f>
        <v>BANGALORE</v>
      </c>
      <c r="H92" t="str">
        <f>PROPER(Table1[[#This Row],[City]])</f>
        <v>Bangalore</v>
      </c>
      <c r="I92" t="str">
        <f t="shared" si="3"/>
        <v>MegaMart _ Bangalore</v>
      </c>
      <c r="J92" t="s">
        <v>522</v>
      </c>
      <c r="K92">
        <f t="shared" si="4"/>
        <v>5</v>
      </c>
      <c r="L92" t="str">
        <f>LEFT(Table1[[#This Row],[Category]],3)</f>
        <v>Boo</v>
      </c>
      <c r="M92">
        <v>9</v>
      </c>
      <c r="N92" s="4" t="str">
        <f t="shared" si="5"/>
        <v>normal order</v>
      </c>
      <c r="O92">
        <f>SQRT(Table1[[#This Row],[Quantity]])</f>
        <v>3</v>
      </c>
      <c r="P92">
        <v>1860.49</v>
      </c>
      <c r="Q92">
        <v>16744.41</v>
      </c>
    </row>
    <row r="93" spans="1:17" x14ac:dyDescent="0.25">
      <c r="A93" t="s">
        <v>99</v>
      </c>
      <c r="B93" t="str">
        <f>MID(Table1[[#This Row],[Order_ID]],2,5)</f>
        <v>RD109</v>
      </c>
      <c r="C93" s="1">
        <v>45528</v>
      </c>
      <c r="D93" t="s">
        <v>511</v>
      </c>
      <c r="E93" t="s">
        <v>515</v>
      </c>
      <c r="F93" t="str">
        <f>LOWER(Table1[[#This Row],[City]])</f>
        <v>kolkata</v>
      </c>
      <c r="G93" t="str">
        <f>UPPER(Table1[[#This Row],[City]])</f>
        <v>KOLKATA</v>
      </c>
      <c r="H93" t="str">
        <f>PROPER(Table1[[#This Row],[City]])</f>
        <v>Kolkata</v>
      </c>
      <c r="I93" t="str">
        <f t="shared" si="3"/>
        <v>MegaMart _ Kolkata</v>
      </c>
      <c r="J93" t="s">
        <v>522</v>
      </c>
      <c r="K93">
        <f t="shared" si="4"/>
        <v>5</v>
      </c>
      <c r="L93" t="str">
        <f>LEFT(Table1[[#This Row],[Category]],3)</f>
        <v>Boo</v>
      </c>
      <c r="M93">
        <v>1</v>
      </c>
      <c r="N93" s="4" t="str">
        <f t="shared" si="5"/>
        <v>normal order</v>
      </c>
      <c r="O93">
        <f>SQRT(Table1[[#This Row],[Quantity]])</f>
        <v>1</v>
      </c>
      <c r="P93">
        <v>703.33</v>
      </c>
      <c r="Q93">
        <v>703.33</v>
      </c>
    </row>
    <row r="94" spans="1:17" x14ac:dyDescent="0.25">
      <c r="A94" t="s">
        <v>100</v>
      </c>
      <c r="B94" t="str">
        <f>MID(Table1[[#This Row],[Order_ID]],2,5)</f>
        <v>RD109</v>
      </c>
      <c r="C94" s="1">
        <v>45486</v>
      </c>
      <c r="D94" t="s">
        <v>512</v>
      </c>
      <c r="E94" t="s">
        <v>517</v>
      </c>
      <c r="F94" t="str">
        <f>LOWER(Table1[[#This Row],[City]])</f>
        <v>hyderabad</v>
      </c>
      <c r="G94" t="str">
        <f>UPPER(Table1[[#This Row],[City]])</f>
        <v>HYDERABAD</v>
      </c>
      <c r="H94" t="str">
        <f>PROPER(Table1[[#This Row],[City]])</f>
        <v>Hyderabad</v>
      </c>
      <c r="I94" t="str">
        <f t="shared" si="3"/>
        <v>Trendz _ Hyderabad</v>
      </c>
      <c r="J94" t="s">
        <v>525</v>
      </c>
      <c r="K94">
        <f t="shared" si="4"/>
        <v>9</v>
      </c>
      <c r="L94" t="str">
        <f>LEFT(Table1[[#This Row],[Category]],3)</f>
        <v>Gro</v>
      </c>
      <c r="M94">
        <v>12</v>
      </c>
      <c r="N94" s="4" t="str">
        <f t="shared" si="5"/>
        <v>bulk order</v>
      </c>
      <c r="O94">
        <f>SQRT(Table1[[#This Row],[Quantity]])</f>
        <v>3.4641016151377544</v>
      </c>
      <c r="P94">
        <v>935.98</v>
      </c>
      <c r="Q94">
        <v>11231.76</v>
      </c>
    </row>
    <row r="95" spans="1:17" x14ac:dyDescent="0.25">
      <c r="A95" t="s">
        <v>101</v>
      </c>
      <c r="B95" t="str">
        <f>MID(Table1[[#This Row],[Order_ID]],2,5)</f>
        <v>RD109</v>
      </c>
      <c r="C95" s="1">
        <v>45430</v>
      </c>
      <c r="D95" t="s">
        <v>509</v>
      </c>
      <c r="E95" t="s">
        <v>517</v>
      </c>
      <c r="F95" t="str">
        <f>LOWER(Table1[[#This Row],[City]])</f>
        <v>hyderabad</v>
      </c>
      <c r="G95" t="str">
        <f>UPPER(Table1[[#This Row],[City]])</f>
        <v>HYDERABAD</v>
      </c>
      <c r="H95" t="str">
        <f>PROPER(Table1[[#This Row],[City]])</f>
        <v>Hyderabad</v>
      </c>
      <c r="I95" t="str">
        <f t="shared" si="3"/>
        <v>CityStore _ Hyderabad</v>
      </c>
      <c r="J95" t="s">
        <v>521</v>
      </c>
      <c r="K95">
        <f t="shared" si="4"/>
        <v>8</v>
      </c>
      <c r="L95" t="str">
        <f>LEFT(Table1[[#This Row],[Category]],3)</f>
        <v>Clo</v>
      </c>
      <c r="M95">
        <v>3</v>
      </c>
      <c r="N95" s="4" t="str">
        <f t="shared" si="5"/>
        <v>normal order</v>
      </c>
      <c r="O95">
        <f>SQRT(Table1[[#This Row],[Quantity]])</f>
        <v>1.7320508075688772</v>
      </c>
      <c r="P95">
        <v>1300.56</v>
      </c>
      <c r="Q95">
        <v>3901.68</v>
      </c>
    </row>
    <row r="96" spans="1:17" x14ac:dyDescent="0.25">
      <c r="A96" t="s">
        <v>102</v>
      </c>
      <c r="B96" t="str">
        <f>MID(Table1[[#This Row],[Order_ID]],2,5)</f>
        <v>RD109</v>
      </c>
      <c r="C96" s="1">
        <v>45619</v>
      </c>
      <c r="D96" t="s">
        <v>509</v>
      </c>
      <c r="E96" t="s">
        <v>518</v>
      </c>
      <c r="F96" t="str">
        <f>LOWER(Table1[[#This Row],[City]])</f>
        <v>pune</v>
      </c>
      <c r="G96" t="str">
        <f>UPPER(Table1[[#This Row],[City]])</f>
        <v>PUNE</v>
      </c>
      <c r="H96" t="str">
        <f>PROPER(Table1[[#This Row],[City]])</f>
        <v>Pune</v>
      </c>
      <c r="I96" t="str">
        <f t="shared" si="3"/>
        <v>CityStore _ Pune</v>
      </c>
      <c r="J96" t="s">
        <v>524</v>
      </c>
      <c r="K96">
        <f t="shared" si="4"/>
        <v>4</v>
      </c>
      <c r="L96" t="str">
        <f>LEFT(Table1[[#This Row],[Category]],3)</f>
        <v>Toy</v>
      </c>
      <c r="M96">
        <v>12</v>
      </c>
      <c r="N96" s="4" t="str">
        <f t="shared" si="5"/>
        <v>bulk order</v>
      </c>
      <c r="O96">
        <f>SQRT(Table1[[#This Row],[Quantity]])</f>
        <v>3.4641016151377544</v>
      </c>
      <c r="P96">
        <v>1072.42</v>
      </c>
      <c r="Q96">
        <v>12869.04</v>
      </c>
    </row>
    <row r="97" spans="1:17" x14ac:dyDescent="0.25">
      <c r="A97" t="s">
        <v>103</v>
      </c>
      <c r="B97" t="str">
        <f>MID(Table1[[#This Row],[Order_ID]],2,5)</f>
        <v>RD109</v>
      </c>
      <c r="C97" s="1">
        <v>45644</v>
      </c>
      <c r="D97" t="s">
        <v>510</v>
      </c>
      <c r="E97" t="s">
        <v>516</v>
      </c>
      <c r="F97" t="str">
        <f>LOWER(Table1[[#This Row],[City]])</f>
        <v>chennai</v>
      </c>
      <c r="G97" t="str">
        <f>UPPER(Table1[[#This Row],[City]])</f>
        <v>CHENNAI</v>
      </c>
      <c r="H97" t="str">
        <f>PROPER(Table1[[#This Row],[City]])</f>
        <v>Chennai</v>
      </c>
      <c r="I97" t="str">
        <f t="shared" si="3"/>
        <v>QuickBuy _ Chennai</v>
      </c>
      <c r="J97" t="s">
        <v>520</v>
      </c>
      <c r="K97">
        <f t="shared" si="4"/>
        <v>11</v>
      </c>
      <c r="L97" t="str">
        <f>LEFT(Table1[[#This Row],[Category]],3)</f>
        <v>Ele</v>
      </c>
      <c r="M97">
        <v>8</v>
      </c>
      <c r="N97" s="4" t="str">
        <f t="shared" si="5"/>
        <v>normal order</v>
      </c>
      <c r="O97">
        <f>SQRT(Table1[[#This Row],[Quantity]])</f>
        <v>2.8284271247461903</v>
      </c>
      <c r="P97">
        <v>1784.06</v>
      </c>
      <c r="Q97">
        <v>14272.48</v>
      </c>
    </row>
    <row r="98" spans="1:17" x14ac:dyDescent="0.25">
      <c r="A98" t="s">
        <v>104</v>
      </c>
      <c r="B98" t="str">
        <f>MID(Table1[[#This Row],[Order_ID]],2,5)</f>
        <v>RD109</v>
      </c>
      <c r="C98" s="1">
        <v>45577</v>
      </c>
      <c r="D98" t="s">
        <v>512</v>
      </c>
      <c r="E98" t="s">
        <v>515</v>
      </c>
      <c r="F98" t="str">
        <f>LOWER(Table1[[#This Row],[City]])</f>
        <v>kolkata</v>
      </c>
      <c r="G98" t="str">
        <f>UPPER(Table1[[#This Row],[City]])</f>
        <v>KOLKATA</v>
      </c>
      <c r="H98" t="str">
        <f>PROPER(Table1[[#This Row],[City]])</f>
        <v>Kolkata</v>
      </c>
      <c r="I98" t="str">
        <f t="shared" si="3"/>
        <v>Trendz _ Kolkata</v>
      </c>
      <c r="J98" t="s">
        <v>524</v>
      </c>
      <c r="K98">
        <f t="shared" si="4"/>
        <v>4</v>
      </c>
      <c r="L98" t="str">
        <f>LEFT(Table1[[#This Row],[Category]],3)</f>
        <v>Toy</v>
      </c>
      <c r="M98">
        <v>4</v>
      </c>
      <c r="N98" s="4" t="str">
        <f t="shared" si="5"/>
        <v>normal order</v>
      </c>
      <c r="O98">
        <f>SQRT(Table1[[#This Row],[Quantity]])</f>
        <v>2</v>
      </c>
      <c r="P98">
        <v>311.69</v>
      </c>
      <c r="Q98">
        <v>1246.76</v>
      </c>
    </row>
    <row r="99" spans="1:17" x14ac:dyDescent="0.25">
      <c r="A99" t="s">
        <v>105</v>
      </c>
      <c r="B99" t="str">
        <f>MID(Table1[[#This Row],[Order_ID]],2,5)</f>
        <v>RD109</v>
      </c>
      <c r="C99" s="1">
        <v>45404</v>
      </c>
      <c r="D99" t="s">
        <v>511</v>
      </c>
      <c r="E99" t="s">
        <v>519</v>
      </c>
      <c r="F99" t="str">
        <f>LOWER(Table1[[#This Row],[City]])</f>
        <v>mumbai</v>
      </c>
      <c r="G99" t="str">
        <f>UPPER(Table1[[#This Row],[City]])</f>
        <v>MUMBAI</v>
      </c>
      <c r="H99" t="str">
        <f>PROPER(Table1[[#This Row],[City]])</f>
        <v>Mumbai</v>
      </c>
      <c r="I99" t="str">
        <f t="shared" si="3"/>
        <v>MegaMart _ Mumbai</v>
      </c>
      <c r="J99" t="s">
        <v>524</v>
      </c>
      <c r="K99">
        <f t="shared" si="4"/>
        <v>4</v>
      </c>
      <c r="L99" t="str">
        <f>LEFT(Table1[[#This Row],[Category]],3)</f>
        <v>Toy</v>
      </c>
      <c r="M99">
        <v>19</v>
      </c>
      <c r="N99" s="4" t="str">
        <f t="shared" si="5"/>
        <v>bulk order</v>
      </c>
      <c r="O99">
        <f>SQRT(Table1[[#This Row],[Quantity]])</f>
        <v>4.358898943540674</v>
      </c>
      <c r="P99">
        <v>1033.21</v>
      </c>
      <c r="Q99">
        <v>19630.990000000002</v>
      </c>
    </row>
    <row r="100" spans="1:17" x14ac:dyDescent="0.25">
      <c r="A100" t="s">
        <v>106</v>
      </c>
      <c r="B100" t="str">
        <f>MID(Table1[[#This Row],[Order_ID]],2,5)</f>
        <v>RD109</v>
      </c>
      <c r="C100" s="1">
        <v>45642</v>
      </c>
      <c r="D100" t="s">
        <v>510</v>
      </c>
      <c r="E100" t="s">
        <v>516</v>
      </c>
      <c r="F100" t="str">
        <f>LOWER(Table1[[#This Row],[City]])</f>
        <v>chennai</v>
      </c>
      <c r="G100" t="str">
        <f>UPPER(Table1[[#This Row],[City]])</f>
        <v>CHENNAI</v>
      </c>
      <c r="H100" t="str">
        <f>PROPER(Table1[[#This Row],[City]])</f>
        <v>Chennai</v>
      </c>
      <c r="I100" t="str">
        <f t="shared" si="3"/>
        <v>QuickBuy _ Chennai</v>
      </c>
      <c r="J100" t="s">
        <v>524</v>
      </c>
      <c r="K100">
        <f t="shared" si="4"/>
        <v>4</v>
      </c>
      <c r="L100" t="str">
        <f>LEFT(Table1[[#This Row],[Category]],3)</f>
        <v>Toy</v>
      </c>
      <c r="M100">
        <v>11</v>
      </c>
      <c r="N100" s="4" t="str">
        <f t="shared" si="5"/>
        <v>bulk order</v>
      </c>
      <c r="O100">
        <f>SQRT(Table1[[#This Row],[Quantity]])</f>
        <v>3.3166247903553998</v>
      </c>
      <c r="P100">
        <v>582.03</v>
      </c>
      <c r="Q100">
        <v>6402.33</v>
      </c>
    </row>
    <row r="101" spans="1:17" x14ac:dyDescent="0.25">
      <c r="A101" t="s">
        <v>107</v>
      </c>
      <c r="B101" t="str">
        <f>MID(Table1[[#This Row],[Order_ID]],2,5)</f>
        <v>RD109</v>
      </c>
      <c r="C101" s="1">
        <v>45458</v>
      </c>
      <c r="D101" t="s">
        <v>509</v>
      </c>
      <c r="E101" t="s">
        <v>517</v>
      </c>
      <c r="F101" t="str">
        <f>LOWER(Table1[[#This Row],[City]])</f>
        <v>hyderabad</v>
      </c>
      <c r="G101" t="str">
        <f>UPPER(Table1[[#This Row],[City]])</f>
        <v>HYDERABAD</v>
      </c>
      <c r="H101" t="str">
        <f>PROPER(Table1[[#This Row],[City]])</f>
        <v>Hyderabad</v>
      </c>
      <c r="I101" t="str">
        <f t="shared" si="3"/>
        <v>CityStore _ Hyderabad</v>
      </c>
      <c r="J101" t="s">
        <v>525</v>
      </c>
      <c r="K101">
        <f t="shared" si="4"/>
        <v>9</v>
      </c>
      <c r="L101" t="str">
        <f>LEFT(Table1[[#This Row],[Category]],3)</f>
        <v>Gro</v>
      </c>
      <c r="M101">
        <v>5</v>
      </c>
      <c r="N101" s="4" t="str">
        <f t="shared" si="5"/>
        <v>normal order</v>
      </c>
      <c r="O101">
        <f>SQRT(Table1[[#This Row],[Quantity]])</f>
        <v>2.2360679774997898</v>
      </c>
      <c r="P101">
        <v>1627.19</v>
      </c>
      <c r="Q101">
        <v>8135.9500000000007</v>
      </c>
    </row>
    <row r="102" spans="1:17" x14ac:dyDescent="0.25">
      <c r="A102" t="s">
        <v>108</v>
      </c>
      <c r="B102" t="str">
        <f>MID(Table1[[#This Row],[Order_ID]],2,5)</f>
        <v>RD110</v>
      </c>
      <c r="C102" s="1">
        <v>45320</v>
      </c>
      <c r="D102" t="s">
        <v>511</v>
      </c>
      <c r="E102" t="s">
        <v>516</v>
      </c>
      <c r="F102" t="str">
        <f>LOWER(Table1[[#This Row],[City]])</f>
        <v>chennai</v>
      </c>
      <c r="G102" t="str">
        <f>UPPER(Table1[[#This Row],[City]])</f>
        <v>CHENNAI</v>
      </c>
      <c r="H102" t="str">
        <f>PROPER(Table1[[#This Row],[City]])</f>
        <v>Chennai</v>
      </c>
      <c r="I102" t="str">
        <f t="shared" si="3"/>
        <v>MegaMart _ Chennai</v>
      </c>
      <c r="J102" t="s">
        <v>522</v>
      </c>
      <c r="K102">
        <f t="shared" si="4"/>
        <v>5</v>
      </c>
      <c r="L102" t="str">
        <f>LEFT(Table1[[#This Row],[Category]],3)</f>
        <v>Boo</v>
      </c>
      <c r="M102">
        <v>2</v>
      </c>
      <c r="N102" s="4" t="str">
        <f t="shared" si="5"/>
        <v>normal order</v>
      </c>
      <c r="O102">
        <f>SQRT(Table1[[#This Row],[Quantity]])</f>
        <v>1.4142135623730951</v>
      </c>
      <c r="P102">
        <v>694.83</v>
      </c>
      <c r="Q102">
        <v>1389.66</v>
      </c>
    </row>
    <row r="103" spans="1:17" x14ac:dyDescent="0.25">
      <c r="A103" t="s">
        <v>109</v>
      </c>
      <c r="B103" t="str">
        <f>MID(Table1[[#This Row],[Order_ID]],2,5)</f>
        <v>RD110</v>
      </c>
      <c r="C103" s="1">
        <v>45409</v>
      </c>
      <c r="D103" t="s">
        <v>512</v>
      </c>
      <c r="E103" t="s">
        <v>513</v>
      </c>
      <c r="F103" t="str">
        <f>LOWER(Table1[[#This Row],[City]])</f>
        <v>bangalore</v>
      </c>
      <c r="G103" t="str">
        <f>UPPER(Table1[[#This Row],[City]])</f>
        <v>BANGALORE</v>
      </c>
      <c r="H103" t="str">
        <f>PROPER(Table1[[#This Row],[City]])</f>
        <v>Bangalore</v>
      </c>
      <c r="I103" t="str">
        <f t="shared" si="3"/>
        <v>Trendz _ Bangalore</v>
      </c>
      <c r="J103" t="s">
        <v>520</v>
      </c>
      <c r="K103">
        <f t="shared" si="4"/>
        <v>11</v>
      </c>
      <c r="L103" t="str">
        <f>LEFT(Table1[[#This Row],[Category]],3)</f>
        <v>Ele</v>
      </c>
      <c r="M103">
        <v>12</v>
      </c>
      <c r="N103" s="4" t="str">
        <f t="shared" si="5"/>
        <v>bulk order</v>
      </c>
      <c r="O103">
        <f>SQRT(Table1[[#This Row],[Quantity]])</f>
        <v>3.4641016151377544</v>
      </c>
      <c r="P103">
        <v>1475.68</v>
      </c>
      <c r="Q103">
        <v>17708.16</v>
      </c>
    </row>
    <row r="104" spans="1:17" x14ac:dyDescent="0.25">
      <c r="A104" t="s">
        <v>110</v>
      </c>
      <c r="B104" t="str">
        <f>MID(Table1[[#This Row],[Order_ID]],2,5)</f>
        <v>RD110</v>
      </c>
      <c r="C104" s="1">
        <v>45308</v>
      </c>
      <c r="D104" t="s">
        <v>509</v>
      </c>
      <c r="E104" t="s">
        <v>513</v>
      </c>
      <c r="F104" t="str">
        <f>LOWER(Table1[[#This Row],[City]])</f>
        <v>bangalore</v>
      </c>
      <c r="G104" t="str">
        <f>UPPER(Table1[[#This Row],[City]])</f>
        <v>BANGALORE</v>
      </c>
      <c r="H104" t="str">
        <f>PROPER(Table1[[#This Row],[City]])</f>
        <v>Bangalore</v>
      </c>
      <c r="I104" t="str">
        <f t="shared" si="3"/>
        <v>CityStore _ Bangalore</v>
      </c>
      <c r="J104" t="s">
        <v>523</v>
      </c>
      <c r="K104">
        <f t="shared" si="4"/>
        <v>14</v>
      </c>
      <c r="L104" t="str">
        <f>LEFT(Table1[[#This Row],[Category]],3)</f>
        <v>Hom</v>
      </c>
      <c r="M104">
        <v>18</v>
      </c>
      <c r="N104" s="4" t="str">
        <f t="shared" si="5"/>
        <v>bulk order</v>
      </c>
      <c r="O104">
        <f>SQRT(Table1[[#This Row],[Quantity]])</f>
        <v>4.2426406871192848</v>
      </c>
      <c r="P104">
        <v>1314.16</v>
      </c>
      <c r="Q104">
        <v>23654.880000000001</v>
      </c>
    </row>
    <row r="105" spans="1:17" x14ac:dyDescent="0.25">
      <c r="A105" t="s">
        <v>111</v>
      </c>
      <c r="B105" t="str">
        <f>MID(Table1[[#This Row],[Order_ID]],2,5)</f>
        <v>RD110</v>
      </c>
      <c r="C105" s="1">
        <v>45453</v>
      </c>
      <c r="D105" t="s">
        <v>512</v>
      </c>
      <c r="E105" t="s">
        <v>517</v>
      </c>
      <c r="F105" t="str">
        <f>LOWER(Table1[[#This Row],[City]])</f>
        <v>hyderabad</v>
      </c>
      <c r="G105" t="str">
        <f>UPPER(Table1[[#This Row],[City]])</f>
        <v>HYDERABAD</v>
      </c>
      <c r="H105" t="str">
        <f>PROPER(Table1[[#This Row],[City]])</f>
        <v>Hyderabad</v>
      </c>
      <c r="I105" t="str">
        <f t="shared" si="3"/>
        <v>Trendz _ Hyderabad</v>
      </c>
      <c r="J105" t="s">
        <v>525</v>
      </c>
      <c r="K105">
        <f t="shared" si="4"/>
        <v>9</v>
      </c>
      <c r="L105" t="str">
        <f>LEFT(Table1[[#This Row],[Category]],3)</f>
        <v>Gro</v>
      </c>
      <c r="M105">
        <v>11</v>
      </c>
      <c r="N105" s="4" t="str">
        <f t="shared" si="5"/>
        <v>bulk order</v>
      </c>
      <c r="O105">
        <f>SQRT(Table1[[#This Row],[Quantity]])</f>
        <v>3.3166247903553998</v>
      </c>
      <c r="P105">
        <v>1451.27</v>
      </c>
      <c r="Q105">
        <v>15963.97</v>
      </c>
    </row>
    <row r="106" spans="1:17" x14ac:dyDescent="0.25">
      <c r="A106" t="s">
        <v>112</v>
      </c>
      <c r="B106" t="str">
        <f>MID(Table1[[#This Row],[Order_ID]],2,5)</f>
        <v>RD110</v>
      </c>
      <c r="C106" s="1">
        <v>45497</v>
      </c>
      <c r="D106" t="s">
        <v>510</v>
      </c>
      <c r="E106" t="s">
        <v>515</v>
      </c>
      <c r="F106" t="str">
        <f>LOWER(Table1[[#This Row],[City]])</f>
        <v>kolkata</v>
      </c>
      <c r="G106" t="str">
        <f>UPPER(Table1[[#This Row],[City]])</f>
        <v>KOLKATA</v>
      </c>
      <c r="H106" t="str">
        <f>PROPER(Table1[[#This Row],[City]])</f>
        <v>Kolkata</v>
      </c>
      <c r="I106" t="str">
        <f t="shared" si="3"/>
        <v>QuickBuy _ Kolkata</v>
      </c>
      <c r="J106" t="s">
        <v>522</v>
      </c>
      <c r="K106">
        <f t="shared" si="4"/>
        <v>5</v>
      </c>
      <c r="L106" t="str">
        <f>LEFT(Table1[[#This Row],[Category]],3)</f>
        <v>Boo</v>
      </c>
      <c r="M106">
        <v>6</v>
      </c>
      <c r="N106" s="4" t="str">
        <f t="shared" si="5"/>
        <v>normal order</v>
      </c>
      <c r="O106">
        <f>SQRT(Table1[[#This Row],[Quantity]])</f>
        <v>2.4494897427831779</v>
      </c>
      <c r="P106">
        <v>77.459999999999994</v>
      </c>
      <c r="Q106">
        <v>464.76</v>
      </c>
    </row>
    <row r="107" spans="1:17" x14ac:dyDescent="0.25">
      <c r="A107" t="s">
        <v>113</v>
      </c>
      <c r="B107" t="str">
        <f>MID(Table1[[#This Row],[Order_ID]],2,5)</f>
        <v>RD110</v>
      </c>
      <c r="C107" s="1">
        <v>45429</v>
      </c>
      <c r="D107" t="s">
        <v>510</v>
      </c>
      <c r="E107" t="s">
        <v>517</v>
      </c>
      <c r="F107" t="str">
        <f>LOWER(Table1[[#This Row],[City]])</f>
        <v>hyderabad</v>
      </c>
      <c r="G107" t="str">
        <f>UPPER(Table1[[#This Row],[City]])</f>
        <v>HYDERABAD</v>
      </c>
      <c r="H107" t="str">
        <f>PROPER(Table1[[#This Row],[City]])</f>
        <v>Hyderabad</v>
      </c>
      <c r="I107" t="str">
        <f t="shared" si="3"/>
        <v>QuickBuy _ Hyderabad</v>
      </c>
      <c r="J107" t="s">
        <v>523</v>
      </c>
      <c r="K107">
        <f t="shared" si="4"/>
        <v>14</v>
      </c>
      <c r="L107" t="str">
        <f>LEFT(Table1[[#This Row],[Category]],3)</f>
        <v>Hom</v>
      </c>
      <c r="M107">
        <v>15</v>
      </c>
      <c r="N107" s="4" t="str">
        <f t="shared" si="5"/>
        <v>bulk order</v>
      </c>
      <c r="O107">
        <f>SQRT(Table1[[#This Row],[Quantity]])</f>
        <v>3.872983346207417</v>
      </c>
      <c r="P107">
        <v>707.37</v>
      </c>
      <c r="Q107">
        <v>10610.55</v>
      </c>
    </row>
    <row r="108" spans="1:17" x14ac:dyDescent="0.25">
      <c r="A108" t="s">
        <v>114</v>
      </c>
      <c r="B108" t="str">
        <f>MID(Table1[[#This Row],[Order_ID]],2,5)</f>
        <v>RD110</v>
      </c>
      <c r="C108" s="1">
        <v>45325</v>
      </c>
      <c r="D108" t="s">
        <v>510</v>
      </c>
      <c r="E108" t="s">
        <v>516</v>
      </c>
      <c r="F108" t="str">
        <f>LOWER(Table1[[#This Row],[City]])</f>
        <v>chennai</v>
      </c>
      <c r="G108" t="str">
        <f>UPPER(Table1[[#This Row],[City]])</f>
        <v>CHENNAI</v>
      </c>
      <c r="H108" t="str">
        <f>PROPER(Table1[[#This Row],[City]])</f>
        <v>Chennai</v>
      </c>
      <c r="I108" t="str">
        <f t="shared" si="3"/>
        <v>QuickBuy _ Chennai</v>
      </c>
      <c r="J108" t="s">
        <v>522</v>
      </c>
      <c r="K108">
        <f t="shared" si="4"/>
        <v>5</v>
      </c>
      <c r="L108" t="str">
        <f>LEFT(Table1[[#This Row],[Category]],3)</f>
        <v>Boo</v>
      </c>
      <c r="M108">
        <v>16</v>
      </c>
      <c r="N108" s="4" t="str">
        <f t="shared" si="5"/>
        <v>bulk order</v>
      </c>
      <c r="O108">
        <f>SQRT(Table1[[#This Row],[Quantity]])</f>
        <v>4</v>
      </c>
      <c r="P108">
        <v>625.29999999999995</v>
      </c>
      <c r="Q108">
        <v>10004.799999999999</v>
      </c>
    </row>
    <row r="109" spans="1:17" x14ac:dyDescent="0.25">
      <c r="A109" t="s">
        <v>115</v>
      </c>
      <c r="B109" t="str">
        <f>MID(Table1[[#This Row],[Order_ID]],2,5)</f>
        <v>RD110</v>
      </c>
      <c r="C109" s="1">
        <v>45400</v>
      </c>
      <c r="D109" t="s">
        <v>508</v>
      </c>
      <c r="E109" t="s">
        <v>516</v>
      </c>
      <c r="F109" t="str">
        <f>LOWER(Table1[[#This Row],[City]])</f>
        <v>chennai</v>
      </c>
      <c r="G109" t="str">
        <f>UPPER(Table1[[#This Row],[City]])</f>
        <v>CHENNAI</v>
      </c>
      <c r="H109" t="str">
        <f>PROPER(Table1[[#This Row],[City]])</f>
        <v>Chennai</v>
      </c>
      <c r="I109" t="str">
        <f t="shared" si="3"/>
        <v>ValueShop _ Chennai</v>
      </c>
      <c r="J109" t="s">
        <v>520</v>
      </c>
      <c r="K109">
        <f t="shared" si="4"/>
        <v>11</v>
      </c>
      <c r="L109" t="str">
        <f>LEFT(Table1[[#This Row],[Category]],3)</f>
        <v>Ele</v>
      </c>
      <c r="M109">
        <v>6</v>
      </c>
      <c r="N109" s="4" t="str">
        <f t="shared" si="5"/>
        <v>normal order</v>
      </c>
      <c r="O109">
        <f>SQRT(Table1[[#This Row],[Quantity]])</f>
        <v>2.4494897427831779</v>
      </c>
      <c r="P109">
        <v>1365.08</v>
      </c>
      <c r="Q109">
        <v>8190.48</v>
      </c>
    </row>
    <row r="110" spans="1:17" x14ac:dyDescent="0.25">
      <c r="A110" t="s">
        <v>116</v>
      </c>
      <c r="B110" t="str">
        <f>MID(Table1[[#This Row],[Order_ID]],2,5)</f>
        <v>RD110</v>
      </c>
      <c r="C110" s="1">
        <v>45582</v>
      </c>
      <c r="D110" t="s">
        <v>512</v>
      </c>
      <c r="E110" t="s">
        <v>513</v>
      </c>
      <c r="F110" t="str">
        <f>LOWER(Table1[[#This Row],[City]])</f>
        <v>bangalore</v>
      </c>
      <c r="G110" t="str">
        <f>UPPER(Table1[[#This Row],[City]])</f>
        <v>BANGALORE</v>
      </c>
      <c r="H110" t="str">
        <f>PROPER(Table1[[#This Row],[City]])</f>
        <v>Bangalore</v>
      </c>
      <c r="I110" t="str">
        <f t="shared" si="3"/>
        <v>Trendz _ Bangalore</v>
      </c>
      <c r="J110" t="s">
        <v>525</v>
      </c>
      <c r="K110">
        <f t="shared" si="4"/>
        <v>9</v>
      </c>
      <c r="L110" t="str">
        <f>LEFT(Table1[[#This Row],[Category]],3)</f>
        <v>Gro</v>
      </c>
      <c r="M110">
        <v>5</v>
      </c>
      <c r="N110" s="4" t="str">
        <f t="shared" si="5"/>
        <v>normal order</v>
      </c>
      <c r="O110">
        <f>SQRT(Table1[[#This Row],[Quantity]])</f>
        <v>2.2360679774997898</v>
      </c>
      <c r="P110">
        <v>426.66</v>
      </c>
      <c r="Q110">
        <v>2133.3000000000002</v>
      </c>
    </row>
    <row r="111" spans="1:17" x14ac:dyDescent="0.25">
      <c r="A111" t="s">
        <v>117</v>
      </c>
      <c r="B111" t="str">
        <f>MID(Table1[[#This Row],[Order_ID]],2,5)</f>
        <v>RD110</v>
      </c>
      <c r="C111" s="1">
        <v>45453</v>
      </c>
      <c r="D111" t="s">
        <v>510</v>
      </c>
      <c r="E111" t="s">
        <v>515</v>
      </c>
      <c r="F111" t="str">
        <f>LOWER(Table1[[#This Row],[City]])</f>
        <v>kolkata</v>
      </c>
      <c r="G111" t="str">
        <f>UPPER(Table1[[#This Row],[City]])</f>
        <v>KOLKATA</v>
      </c>
      <c r="H111" t="str">
        <f>PROPER(Table1[[#This Row],[City]])</f>
        <v>Kolkata</v>
      </c>
      <c r="I111" t="str">
        <f t="shared" si="3"/>
        <v>QuickBuy _ Kolkata</v>
      </c>
      <c r="J111" t="s">
        <v>524</v>
      </c>
      <c r="K111">
        <f t="shared" si="4"/>
        <v>4</v>
      </c>
      <c r="L111" t="str">
        <f>LEFT(Table1[[#This Row],[Category]],3)</f>
        <v>Toy</v>
      </c>
      <c r="M111">
        <v>3</v>
      </c>
      <c r="N111" s="4" t="str">
        <f t="shared" si="5"/>
        <v>normal order</v>
      </c>
      <c r="O111">
        <f>SQRT(Table1[[#This Row],[Quantity]])</f>
        <v>1.7320508075688772</v>
      </c>
      <c r="P111">
        <v>1241.3599999999999</v>
      </c>
      <c r="Q111">
        <v>3724.08</v>
      </c>
    </row>
    <row r="112" spans="1:17" x14ac:dyDescent="0.25">
      <c r="A112" t="s">
        <v>118</v>
      </c>
      <c r="B112" t="str">
        <f>MID(Table1[[#This Row],[Order_ID]],2,5)</f>
        <v>RD111</v>
      </c>
      <c r="C112" s="1">
        <v>45400</v>
      </c>
      <c r="D112" t="s">
        <v>510</v>
      </c>
      <c r="E112" t="s">
        <v>519</v>
      </c>
      <c r="F112" t="str">
        <f>LOWER(Table1[[#This Row],[City]])</f>
        <v>mumbai</v>
      </c>
      <c r="G112" t="str">
        <f>UPPER(Table1[[#This Row],[City]])</f>
        <v>MUMBAI</v>
      </c>
      <c r="H112" t="str">
        <f>PROPER(Table1[[#This Row],[City]])</f>
        <v>Mumbai</v>
      </c>
      <c r="I112" t="str">
        <f t="shared" si="3"/>
        <v>QuickBuy _ Mumbai</v>
      </c>
      <c r="J112" t="s">
        <v>525</v>
      </c>
      <c r="K112">
        <f t="shared" si="4"/>
        <v>9</v>
      </c>
      <c r="L112" t="str">
        <f>LEFT(Table1[[#This Row],[Category]],3)</f>
        <v>Gro</v>
      </c>
      <c r="M112">
        <v>15</v>
      </c>
      <c r="N112" s="4" t="str">
        <f t="shared" si="5"/>
        <v>bulk order</v>
      </c>
      <c r="O112">
        <f>SQRT(Table1[[#This Row],[Quantity]])</f>
        <v>3.872983346207417</v>
      </c>
      <c r="P112">
        <v>1295.52</v>
      </c>
      <c r="Q112">
        <v>19432.8</v>
      </c>
    </row>
    <row r="113" spans="1:17" x14ac:dyDescent="0.25">
      <c r="A113" t="s">
        <v>119</v>
      </c>
      <c r="B113" t="str">
        <f>MID(Table1[[#This Row],[Order_ID]],2,5)</f>
        <v>RD111</v>
      </c>
      <c r="C113" s="1">
        <v>45627</v>
      </c>
      <c r="D113" t="s">
        <v>512</v>
      </c>
      <c r="E113" t="s">
        <v>518</v>
      </c>
      <c r="F113" t="str">
        <f>LOWER(Table1[[#This Row],[City]])</f>
        <v>pune</v>
      </c>
      <c r="G113" t="str">
        <f>UPPER(Table1[[#This Row],[City]])</f>
        <v>PUNE</v>
      </c>
      <c r="H113" t="str">
        <f>PROPER(Table1[[#This Row],[City]])</f>
        <v>Pune</v>
      </c>
      <c r="I113" t="str">
        <f t="shared" si="3"/>
        <v>Trendz _ Pune</v>
      </c>
      <c r="J113" t="s">
        <v>525</v>
      </c>
      <c r="K113">
        <f t="shared" si="4"/>
        <v>9</v>
      </c>
      <c r="L113" t="str">
        <f>LEFT(Table1[[#This Row],[Category]],3)</f>
        <v>Gro</v>
      </c>
      <c r="M113">
        <v>2</v>
      </c>
      <c r="N113" s="4" t="str">
        <f t="shared" si="5"/>
        <v>normal order</v>
      </c>
      <c r="O113">
        <f>SQRT(Table1[[#This Row],[Quantity]])</f>
        <v>1.4142135623730951</v>
      </c>
      <c r="P113">
        <v>840.71</v>
      </c>
      <c r="Q113">
        <v>1681.42</v>
      </c>
    </row>
    <row r="114" spans="1:17" x14ac:dyDescent="0.25">
      <c r="A114" t="s">
        <v>120</v>
      </c>
      <c r="B114" t="str">
        <f>MID(Table1[[#This Row],[Order_ID]],2,5)</f>
        <v>RD111</v>
      </c>
      <c r="C114" s="1">
        <v>45547</v>
      </c>
      <c r="D114" t="s">
        <v>510</v>
      </c>
      <c r="E114" t="s">
        <v>519</v>
      </c>
      <c r="F114" t="str">
        <f>LOWER(Table1[[#This Row],[City]])</f>
        <v>mumbai</v>
      </c>
      <c r="G114" t="str">
        <f>UPPER(Table1[[#This Row],[City]])</f>
        <v>MUMBAI</v>
      </c>
      <c r="H114" t="str">
        <f>PROPER(Table1[[#This Row],[City]])</f>
        <v>Mumbai</v>
      </c>
      <c r="I114" t="str">
        <f t="shared" si="3"/>
        <v>QuickBuy _ Mumbai</v>
      </c>
      <c r="J114" t="s">
        <v>520</v>
      </c>
      <c r="K114">
        <f t="shared" si="4"/>
        <v>11</v>
      </c>
      <c r="L114" t="str">
        <f>LEFT(Table1[[#This Row],[Category]],3)</f>
        <v>Ele</v>
      </c>
      <c r="M114">
        <v>10</v>
      </c>
      <c r="N114" s="4" t="str">
        <f t="shared" si="5"/>
        <v>normal order</v>
      </c>
      <c r="O114">
        <f>SQRT(Table1[[#This Row],[Quantity]])</f>
        <v>3.1622776601683795</v>
      </c>
      <c r="P114">
        <v>884.02</v>
      </c>
      <c r="Q114">
        <v>8840.2000000000007</v>
      </c>
    </row>
    <row r="115" spans="1:17" x14ac:dyDescent="0.25">
      <c r="A115" t="s">
        <v>121</v>
      </c>
      <c r="B115" t="str">
        <f>MID(Table1[[#This Row],[Order_ID]],2,5)</f>
        <v>RD111</v>
      </c>
      <c r="C115" s="1">
        <v>45494</v>
      </c>
      <c r="D115" t="s">
        <v>512</v>
      </c>
      <c r="E115" t="s">
        <v>517</v>
      </c>
      <c r="F115" t="str">
        <f>LOWER(Table1[[#This Row],[City]])</f>
        <v>hyderabad</v>
      </c>
      <c r="G115" t="str">
        <f>UPPER(Table1[[#This Row],[City]])</f>
        <v>HYDERABAD</v>
      </c>
      <c r="H115" t="str">
        <f>PROPER(Table1[[#This Row],[City]])</f>
        <v>Hyderabad</v>
      </c>
      <c r="I115" t="str">
        <f t="shared" si="3"/>
        <v>Trendz _ Hyderabad</v>
      </c>
      <c r="J115" t="s">
        <v>524</v>
      </c>
      <c r="K115">
        <f t="shared" si="4"/>
        <v>4</v>
      </c>
      <c r="L115" t="str">
        <f>LEFT(Table1[[#This Row],[Category]],3)</f>
        <v>Toy</v>
      </c>
      <c r="M115">
        <v>7</v>
      </c>
      <c r="N115" s="4" t="str">
        <f t="shared" si="5"/>
        <v>normal order</v>
      </c>
      <c r="O115">
        <f>SQRT(Table1[[#This Row],[Quantity]])</f>
        <v>2.6457513110645907</v>
      </c>
      <c r="P115">
        <v>689.46</v>
      </c>
      <c r="Q115">
        <v>4826.22</v>
      </c>
    </row>
    <row r="116" spans="1:17" x14ac:dyDescent="0.25">
      <c r="A116" t="s">
        <v>122</v>
      </c>
      <c r="B116" t="str">
        <f>MID(Table1[[#This Row],[Order_ID]],2,5)</f>
        <v>RD111</v>
      </c>
      <c r="C116" s="1">
        <v>45621</v>
      </c>
      <c r="D116" t="s">
        <v>509</v>
      </c>
      <c r="E116" t="s">
        <v>516</v>
      </c>
      <c r="F116" t="str">
        <f>LOWER(Table1[[#This Row],[City]])</f>
        <v>chennai</v>
      </c>
      <c r="G116" t="str">
        <f>UPPER(Table1[[#This Row],[City]])</f>
        <v>CHENNAI</v>
      </c>
      <c r="H116" t="str">
        <f>PROPER(Table1[[#This Row],[City]])</f>
        <v>Chennai</v>
      </c>
      <c r="I116" t="str">
        <f t="shared" si="3"/>
        <v>CityStore _ Chennai</v>
      </c>
      <c r="J116" t="s">
        <v>524</v>
      </c>
      <c r="K116">
        <f t="shared" si="4"/>
        <v>4</v>
      </c>
      <c r="L116" t="str">
        <f>LEFT(Table1[[#This Row],[Category]],3)</f>
        <v>Toy</v>
      </c>
      <c r="M116">
        <v>2</v>
      </c>
      <c r="N116" s="4" t="str">
        <f t="shared" si="5"/>
        <v>normal order</v>
      </c>
      <c r="O116">
        <f>SQRT(Table1[[#This Row],[Quantity]])</f>
        <v>1.4142135623730951</v>
      </c>
      <c r="P116">
        <v>831.62</v>
      </c>
      <c r="Q116">
        <v>1663.24</v>
      </c>
    </row>
    <row r="117" spans="1:17" x14ac:dyDescent="0.25">
      <c r="A117" t="s">
        <v>123</v>
      </c>
      <c r="B117" t="str">
        <f>MID(Table1[[#This Row],[Order_ID]],2,5)</f>
        <v>RD111</v>
      </c>
      <c r="C117" s="1">
        <v>45526</v>
      </c>
      <c r="D117" t="s">
        <v>512</v>
      </c>
      <c r="E117" t="s">
        <v>519</v>
      </c>
      <c r="F117" t="str">
        <f>LOWER(Table1[[#This Row],[City]])</f>
        <v>mumbai</v>
      </c>
      <c r="G117" t="str">
        <f>UPPER(Table1[[#This Row],[City]])</f>
        <v>MUMBAI</v>
      </c>
      <c r="H117" t="str">
        <f>PROPER(Table1[[#This Row],[City]])</f>
        <v>Mumbai</v>
      </c>
      <c r="I117" t="str">
        <f t="shared" si="3"/>
        <v>Trendz _ Mumbai</v>
      </c>
      <c r="J117" t="s">
        <v>521</v>
      </c>
      <c r="K117">
        <f t="shared" si="4"/>
        <v>8</v>
      </c>
      <c r="L117" t="str">
        <f>LEFT(Table1[[#This Row],[Category]],3)</f>
        <v>Clo</v>
      </c>
      <c r="M117">
        <v>7</v>
      </c>
      <c r="N117" s="4" t="str">
        <f t="shared" si="5"/>
        <v>normal order</v>
      </c>
      <c r="O117">
        <f>SQRT(Table1[[#This Row],[Quantity]])</f>
        <v>2.6457513110645907</v>
      </c>
      <c r="P117">
        <v>236</v>
      </c>
      <c r="Q117">
        <v>1652</v>
      </c>
    </row>
    <row r="118" spans="1:17" x14ac:dyDescent="0.25">
      <c r="A118" t="s">
        <v>124</v>
      </c>
      <c r="B118" t="str">
        <f>MID(Table1[[#This Row],[Order_ID]],2,5)</f>
        <v>RD111</v>
      </c>
      <c r="C118" s="1">
        <v>45365</v>
      </c>
      <c r="D118" t="s">
        <v>512</v>
      </c>
      <c r="E118" t="s">
        <v>515</v>
      </c>
      <c r="F118" t="str">
        <f>LOWER(Table1[[#This Row],[City]])</f>
        <v>kolkata</v>
      </c>
      <c r="G118" t="str">
        <f>UPPER(Table1[[#This Row],[City]])</f>
        <v>KOLKATA</v>
      </c>
      <c r="H118" t="str">
        <f>PROPER(Table1[[#This Row],[City]])</f>
        <v>Kolkata</v>
      </c>
      <c r="I118" t="str">
        <f t="shared" si="3"/>
        <v>Trendz _ Kolkata</v>
      </c>
      <c r="J118" t="s">
        <v>521</v>
      </c>
      <c r="K118">
        <f t="shared" si="4"/>
        <v>8</v>
      </c>
      <c r="L118" t="str">
        <f>LEFT(Table1[[#This Row],[Category]],3)</f>
        <v>Clo</v>
      </c>
      <c r="M118">
        <v>2</v>
      </c>
      <c r="N118" s="4" t="str">
        <f t="shared" si="5"/>
        <v>normal order</v>
      </c>
      <c r="O118">
        <f>SQRT(Table1[[#This Row],[Quantity]])</f>
        <v>1.4142135623730951</v>
      </c>
      <c r="P118">
        <v>1964.29</v>
      </c>
      <c r="Q118">
        <v>3928.58</v>
      </c>
    </row>
    <row r="119" spans="1:17" x14ac:dyDescent="0.25">
      <c r="A119" t="s">
        <v>125</v>
      </c>
      <c r="B119" t="str">
        <f>MID(Table1[[#This Row],[Order_ID]],2,5)</f>
        <v>RD111</v>
      </c>
      <c r="C119" s="1">
        <v>45427</v>
      </c>
      <c r="D119" t="s">
        <v>508</v>
      </c>
      <c r="E119" t="s">
        <v>515</v>
      </c>
      <c r="F119" t="str">
        <f>LOWER(Table1[[#This Row],[City]])</f>
        <v>kolkata</v>
      </c>
      <c r="G119" t="str">
        <f>UPPER(Table1[[#This Row],[City]])</f>
        <v>KOLKATA</v>
      </c>
      <c r="H119" t="str">
        <f>PROPER(Table1[[#This Row],[City]])</f>
        <v>Kolkata</v>
      </c>
      <c r="I119" t="str">
        <f t="shared" si="3"/>
        <v>ValueShop _ Kolkata</v>
      </c>
      <c r="J119" t="s">
        <v>522</v>
      </c>
      <c r="K119">
        <f t="shared" si="4"/>
        <v>5</v>
      </c>
      <c r="L119" t="str">
        <f>LEFT(Table1[[#This Row],[Category]],3)</f>
        <v>Boo</v>
      </c>
      <c r="M119">
        <v>11</v>
      </c>
      <c r="N119" s="4" t="str">
        <f t="shared" si="5"/>
        <v>bulk order</v>
      </c>
      <c r="O119">
        <f>SQRT(Table1[[#This Row],[Quantity]])</f>
        <v>3.3166247903553998</v>
      </c>
      <c r="P119">
        <v>981.04</v>
      </c>
      <c r="Q119">
        <v>10791.44</v>
      </c>
    </row>
    <row r="120" spans="1:17" x14ac:dyDescent="0.25">
      <c r="A120" t="s">
        <v>126</v>
      </c>
      <c r="B120" t="str">
        <f>MID(Table1[[#This Row],[Order_ID]],2,5)</f>
        <v>RD111</v>
      </c>
      <c r="C120" s="1">
        <v>45363</v>
      </c>
      <c r="D120" t="s">
        <v>509</v>
      </c>
      <c r="E120" t="s">
        <v>516</v>
      </c>
      <c r="F120" t="str">
        <f>LOWER(Table1[[#This Row],[City]])</f>
        <v>chennai</v>
      </c>
      <c r="G120" t="str">
        <f>UPPER(Table1[[#This Row],[City]])</f>
        <v>CHENNAI</v>
      </c>
      <c r="H120" t="str">
        <f>PROPER(Table1[[#This Row],[City]])</f>
        <v>Chennai</v>
      </c>
      <c r="I120" t="str">
        <f t="shared" si="3"/>
        <v>CityStore _ Chennai</v>
      </c>
      <c r="J120" t="s">
        <v>523</v>
      </c>
      <c r="K120">
        <f t="shared" si="4"/>
        <v>14</v>
      </c>
      <c r="L120" t="str">
        <f>LEFT(Table1[[#This Row],[Category]],3)</f>
        <v>Hom</v>
      </c>
      <c r="M120">
        <v>10</v>
      </c>
      <c r="N120" s="4" t="str">
        <f t="shared" si="5"/>
        <v>normal order</v>
      </c>
      <c r="O120">
        <f>SQRT(Table1[[#This Row],[Quantity]])</f>
        <v>3.1622776601683795</v>
      </c>
      <c r="P120">
        <v>1874.86</v>
      </c>
      <c r="Q120">
        <v>18748.599999999999</v>
      </c>
    </row>
    <row r="121" spans="1:17" x14ac:dyDescent="0.25">
      <c r="A121" t="s">
        <v>127</v>
      </c>
      <c r="B121" t="str">
        <f>MID(Table1[[#This Row],[Order_ID]],2,5)</f>
        <v>RD111</v>
      </c>
      <c r="C121" s="1">
        <v>45418</v>
      </c>
      <c r="D121" t="s">
        <v>508</v>
      </c>
      <c r="E121" t="s">
        <v>514</v>
      </c>
      <c r="F121" t="str">
        <f>LOWER(Table1[[#This Row],[City]])</f>
        <v>delhi</v>
      </c>
      <c r="G121" t="str">
        <f>UPPER(Table1[[#This Row],[City]])</f>
        <v>DELHI</v>
      </c>
      <c r="H121" t="str">
        <f>PROPER(Table1[[#This Row],[City]])</f>
        <v>Delhi</v>
      </c>
      <c r="I121" t="str">
        <f t="shared" si="3"/>
        <v>ValueShop _ Delhi</v>
      </c>
      <c r="J121" t="s">
        <v>521</v>
      </c>
      <c r="K121">
        <f t="shared" si="4"/>
        <v>8</v>
      </c>
      <c r="L121" t="str">
        <f>LEFT(Table1[[#This Row],[Category]],3)</f>
        <v>Clo</v>
      </c>
      <c r="M121">
        <v>17</v>
      </c>
      <c r="N121" s="4" t="str">
        <f t="shared" si="5"/>
        <v>bulk order</v>
      </c>
      <c r="O121">
        <f>SQRT(Table1[[#This Row],[Quantity]])</f>
        <v>4.1231056256176606</v>
      </c>
      <c r="P121">
        <v>63.32</v>
      </c>
      <c r="Q121">
        <v>1076.44</v>
      </c>
    </row>
    <row r="122" spans="1:17" x14ac:dyDescent="0.25">
      <c r="A122" t="s">
        <v>128</v>
      </c>
      <c r="B122" t="str">
        <f>MID(Table1[[#This Row],[Order_ID]],2,5)</f>
        <v>RD112</v>
      </c>
      <c r="C122" s="1">
        <v>45579</v>
      </c>
      <c r="D122" t="s">
        <v>510</v>
      </c>
      <c r="E122" t="s">
        <v>513</v>
      </c>
      <c r="F122" t="str">
        <f>LOWER(Table1[[#This Row],[City]])</f>
        <v>bangalore</v>
      </c>
      <c r="G122" t="str">
        <f>UPPER(Table1[[#This Row],[City]])</f>
        <v>BANGALORE</v>
      </c>
      <c r="H122" t="str">
        <f>PROPER(Table1[[#This Row],[City]])</f>
        <v>Bangalore</v>
      </c>
      <c r="I122" t="str">
        <f t="shared" si="3"/>
        <v>QuickBuy _ Bangalore</v>
      </c>
      <c r="J122" t="s">
        <v>520</v>
      </c>
      <c r="K122">
        <f t="shared" si="4"/>
        <v>11</v>
      </c>
      <c r="L122" t="str">
        <f>LEFT(Table1[[#This Row],[Category]],3)</f>
        <v>Ele</v>
      </c>
      <c r="M122">
        <v>13</v>
      </c>
      <c r="N122" s="4" t="str">
        <f t="shared" si="5"/>
        <v>bulk order</v>
      </c>
      <c r="O122">
        <f>SQRT(Table1[[#This Row],[Quantity]])</f>
        <v>3.6055512754639891</v>
      </c>
      <c r="P122">
        <v>797.97</v>
      </c>
      <c r="Q122">
        <v>10373.61</v>
      </c>
    </row>
    <row r="123" spans="1:17" x14ac:dyDescent="0.25">
      <c r="A123" t="s">
        <v>129</v>
      </c>
      <c r="B123" t="str">
        <f>MID(Table1[[#This Row],[Order_ID]],2,5)</f>
        <v>RD112</v>
      </c>
      <c r="C123" s="1">
        <v>45567</v>
      </c>
      <c r="D123" t="s">
        <v>512</v>
      </c>
      <c r="E123" t="s">
        <v>518</v>
      </c>
      <c r="F123" t="str">
        <f>LOWER(Table1[[#This Row],[City]])</f>
        <v>pune</v>
      </c>
      <c r="G123" t="str">
        <f>UPPER(Table1[[#This Row],[City]])</f>
        <v>PUNE</v>
      </c>
      <c r="H123" t="str">
        <f>PROPER(Table1[[#This Row],[City]])</f>
        <v>Pune</v>
      </c>
      <c r="I123" t="str">
        <f t="shared" si="3"/>
        <v>Trendz _ Pune</v>
      </c>
      <c r="J123" t="s">
        <v>525</v>
      </c>
      <c r="K123">
        <f t="shared" si="4"/>
        <v>9</v>
      </c>
      <c r="L123" t="str">
        <f>LEFT(Table1[[#This Row],[Category]],3)</f>
        <v>Gro</v>
      </c>
      <c r="M123">
        <v>18</v>
      </c>
      <c r="N123" s="4" t="str">
        <f t="shared" si="5"/>
        <v>bulk order</v>
      </c>
      <c r="O123">
        <f>SQRT(Table1[[#This Row],[Quantity]])</f>
        <v>4.2426406871192848</v>
      </c>
      <c r="P123">
        <v>921.13</v>
      </c>
      <c r="Q123">
        <v>16580.34</v>
      </c>
    </row>
    <row r="124" spans="1:17" x14ac:dyDescent="0.25">
      <c r="A124" t="s">
        <v>130</v>
      </c>
      <c r="B124" t="str">
        <f>MID(Table1[[#This Row],[Order_ID]],2,5)</f>
        <v>RD112</v>
      </c>
      <c r="C124" s="1">
        <v>45426</v>
      </c>
      <c r="D124" t="s">
        <v>509</v>
      </c>
      <c r="E124" t="s">
        <v>516</v>
      </c>
      <c r="F124" t="str">
        <f>LOWER(Table1[[#This Row],[City]])</f>
        <v>chennai</v>
      </c>
      <c r="G124" t="str">
        <f>UPPER(Table1[[#This Row],[City]])</f>
        <v>CHENNAI</v>
      </c>
      <c r="H124" t="str">
        <f>PROPER(Table1[[#This Row],[City]])</f>
        <v>Chennai</v>
      </c>
      <c r="I124" t="str">
        <f t="shared" si="3"/>
        <v>CityStore _ Chennai</v>
      </c>
      <c r="J124" t="s">
        <v>524</v>
      </c>
      <c r="K124">
        <f t="shared" si="4"/>
        <v>4</v>
      </c>
      <c r="L124" t="str">
        <f>LEFT(Table1[[#This Row],[Category]],3)</f>
        <v>Toy</v>
      </c>
      <c r="M124">
        <v>16</v>
      </c>
      <c r="N124" s="4" t="str">
        <f t="shared" si="5"/>
        <v>bulk order</v>
      </c>
      <c r="O124">
        <f>SQRT(Table1[[#This Row],[Quantity]])</f>
        <v>4</v>
      </c>
      <c r="P124">
        <v>570.64</v>
      </c>
      <c r="Q124">
        <v>9130.24</v>
      </c>
    </row>
    <row r="125" spans="1:17" x14ac:dyDescent="0.25">
      <c r="A125" t="s">
        <v>131</v>
      </c>
      <c r="B125" t="str">
        <f>MID(Table1[[#This Row],[Order_ID]],2,5)</f>
        <v>RD112</v>
      </c>
      <c r="C125" s="1">
        <v>45591</v>
      </c>
      <c r="D125" t="s">
        <v>508</v>
      </c>
      <c r="E125" t="s">
        <v>518</v>
      </c>
      <c r="F125" t="str">
        <f>LOWER(Table1[[#This Row],[City]])</f>
        <v>pune</v>
      </c>
      <c r="G125" t="str">
        <f>UPPER(Table1[[#This Row],[City]])</f>
        <v>PUNE</v>
      </c>
      <c r="H125" t="str">
        <f>PROPER(Table1[[#This Row],[City]])</f>
        <v>Pune</v>
      </c>
      <c r="I125" t="str">
        <f t="shared" si="3"/>
        <v>ValueShop _ Pune</v>
      </c>
      <c r="J125" t="s">
        <v>525</v>
      </c>
      <c r="K125">
        <f t="shared" si="4"/>
        <v>9</v>
      </c>
      <c r="L125" t="str">
        <f>LEFT(Table1[[#This Row],[Category]],3)</f>
        <v>Gro</v>
      </c>
      <c r="M125">
        <v>9</v>
      </c>
      <c r="N125" s="4" t="str">
        <f t="shared" si="5"/>
        <v>normal order</v>
      </c>
      <c r="O125">
        <f>SQRT(Table1[[#This Row],[Quantity]])</f>
        <v>3</v>
      </c>
      <c r="P125">
        <v>692.77</v>
      </c>
      <c r="Q125">
        <v>6234.93</v>
      </c>
    </row>
    <row r="126" spans="1:17" x14ac:dyDescent="0.25">
      <c r="A126" t="s">
        <v>132</v>
      </c>
      <c r="B126" t="str">
        <f>MID(Table1[[#This Row],[Order_ID]],2,5)</f>
        <v>RD112</v>
      </c>
      <c r="C126" s="1">
        <v>45511</v>
      </c>
      <c r="D126" t="s">
        <v>512</v>
      </c>
      <c r="E126" t="s">
        <v>515</v>
      </c>
      <c r="F126" t="str">
        <f>LOWER(Table1[[#This Row],[City]])</f>
        <v>kolkata</v>
      </c>
      <c r="G126" t="str">
        <f>UPPER(Table1[[#This Row],[City]])</f>
        <v>KOLKATA</v>
      </c>
      <c r="H126" t="str">
        <f>PROPER(Table1[[#This Row],[City]])</f>
        <v>Kolkata</v>
      </c>
      <c r="I126" t="str">
        <f t="shared" si="3"/>
        <v>Trendz _ Kolkata</v>
      </c>
      <c r="J126" t="s">
        <v>520</v>
      </c>
      <c r="K126">
        <f t="shared" si="4"/>
        <v>11</v>
      </c>
      <c r="L126" t="str">
        <f>LEFT(Table1[[#This Row],[Category]],3)</f>
        <v>Ele</v>
      </c>
      <c r="M126">
        <v>2</v>
      </c>
      <c r="N126" s="4" t="str">
        <f t="shared" si="5"/>
        <v>normal order</v>
      </c>
      <c r="O126">
        <f>SQRT(Table1[[#This Row],[Quantity]])</f>
        <v>1.4142135623730951</v>
      </c>
      <c r="P126">
        <v>1185.8</v>
      </c>
      <c r="Q126">
        <v>2371.6</v>
      </c>
    </row>
    <row r="127" spans="1:17" x14ac:dyDescent="0.25">
      <c r="A127" t="s">
        <v>133</v>
      </c>
      <c r="B127" t="str">
        <f>MID(Table1[[#This Row],[Order_ID]],2,5)</f>
        <v>RD112</v>
      </c>
      <c r="C127" s="1">
        <v>45590</v>
      </c>
      <c r="D127" t="s">
        <v>511</v>
      </c>
      <c r="E127" t="s">
        <v>516</v>
      </c>
      <c r="F127" t="str">
        <f>LOWER(Table1[[#This Row],[City]])</f>
        <v>chennai</v>
      </c>
      <c r="G127" t="str">
        <f>UPPER(Table1[[#This Row],[City]])</f>
        <v>CHENNAI</v>
      </c>
      <c r="H127" t="str">
        <f>PROPER(Table1[[#This Row],[City]])</f>
        <v>Chennai</v>
      </c>
      <c r="I127" t="str">
        <f t="shared" si="3"/>
        <v>MegaMart _ Chennai</v>
      </c>
      <c r="J127" t="s">
        <v>525</v>
      </c>
      <c r="K127">
        <f t="shared" si="4"/>
        <v>9</v>
      </c>
      <c r="L127" t="str">
        <f>LEFT(Table1[[#This Row],[Category]],3)</f>
        <v>Gro</v>
      </c>
      <c r="M127">
        <v>7</v>
      </c>
      <c r="N127" s="4" t="str">
        <f t="shared" si="5"/>
        <v>normal order</v>
      </c>
      <c r="O127">
        <f>SQRT(Table1[[#This Row],[Quantity]])</f>
        <v>2.6457513110645907</v>
      </c>
      <c r="P127">
        <v>1167.1099999999999</v>
      </c>
      <c r="Q127">
        <v>8169.77</v>
      </c>
    </row>
    <row r="128" spans="1:17" x14ac:dyDescent="0.25">
      <c r="A128" t="s">
        <v>134</v>
      </c>
      <c r="B128" t="str">
        <f>MID(Table1[[#This Row],[Order_ID]],2,5)</f>
        <v>RD112</v>
      </c>
      <c r="C128" s="1">
        <v>45496</v>
      </c>
      <c r="D128" t="s">
        <v>508</v>
      </c>
      <c r="E128" t="s">
        <v>516</v>
      </c>
      <c r="F128" t="str">
        <f>LOWER(Table1[[#This Row],[City]])</f>
        <v>chennai</v>
      </c>
      <c r="G128" t="str">
        <f>UPPER(Table1[[#This Row],[City]])</f>
        <v>CHENNAI</v>
      </c>
      <c r="H128" t="str">
        <f>PROPER(Table1[[#This Row],[City]])</f>
        <v>Chennai</v>
      </c>
      <c r="I128" t="str">
        <f t="shared" si="3"/>
        <v>ValueShop _ Chennai</v>
      </c>
      <c r="J128" t="s">
        <v>524</v>
      </c>
      <c r="K128">
        <f t="shared" si="4"/>
        <v>4</v>
      </c>
      <c r="L128" t="str">
        <f>LEFT(Table1[[#This Row],[Category]],3)</f>
        <v>Toy</v>
      </c>
      <c r="M128">
        <v>10</v>
      </c>
      <c r="N128" s="4" t="str">
        <f t="shared" si="5"/>
        <v>normal order</v>
      </c>
      <c r="O128">
        <f>SQRT(Table1[[#This Row],[Quantity]])</f>
        <v>3.1622776601683795</v>
      </c>
      <c r="P128">
        <v>560.03</v>
      </c>
      <c r="Q128">
        <v>5600.2999999999993</v>
      </c>
    </row>
    <row r="129" spans="1:17" x14ac:dyDescent="0.25">
      <c r="A129" t="s">
        <v>135</v>
      </c>
      <c r="B129" t="str">
        <f>MID(Table1[[#This Row],[Order_ID]],2,5)</f>
        <v>RD112</v>
      </c>
      <c r="C129" s="1">
        <v>45477</v>
      </c>
      <c r="D129" t="s">
        <v>509</v>
      </c>
      <c r="E129" t="s">
        <v>518</v>
      </c>
      <c r="F129" t="str">
        <f>LOWER(Table1[[#This Row],[City]])</f>
        <v>pune</v>
      </c>
      <c r="G129" t="str">
        <f>UPPER(Table1[[#This Row],[City]])</f>
        <v>PUNE</v>
      </c>
      <c r="H129" t="str">
        <f>PROPER(Table1[[#This Row],[City]])</f>
        <v>Pune</v>
      </c>
      <c r="I129" t="str">
        <f t="shared" si="3"/>
        <v>CityStore _ Pune</v>
      </c>
      <c r="J129" t="s">
        <v>521</v>
      </c>
      <c r="K129">
        <f t="shared" si="4"/>
        <v>8</v>
      </c>
      <c r="L129" t="str">
        <f>LEFT(Table1[[#This Row],[Category]],3)</f>
        <v>Clo</v>
      </c>
      <c r="M129">
        <v>12</v>
      </c>
      <c r="N129" s="4" t="str">
        <f t="shared" si="5"/>
        <v>bulk order</v>
      </c>
      <c r="O129">
        <f>SQRT(Table1[[#This Row],[Quantity]])</f>
        <v>3.4641016151377544</v>
      </c>
      <c r="P129">
        <v>751.13</v>
      </c>
      <c r="Q129">
        <v>9013.56</v>
      </c>
    </row>
    <row r="130" spans="1:17" x14ac:dyDescent="0.25">
      <c r="A130" t="s">
        <v>136</v>
      </c>
      <c r="B130" t="str">
        <f>MID(Table1[[#This Row],[Order_ID]],2,5)</f>
        <v>RD112</v>
      </c>
      <c r="C130" s="1">
        <v>45404</v>
      </c>
      <c r="D130" t="s">
        <v>508</v>
      </c>
      <c r="E130" t="s">
        <v>515</v>
      </c>
      <c r="F130" t="str">
        <f>LOWER(Table1[[#This Row],[City]])</f>
        <v>kolkata</v>
      </c>
      <c r="G130" t="str">
        <f>UPPER(Table1[[#This Row],[City]])</f>
        <v>KOLKATA</v>
      </c>
      <c r="H130" t="str">
        <f>PROPER(Table1[[#This Row],[City]])</f>
        <v>Kolkata</v>
      </c>
      <c r="I130" t="str">
        <f t="shared" ref="I130:I193" si="6">CONCATENATE(D130," _ ",E130)</f>
        <v>ValueShop _ Kolkata</v>
      </c>
      <c r="J130" t="s">
        <v>523</v>
      </c>
      <c r="K130">
        <f t="shared" ref="K130:K193" si="7">LEN(J130)</f>
        <v>14</v>
      </c>
      <c r="L130" t="str">
        <f>LEFT(Table1[[#This Row],[Category]],3)</f>
        <v>Hom</v>
      </c>
      <c r="M130">
        <v>2</v>
      </c>
      <c r="N130" s="4" t="str">
        <f t="shared" si="5"/>
        <v>normal order</v>
      </c>
      <c r="O130">
        <f>SQRT(Table1[[#This Row],[Quantity]])</f>
        <v>1.4142135623730951</v>
      </c>
      <c r="P130">
        <v>510.79</v>
      </c>
      <c r="Q130">
        <v>1021.58</v>
      </c>
    </row>
    <row r="131" spans="1:17" x14ac:dyDescent="0.25">
      <c r="A131" t="s">
        <v>137</v>
      </c>
      <c r="B131" t="str">
        <f>MID(Table1[[#This Row],[Order_ID]],2,5)</f>
        <v>RD112</v>
      </c>
      <c r="C131" s="1">
        <v>45362</v>
      </c>
      <c r="D131" t="s">
        <v>508</v>
      </c>
      <c r="E131" t="s">
        <v>515</v>
      </c>
      <c r="F131" t="str">
        <f>LOWER(Table1[[#This Row],[City]])</f>
        <v>kolkata</v>
      </c>
      <c r="G131" t="str">
        <f>UPPER(Table1[[#This Row],[City]])</f>
        <v>KOLKATA</v>
      </c>
      <c r="H131" t="str">
        <f>PROPER(Table1[[#This Row],[City]])</f>
        <v>Kolkata</v>
      </c>
      <c r="I131" t="str">
        <f t="shared" si="6"/>
        <v>ValueShop _ Kolkata</v>
      </c>
      <c r="J131" t="s">
        <v>524</v>
      </c>
      <c r="K131">
        <f t="shared" si="7"/>
        <v>4</v>
      </c>
      <c r="L131" t="str">
        <f>LEFT(Table1[[#This Row],[Category]],3)</f>
        <v>Toy</v>
      </c>
      <c r="M131">
        <v>11</v>
      </c>
      <c r="N131" s="4" t="str">
        <f t="shared" ref="N131:N194" si="8">IF(M131&gt;10,"bulk order","normal order")</f>
        <v>bulk order</v>
      </c>
      <c r="O131">
        <f>SQRT(Table1[[#This Row],[Quantity]])</f>
        <v>3.3166247903553998</v>
      </c>
      <c r="P131">
        <v>1352.18</v>
      </c>
      <c r="Q131">
        <v>14873.98</v>
      </c>
    </row>
    <row r="132" spans="1:17" x14ac:dyDescent="0.25">
      <c r="A132" t="s">
        <v>138</v>
      </c>
      <c r="B132" t="str">
        <f>MID(Table1[[#This Row],[Order_ID]],2,5)</f>
        <v>RD113</v>
      </c>
      <c r="C132" s="1">
        <v>45552</v>
      </c>
      <c r="D132" t="s">
        <v>508</v>
      </c>
      <c r="E132" t="s">
        <v>518</v>
      </c>
      <c r="F132" t="str">
        <f>LOWER(Table1[[#This Row],[City]])</f>
        <v>pune</v>
      </c>
      <c r="G132" t="str">
        <f>UPPER(Table1[[#This Row],[City]])</f>
        <v>PUNE</v>
      </c>
      <c r="H132" t="str">
        <f>PROPER(Table1[[#This Row],[City]])</f>
        <v>Pune</v>
      </c>
      <c r="I132" t="str">
        <f t="shared" si="6"/>
        <v>ValueShop _ Pune</v>
      </c>
      <c r="J132" t="s">
        <v>524</v>
      </c>
      <c r="K132">
        <f t="shared" si="7"/>
        <v>4</v>
      </c>
      <c r="L132" t="str">
        <f>LEFT(Table1[[#This Row],[Category]],3)</f>
        <v>Toy</v>
      </c>
      <c r="M132">
        <v>9</v>
      </c>
      <c r="N132" s="4" t="str">
        <f t="shared" si="8"/>
        <v>normal order</v>
      </c>
      <c r="O132">
        <f>SQRT(Table1[[#This Row],[Quantity]])</f>
        <v>3</v>
      </c>
      <c r="P132">
        <v>957.52</v>
      </c>
      <c r="Q132">
        <v>8617.68</v>
      </c>
    </row>
    <row r="133" spans="1:17" x14ac:dyDescent="0.25">
      <c r="A133" t="s">
        <v>139</v>
      </c>
      <c r="B133" t="str">
        <f>MID(Table1[[#This Row],[Order_ID]],2,5)</f>
        <v>RD113</v>
      </c>
      <c r="C133" s="1">
        <v>45544</v>
      </c>
      <c r="D133" t="s">
        <v>510</v>
      </c>
      <c r="E133" t="s">
        <v>519</v>
      </c>
      <c r="F133" t="str">
        <f>LOWER(Table1[[#This Row],[City]])</f>
        <v>mumbai</v>
      </c>
      <c r="G133" t="str">
        <f>UPPER(Table1[[#This Row],[City]])</f>
        <v>MUMBAI</v>
      </c>
      <c r="H133" t="str">
        <f>PROPER(Table1[[#This Row],[City]])</f>
        <v>Mumbai</v>
      </c>
      <c r="I133" t="str">
        <f t="shared" si="6"/>
        <v>QuickBuy _ Mumbai</v>
      </c>
      <c r="J133" t="s">
        <v>524</v>
      </c>
      <c r="K133">
        <f t="shared" si="7"/>
        <v>4</v>
      </c>
      <c r="L133" t="str">
        <f>LEFT(Table1[[#This Row],[Category]],3)</f>
        <v>Toy</v>
      </c>
      <c r="M133">
        <v>4</v>
      </c>
      <c r="N133" s="4" t="str">
        <f t="shared" si="8"/>
        <v>normal order</v>
      </c>
      <c r="O133">
        <f>SQRT(Table1[[#This Row],[Quantity]])</f>
        <v>2</v>
      </c>
      <c r="P133">
        <v>361.45</v>
      </c>
      <c r="Q133">
        <v>1445.8</v>
      </c>
    </row>
    <row r="134" spans="1:17" x14ac:dyDescent="0.25">
      <c r="A134" t="s">
        <v>140</v>
      </c>
      <c r="B134" t="str">
        <f>MID(Table1[[#This Row],[Order_ID]],2,5)</f>
        <v>RD113</v>
      </c>
      <c r="C134" s="1">
        <v>45338</v>
      </c>
      <c r="D134" t="s">
        <v>511</v>
      </c>
      <c r="E134" t="s">
        <v>516</v>
      </c>
      <c r="F134" t="str">
        <f>LOWER(Table1[[#This Row],[City]])</f>
        <v>chennai</v>
      </c>
      <c r="G134" t="str">
        <f>UPPER(Table1[[#This Row],[City]])</f>
        <v>CHENNAI</v>
      </c>
      <c r="H134" t="str">
        <f>PROPER(Table1[[#This Row],[City]])</f>
        <v>Chennai</v>
      </c>
      <c r="I134" t="str">
        <f t="shared" si="6"/>
        <v>MegaMart _ Chennai</v>
      </c>
      <c r="J134" t="s">
        <v>522</v>
      </c>
      <c r="K134">
        <f t="shared" si="7"/>
        <v>5</v>
      </c>
      <c r="L134" t="str">
        <f>LEFT(Table1[[#This Row],[Category]],3)</f>
        <v>Boo</v>
      </c>
      <c r="M134">
        <v>12</v>
      </c>
      <c r="N134" s="4" t="str">
        <f t="shared" si="8"/>
        <v>bulk order</v>
      </c>
      <c r="O134">
        <f>SQRT(Table1[[#This Row],[Quantity]])</f>
        <v>3.4641016151377544</v>
      </c>
      <c r="P134">
        <v>1387.84</v>
      </c>
      <c r="Q134">
        <v>16654.080000000002</v>
      </c>
    </row>
    <row r="135" spans="1:17" x14ac:dyDescent="0.25">
      <c r="A135" t="s">
        <v>141</v>
      </c>
      <c r="B135" t="str">
        <f>MID(Table1[[#This Row],[Order_ID]],2,5)</f>
        <v>RD113</v>
      </c>
      <c r="C135" s="1">
        <v>45316</v>
      </c>
      <c r="D135" t="s">
        <v>509</v>
      </c>
      <c r="E135" t="s">
        <v>514</v>
      </c>
      <c r="F135" t="str">
        <f>LOWER(Table1[[#This Row],[City]])</f>
        <v>delhi</v>
      </c>
      <c r="G135" t="str">
        <f>UPPER(Table1[[#This Row],[City]])</f>
        <v>DELHI</v>
      </c>
      <c r="H135" t="str">
        <f>PROPER(Table1[[#This Row],[City]])</f>
        <v>Delhi</v>
      </c>
      <c r="I135" t="str">
        <f t="shared" si="6"/>
        <v>CityStore _ Delhi</v>
      </c>
      <c r="J135" t="s">
        <v>522</v>
      </c>
      <c r="K135">
        <f t="shared" si="7"/>
        <v>5</v>
      </c>
      <c r="L135" t="str">
        <f>LEFT(Table1[[#This Row],[Category]],3)</f>
        <v>Boo</v>
      </c>
      <c r="M135">
        <v>14</v>
      </c>
      <c r="N135" s="4" t="str">
        <f t="shared" si="8"/>
        <v>bulk order</v>
      </c>
      <c r="O135">
        <f>SQRT(Table1[[#This Row],[Quantity]])</f>
        <v>3.7416573867739413</v>
      </c>
      <c r="P135">
        <v>1850.06</v>
      </c>
      <c r="Q135">
        <v>25900.84</v>
      </c>
    </row>
    <row r="136" spans="1:17" x14ac:dyDescent="0.25">
      <c r="A136" t="s">
        <v>142</v>
      </c>
      <c r="B136" t="str">
        <f>MID(Table1[[#This Row],[Order_ID]],2,5)</f>
        <v>RD113</v>
      </c>
      <c r="C136" s="1">
        <v>45348</v>
      </c>
      <c r="D136" t="s">
        <v>509</v>
      </c>
      <c r="E136" t="s">
        <v>519</v>
      </c>
      <c r="F136" t="str">
        <f>LOWER(Table1[[#This Row],[City]])</f>
        <v>mumbai</v>
      </c>
      <c r="G136" t="str">
        <f>UPPER(Table1[[#This Row],[City]])</f>
        <v>MUMBAI</v>
      </c>
      <c r="H136" t="str">
        <f>PROPER(Table1[[#This Row],[City]])</f>
        <v>Mumbai</v>
      </c>
      <c r="I136" t="str">
        <f t="shared" si="6"/>
        <v>CityStore _ Mumbai</v>
      </c>
      <c r="J136" t="s">
        <v>524</v>
      </c>
      <c r="K136">
        <f t="shared" si="7"/>
        <v>4</v>
      </c>
      <c r="L136" t="str">
        <f>LEFT(Table1[[#This Row],[Category]],3)</f>
        <v>Toy</v>
      </c>
      <c r="M136">
        <v>13</v>
      </c>
      <c r="N136" s="4" t="str">
        <f t="shared" si="8"/>
        <v>bulk order</v>
      </c>
      <c r="O136">
        <f>SQRT(Table1[[#This Row],[Quantity]])</f>
        <v>3.6055512754639891</v>
      </c>
      <c r="P136">
        <v>1781.21</v>
      </c>
      <c r="Q136">
        <v>23155.73</v>
      </c>
    </row>
    <row r="137" spans="1:17" x14ac:dyDescent="0.25">
      <c r="A137" t="s">
        <v>143</v>
      </c>
      <c r="B137" t="str">
        <f>MID(Table1[[#This Row],[Order_ID]],2,5)</f>
        <v>RD113</v>
      </c>
      <c r="C137" s="1">
        <v>45370</v>
      </c>
      <c r="D137" t="s">
        <v>509</v>
      </c>
      <c r="E137" t="s">
        <v>517</v>
      </c>
      <c r="F137" t="str">
        <f>LOWER(Table1[[#This Row],[City]])</f>
        <v>hyderabad</v>
      </c>
      <c r="G137" t="str">
        <f>UPPER(Table1[[#This Row],[City]])</f>
        <v>HYDERABAD</v>
      </c>
      <c r="H137" t="str">
        <f>PROPER(Table1[[#This Row],[City]])</f>
        <v>Hyderabad</v>
      </c>
      <c r="I137" t="str">
        <f t="shared" si="6"/>
        <v>CityStore _ Hyderabad</v>
      </c>
      <c r="J137" t="s">
        <v>520</v>
      </c>
      <c r="K137">
        <f t="shared" si="7"/>
        <v>11</v>
      </c>
      <c r="L137" t="str">
        <f>LEFT(Table1[[#This Row],[Category]],3)</f>
        <v>Ele</v>
      </c>
      <c r="M137">
        <v>15</v>
      </c>
      <c r="N137" s="4" t="str">
        <f t="shared" si="8"/>
        <v>bulk order</v>
      </c>
      <c r="O137">
        <f>SQRT(Table1[[#This Row],[Quantity]])</f>
        <v>3.872983346207417</v>
      </c>
      <c r="P137">
        <v>1551.19</v>
      </c>
      <c r="Q137">
        <v>23267.85</v>
      </c>
    </row>
    <row r="138" spans="1:17" x14ac:dyDescent="0.25">
      <c r="A138" t="s">
        <v>144</v>
      </c>
      <c r="B138" t="str">
        <f>MID(Table1[[#This Row],[Order_ID]],2,5)</f>
        <v>RD113</v>
      </c>
      <c r="C138" s="1">
        <v>45613</v>
      </c>
      <c r="D138" t="s">
        <v>512</v>
      </c>
      <c r="E138" t="s">
        <v>517</v>
      </c>
      <c r="F138" t="str">
        <f>LOWER(Table1[[#This Row],[City]])</f>
        <v>hyderabad</v>
      </c>
      <c r="G138" t="str">
        <f>UPPER(Table1[[#This Row],[City]])</f>
        <v>HYDERABAD</v>
      </c>
      <c r="H138" t="str">
        <f>PROPER(Table1[[#This Row],[City]])</f>
        <v>Hyderabad</v>
      </c>
      <c r="I138" t="str">
        <f t="shared" si="6"/>
        <v>Trendz _ Hyderabad</v>
      </c>
      <c r="J138" t="s">
        <v>524</v>
      </c>
      <c r="K138">
        <f t="shared" si="7"/>
        <v>4</v>
      </c>
      <c r="L138" t="str">
        <f>LEFT(Table1[[#This Row],[Category]],3)</f>
        <v>Toy</v>
      </c>
      <c r="M138">
        <v>13</v>
      </c>
      <c r="N138" s="4" t="str">
        <f t="shared" si="8"/>
        <v>bulk order</v>
      </c>
      <c r="O138">
        <f>SQRT(Table1[[#This Row],[Quantity]])</f>
        <v>3.6055512754639891</v>
      </c>
      <c r="P138">
        <v>1396.07</v>
      </c>
      <c r="Q138">
        <v>18148.91</v>
      </c>
    </row>
    <row r="139" spans="1:17" x14ac:dyDescent="0.25">
      <c r="A139" t="s">
        <v>145</v>
      </c>
      <c r="B139" t="str">
        <f>MID(Table1[[#This Row],[Order_ID]],2,5)</f>
        <v>RD113</v>
      </c>
      <c r="C139" s="1">
        <v>45373</v>
      </c>
      <c r="D139" t="s">
        <v>509</v>
      </c>
      <c r="E139" t="s">
        <v>513</v>
      </c>
      <c r="F139" t="str">
        <f>LOWER(Table1[[#This Row],[City]])</f>
        <v>bangalore</v>
      </c>
      <c r="G139" t="str">
        <f>UPPER(Table1[[#This Row],[City]])</f>
        <v>BANGALORE</v>
      </c>
      <c r="H139" t="str">
        <f>PROPER(Table1[[#This Row],[City]])</f>
        <v>Bangalore</v>
      </c>
      <c r="I139" t="str">
        <f t="shared" si="6"/>
        <v>CityStore _ Bangalore</v>
      </c>
      <c r="J139" t="s">
        <v>522</v>
      </c>
      <c r="K139">
        <f t="shared" si="7"/>
        <v>5</v>
      </c>
      <c r="L139" t="str">
        <f>LEFT(Table1[[#This Row],[Category]],3)</f>
        <v>Boo</v>
      </c>
      <c r="M139">
        <v>11</v>
      </c>
      <c r="N139" s="4" t="str">
        <f t="shared" si="8"/>
        <v>bulk order</v>
      </c>
      <c r="O139">
        <f>SQRT(Table1[[#This Row],[Quantity]])</f>
        <v>3.3166247903553998</v>
      </c>
      <c r="P139">
        <v>1295.49</v>
      </c>
      <c r="Q139">
        <v>14250.39</v>
      </c>
    </row>
    <row r="140" spans="1:17" x14ac:dyDescent="0.25">
      <c r="A140" t="s">
        <v>146</v>
      </c>
      <c r="B140" t="str">
        <f>MID(Table1[[#This Row],[Order_ID]],2,5)</f>
        <v>RD113</v>
      </c>
      <c r="C140" s="1">
        <v>45640</v>
      </c>
      <c r="D140" t="s">
        <v>509</v>
      </c>
      <c r="E140" t="s">
        <v>515</v>
      </c>
      <c r="F140" t="str">
        <f>LOWER(Table1[[#This Row],[City]])</f>
        <v>kolkata</v>
      </c>
      <c r="G140" t="str">
        <f>UPPER(Table1[[#This Row],[City]])</f>
        <v>KOLKATA</v>
      </c>
      <c r="H140" t="str">
        <f>PROPER(Table1[[#This Row],[City]])</f>
        <v>Kolkata</v>
      </c>
      <c r="I140" t="str">
        <f t="shared" si="6"/>
        <v>CityStore _ Kolkata</v>
      </c>
      <c r="J140" t="s">
        <v>522</v>
      </c>
      <c r="K140">
        <f t="shared" si="7"/>
        <v>5</v>
      </c>
      <c r="L140" t="str">
        <f>LEFT(Table1[[#This Row],[Category]],3)</f>
        <v>Boo</v>
      </c>
      <c r="M140">
        <v>6</v>
      </c>
      <c r="N140" s="4" t="str">
        <f t="shared" si="8"/>
        <v>normal order</v>
      </c>
      <c r="O140">
        <f>SQRT(Table1[[#This Row],[Quantity]])</f>
        <v>2.4494897427831779</v>
      </c>
      <c r="P140">
        <v>1884.24</v>
      </c>
      <c r="Q140">
        <v>11305.44</v>
      </c>
    </row>
    <row r="141" spans="1:17" x14ac:dyDescent="0.25">
      <c r="A141" t="s">
        <v>147</v>
      </c>
      <c r="B141" t="str">
        <f>MID(Table1[[#This Row],[Order_ID]],2,5)</f>
        <v>RD113</v>
      </c>
      <c r="C141" s="1">
        <v>45508</v>
      </c>
      <c r="D141" t="s">
        <v>511</v>
      </c>
      <c r="E141" t="s">
        <v>514</v>
      </c>
      <c r="F141" t="str">
        <f>LOWER(Table1[[#This Row],[City]])</f>
        <v>delhi</v>
      </c>
      <c r="G141" t="str">
        <f>UPPER(Table1[[#This Row],[City]])</f>
        <v>DELHI</v>
      </c>
      <c r="H141" t="str">
        <f>PROPER(Table1[[#This Row],[City]])</f>
        <v>Delhi</v>
      </c>
      <c r="I141" t="str">
        <f t="shared" si="6"/>
        <v>MegaMart _ Delhi</v>
      </c>
      <c r="J141" t="s">
        <v>525</v>
      </c>
      <c r="K141">
        <f t="shared" si="7"/>
        <v>9</v>
      </c>
      <c r="L141" t="str">
        <f>LEFT(Table1[[#This Row],[Category]],3)</f>
        <v>Gro</v>
      </c>
      <c r="M141">
        <v>16</v>
      </c>
      <c r="N141" s="4" t="str">
        <f t="shared" si="8"/>
        <v>bulk order</v>
      </c>
      <c r="O141">
        <f>SQRT(Table1[[#This Row],[Quantity]])</f>
        <v>4</v>
      </c>
      <c r="P141">
        <v>766.71</v>
      </c>
      <c r="Q141">
        <v>12267.36</v>
      </c>
    </row>
    <row r="142" spans="1:17" x14ac:dyDescent="0.25">
      <c r="A142" t="s">
        <v>148</v>
      </c>
      <c r="B142" t="str">
        <f>MID(Table1[[#This Row],[Order_ID]],2,5)</f>
        <v>RD114</v>
      </c>
      <c r="C142" s="1">
        <v>45597</v>
      </c>
      <c r="D142" t="s">
        <v>512</v>
      </c>
      <c r="E142" t="s">
        <v>515</v>
      </c>
      <c r="F142" t="str">
        <f>LOWER(Table1[[#This Row],[City]])</f>
        <v>kolkata</v>
      </c>
      <c r="G142" t="str">
        <f>UPPER(Table1[[#This Row],[City]])</f>
        <v>KOLKATA</v>
      </c>
      <c r="H142" t="str">
        <f>PROPER(Table1[[#This Row],[City]])</f>
        <v>Kolkata</v>
      </c>
      <c r="I142" t="str">
        <f t="shared" si="6"/>
        <v>Trendz _ Kolkata</v>
      </c>
      <c r="J142" t="s">
        <v>520</v>
      </c>
      <c r="K142">
        <f t="shared" si="7"/>
        <v>11</v>
      </c>
      <c r="L142" t="str">
        <f>LEFT(Table1[[#This Row],[Category]],3)</f>
        <v>Ele</v>
      </c>
      <c r="M142">
        <v>16</v>
      </c>
      <c r="N142" s="4" t="str">
        <f t="shared" si="8"/>
        <v>bulk order</v>
      </c>
      <c r="O142">
        <f>SQRT(Table1[[#This Row],[Quantity]])</f>
        <v>4</v>
      </c>
      <c r="P142">
        <v>480.66</v>
      </c>
      <c r="Q142">
        <v>7690.56</v>
      </c>
    </row>
    <row r="143" spans="1:17" x14ac:dyDescent="0.25">
      <c r="A143" t="s">
        <v>149</v>
      </c>
      <c r="B143" t="str">
        <f>MID(Table1[[#This Row],[Order_ID]],2,5)</f>
        <v>RD114</v>
      </c>
      <c r="C143" s="1">
        <v>45324</v>
      </c>
      <c r="D143" t="s">
        <v>512</v>
      </c>
      <c r="E143" t="s">
        <v>515</v>
      </c>
      <c r="F143" t="str">
        <f>LOWER(Table1[[#This Row],[City]])</f>
        <v>kolkata</v>
      </c>
      <c r="G143" t="str">
        <f>UPPER(Table1[[#This Row],[City]])</f>
        <v>KOLKATA</v>
      </c>
      <c r="H143" t="str">
        <f>PROPER(Table1[[#This Row],[City]])</f>
        <v>Kolkata</v>
      </c>
      <c r="I143" t="str">
        <f t="shared" si="6"/>
        <v>Trendz _ Kolkata</v>
      </c>
      <c r="J143" t="s">
        <v>521</v>
      </c>
      <c r="K143">
        <f t="shared" si="7"/>
        <v>8</v>
      </c>
      <c r="L143" t="str">
        <f>LEFT(Table1[[#This Row],[Category]],3)</f>
        <v>Clo</v>
      </c>
      <c r="M143">
        <v>12</v>
      </c>
      <c r="N143" s="4" t="str">
        <f t="shared" si="8"/>
        <v>bulk order</v>
      </c>
      <c r="O143">
        <f>SQRT(Table1[[#This Row],[Quantity]])</f>
        <v>3.4641016151377544</v>
      </c>
      <c r="P143">
        <v>1916.85</v>
      </c>
      <c r="Q143">
        <v>23002.2</v>
      </c>
    </row>
    <row r="144" spans="1:17" x14ac:dyDescent="0.25">
      <c r="A144" t="s">
        <v>150</v>
      </c>
      <c r="B144" t="str">
        <f>MID(Table1[[#This Row],[Order_ID]],2,5)</f>
        <v>RD114</v>
      </c>
      <c r="C144" s="1">
        <v>45489</v>
      </c>
      <c r="D144" t="s">
        <v>508</v>
      </c>
      <c r="E144" t="s">
        <v>516</v>
      </c>
      <c r="F144" t="str">
        <f>LOWER(Table1[[#This Row],[City]])</f>
        <v>chennai</v>
      </c>
      <c r="G144" t="str">
        <f>UPPER(Table1[[#This Row],[City]])</f>
        <v>CHENNAI</v>
      </c>
      <c r="H144" t="str">
        <f>PROPER(Table1[[#This Row],[City]])</f>
        <v>Chennai</v>
      </c>
      <c r="I144" t="str">
        <f t="shared" si="6"/>
        <v>ValueShop _ Chennai</v>
      </c>
      <c r="J144" t="s">
        <v>525</v>
      </c>
      <c r="K144">
        <f t="shared" si="7"/>
        <v>9</v>
      </c>
      <c r="L144" t="str">
        <f>LEFT(Table1[[#This Row],[Category]],3)</f>
        <v>Gro</v>
      </c>
      <c r="M144">
        <v>17</v>
      </c>
      <c r="N144" s="4" t="str">
        <f t="shared" si="8"/>
        <v>bulk order</v>
      </c>
      <c r="O144">
        <f>SQRT(Table1[[#This Row],[Quantity]])</f>
        <v>4.1231056256176606</v>
      </c>
      <c r="P144">
        <v>982.45</v>
      </c>
      <c r="Q144">
        <v>16701.650000000001</v>
      </c>
    </row>
    <row r="145" spans="1:17" x14ac:dyDescent="0.25">
      <c r="A145" t="s">
        <v>151</v>
      </c>
      <c r="B145" t="str">
        <f>MID(Table1[[#This Row],[Order_ID]],2,5)</f>
        <v>RD114</v>
      </c>
      <c r="C145" s="1">
        <v>45487</v>
      </c>
      <c r="D145" t="s">
        <v>510</v>
      </c>
      <c r="E145" t="s">
        <v>514</v>
      </c>
      <c r="F145" t="str">
        <f>LOWER(Table1[[#This Row],[City]])</f>
        <v>delhi</v>
      </c>
      <c r="G145" t="str">
        <f>UPPER(Table1[[#This Row],[City]])</f>
        <v>DELHI</v>
      </c>
      <c r="H145" t="str">
        <f>PROPER(Table1[[#This Row],[City]])</f>
        <v>Delhi</v>
      </c>
      <c r="I145" t="str">
        <f t="shared" si="6"/>
        <v>QuickBuy _ Delhi</v>
      </c>
      <c r="J145" t="s">
        <v>522</v>
      </c>
      <c r="K145">
        <f t="shared" si="7"/>
        <v>5</v>
      </c>
      <c r="L145" t="str">
        <f>LEFT(Table1[[#This Row],[Category]],3)</f>
        <v>Boo</v>
      </c>
      <c r="M145">
        <v>9</v>
      </c>
      <c r="N145" s="4" t="str">
        <f t="shared" si="8"/>
        <v>normal order</v>
      </c>
      <c r="O145">
        <f>SQRT(Table1[[#This Row],[Quantity]])</f>
        <v>3</v>
      </c>
      <c r="P145">
        <v>937.21</v>
      </c>
      <c r="Q145">
        <v>8434.89</v>
      </c>
    </row>
    <row r="146" spans="1:17" x14ac:dyDescent="0.25">
      <c r="A146" t="s">
        <v>152</v>
      </c>
      <c r="B146" t="str">
        <f>MID(Table1[[#This Row],[Order_ID]],2,5)</f>
        <v>RD114</v>
      </c>
      <c r="C146" s="1">
        <v>45597</v>
      </c>
      <c r="D146" t="s">
        <v>512</v>
      </c>
      <c r="E146" t="s">
        <v>517</v>
      </c>
      <c r="F146" t="str">
        <f>LOWER(Table1[[#This Row],[City]])</f>
        <v>hyderabad</v>
      </c>
      <c r="G146" t="str">
        <f>UPPER(Table1[[#This Row],[City]])</f>
        <v>HYDERABAD</v>
      </c>
      <c r="H146" t="str">
        <f>PROPER(Table1[[#This Row],[City]])</f>
        <v>Hyderabad</v>
      </c>
      <c r="I146" t="str">
        <f t="shared" si="6"/>
        <v>Trendz _ Hyderabad</v>
      </c>
      <c r="J146" t="s">
        <v>525</v>
      </c>
      <c r="K146">
        <f t="shared" si="7"/>
        <v>9</v>
      </c>
      <c r="L146" t="str">
        <f>LEFT(Table1[[#This Row],[Category]],3)</f>
        <v>Gro</v>
      </c>
      <c r="M146">
        <v>3</v>
      </c>
      <c r="N146" s="4" t="str">
        <f t="shared" si="8"/>
        <v>normal order</v>
      </c>
      <c r="O146">
        <f>SQRT(Table1[[#This Row],[Quantity]])</f>
        <v>1.7320508075688772</v>
      </c>
      <c r="P146">
        <v>1978.23</v>
      </c>
      <c r="Q146">
        <v>5934.6900000000014</v>
      </c>
    </row>
    <row r="147" spans="1:17" x14ac:dyDescent="0.25">
      <c r="A147" t="s">
        <v>153</v>
      </c>
      <c r="B147" t="str">
        <f>MID(Table1[[#This Row],[Order_ID]],2,5)</f>
        <v>RD114</v>
      </c>
      <c r="C147" s="1">
        <v>45531</v>
      </c>
      <c r="D147" t="s">
        <v>512</v>
      </c>
      <c r="E147" t="s">
        <v>516</v>
      </c>
      <c r="F147" t="str">
        <f>LOWER(Table1[[#This Row],[City]])</f>
        <v>chennai</v>
      </c>
      <c r="G147" t="str">
        <f>UPPER(Table1[[#This Row],[City]])</f>
        <v>CHENNAI</v>
      </c>
      <c r="H147" t="str">
        <f>PROPER(Table1[[#This Row],[City]])</f>
        <v>Chennai</v>
      </c>
      <c r="I147" t="str">
        <f t="shared" si="6"/>
        <v>Trendz _ Chennai</v>
      </c>
      <c r="J147" t="s">
        <v>525</v>
      </c>
      <c r="K147">
        <f t="shared" si="7"/>
        <v>9</v>
      </c>
      <c r="L147" t="str">
        <f>LEFT(Table1[[#This Row],[Category]],3)</f>
        <v>Gro</v>
      </c>
      <c r="M147">
        <v>14</v>
      </c>
      <c r="N147" s="4" t="str">
        <f t="shared" si="8"/>
        <v>bulk order</v>
      </c>
      <c r="O147">
        <f>SQRT(Table1[[#This Row],[Quantity]])</f>
        <v>3.7416573867739413</v>
      </c>
      <c r="P147">
        <v>778.57</v>
      </c>
      <c r="Q147">
        <v>10899.98</v>
      </c>
    </row>
    <row r="148" spans="1:17" x14ac:dyDescent="0.25">
      <c r="A148" t="s">
        <v>154</v>
      </c>
      <c r="B148" t="str">
        <f>MID(Table1[[#This Row],[Order_ID]],2,5)</f>
        <v>RD114</v>
      </c>
      <c r="C148" s="1">
        <v>45562</v>
      </c>
      <c r="D148" t="s">
        <v>511</v>
      </c>
      <c r="E148" t="s">
        <v>514</v>
      </c>
      <c r="F148" t="str">
        <f>LOWER(Table1[[#This Row],[City]])</f>
        <v>delhi</v>
      </c>
      <c r="G148" t="str">
        <f>UPPER(Table1[[#This Row],[City]])</f>
        <v>DELHI</v>
      </c>
      <c r="H148" t="str">
        <f>PROPER(Table1[[#This Row],[City]])</f>
        <v>Delhi</v>
      </c>
      <c r="I148" t="str">
        <f t="shared" si="6"/>
        <v>MegaMart _ Delhi</v>
      </c>
      <c r="J148" t="s">
        <v>525</v>
      </c>
      <c r="K148">
        <f t="shared" si="7"/>
        <v>9</v>
      </c>
      <c r="L148" t="str">
        <f>LEFT(Table1[[#This Row],[Category]],3)</f>
        <v>Gro</v>
      </c>
      <c r="M148">
        <v>3</v>
      </c>
      <c r="N148" s="4" t="str">
        <f t="shared" si="8"/>
        <v>normal order</v>
      </c>
      <c r="O148">
        <f>SQRT(Table1[[#This Row],[Quantity]])</f>
        <v>1.7320508075688772</v>
      </c>
      <c r="P148">
        <v>1418.78</v>
      </c>
      <c r="Q148">
        <v>4256.34</v>
      </c>
    </row>
    <row r="149" spans="1:17" x14ac:dyDescent="0.25">
      <c r="A149" t="s">
        <v>155</v>
      </c>
      <c r="B149" t="str">
        <f>MID(Table1[[#This Row],[Order_ID]],2,5)</f>
        <v>RD114</v>
      </c>
      <c r="C149" s="1">
        <v>45420</v>
      </c>
      <c r="D149" t="s">
        <v>509</v>
      </c>
      <c r="E149" t="s">
        <v>518</v>
      </c>
      <c r="F149" t="str">
        <f>LOWER(Table1[[#This Row],[City]])</f>
        <v>pune</v>
      </c>
      <c r="G149" t="str">
        <f>UPPER(Table1[[#This Row],[City]])</f>
        <v>PUNE</v>
      </c>
      <c r="H149" t="str">
        <f>PROPER(Table1[[#This Row],[City]])</f>
        <v>Pune</v>
      </c>
      <c r="I149" t="str">
        <f t="shared" si="6"/>
        <v>CityStore _ Pune</v>
      </c>
      <c r="J149" t="s">
        <v>520</v>
      </c>
      <c r="K149">
        <f t="shared" si="7"/>
        <v>11</v>
      </c>
      <c r="L149" t="str">
        <f>LEFT(Table1[[#This Row],[Category]],3)</f>
        <v>Ele</v>
      </c>
      <c r="M149">
        <v>14</v>
      </c>
      <c r="N149" s="4" t="str">
        <f t="shared" si="8"/>
        <v>bulk order</v>
      </c>
      <c r="O149">
        <f>SQRT(Table1[[#This Row],[Quantity]])</f>
        <v>3.7416573867739413</v>
      </c>
      <c r="P149">
        <v>1829.95</v>
      </c>
      <c r="Q149">
        <v>25619.3</v>
      </c>
    </row>
    <row r="150" spans="1:17" x14ac:dyDescent="0.25">
      <c r="A150" t="s">
        <v>156</v>
      </c>
      <c r="B150" t="str">
        <f>MID(Table1[[#This Row],[Order_ID]],2,5)</f>
        <v>RD114</v>
      </c>
      <c r="C150" s="1">
        <v>45575</v>
      </c>
      <c r="D150" t="s">
        <v>512</v>
      </c>
      <c r="E150" t="s">
        <v>519</v>
      </c>
      <c r="F150" t="str">
        <f>LOWER(Table1[[#This Row],[City]])</f>
        <v>mumbai</v>
      </c>
      <c r="G150" t="str">
        <f>UPPER(Table1[[#This Row],[City]])</f>
        <v>MUMBAI</v>
      </c>
      <c r="H150" t="str">
        <f>PROPER(Table1[[#This Row],[City]])</f>
        <v>Mumbai</v>
      </c>
      <c r="I150" t="str">
        <f t="shared" si="6"/>
        <v>Trendz _ Mumbai</v>
      </c>
      <c r="J150" t="s">
        <v>521</v>
      </c>
      <c r="K150">
        <f t="shared" si="7"/>
        <v>8</v>
      </c>
      <c r="L150" t="str">
        <f>LEFT(Table1[[#This Row],[Category]],3)</f>
        <v>Clo</v>
      </c>
      <c r="M150">
        <v>20</v>
      </c>
      <c r="N150" s="4" t="str">
        <f t="shared" si="8"/>
        <v>bulk order</v>
      </c>
      <c r="O150">
        <f>SQRT(Table1[[#This Row],[Quantity]])</f>
        <v>4.4721359549995796</v>
      </c>
      <c r="P150">
        <v>1526.83</v>
      </c>
      <c r="Q150">
        <v>30536.6</v>
      </c>
    </row>
    <row r="151" spans="1:17" x14ac:dyDescent="0.25">
      <c r="A151" t="s">
        <v>157</v>
      </c>
      <c r="B151" t="str">
        <f>MID(Table1[[#This Row],[Order_ID]],2,5)</f>
        <v>RD114</v>
      </c>
      <c r="C151" s="1">
        <v>45297</v>
      </c>
      <c r="D151" t="s">
        <v>512</v>
      </c>
      <c r="E151" t="s">
        <v>516</v>
      </c>
      <c r="F151" t="str">
        <f>LOWER(Table1[[#This Row],[City]])</f>
        <v>chennai</v>
      </c>
      <c r="G151" t="str">
        <f>UPPER(Table1[[#This Row],[City]])</f>
        <v>CHENNAI</v>
      </c>
      <c r="H151" t="str">
        <f>PROPER(Table1[[#This Row],[City]])</f>
        <v>Chennai</v>
      </c>
      <c r="I151" t="str">
        <f t="shared" si="6"/>
        <v>Trendz _ Chennai</v>
      </c>
      <c r="J151" t="s">
        <v>521</v>
      </c>
      <c r="K151">
        <f t="shared" si="7"/>
        <v>8</v>
      </c>
      <c r="L151" t="str">
        <f>LEFT(Table1[[#This Row],[Category]],3)</f>
        <v>Clo</v>
      </c>
      <c r="M151">
        <v>6</v>
      </c>
      <c r="N151" s="4" t="str">
        <f t="shared" si="8"/>
        <v>normal order</v>
      </c>
      <c r="O151">
        <f>SQRT(Table1[[#This Row],[Quantity]])</f>
        <v>2.4494897427831779</v>
      </c>
      <c r="P151">
        <v>1613.89</v>
      </c>
      <c r="Q151">
        <v>9683.34</v>
      </c>
    </row>
    <row r="152" spans="1:17" x14ac:dyDescent="0.25">
      <c r="A152" t="s">
        <v>158</v>
      </c>
      <c r="B152" t="str">
        <f>MID(Table1[[#This Row],[Order_ID]],2,5)</f>
        <v>RD115</v>
      </c>
      <c r="C152" s="1">
        <v>45640</v>
      </c>
      <c r="D152" t="s">
        <v>510</v>
      </c>
      <c r="E152" t="s">
        <v>515</v>
      </c>
      <c r="F152" t="str">
        <f>LOWER(Table1[[#This Row],[City]])</f>
        <v>kolkata</v>
      </c>
      <c r="G152" t="str">
        <f>UPPER(Table1[[#This Row],[City]])</f>
        <v>KOLKATA</v>
      </c>
      <c r="H152" t="str">
        <f>PROPER(Table1[[#This Row],[City]])</f>
        <v>Kolkata</v>
      </c>
      <c r="I152" t="str">
        <f t="shared" si="6"/>
        <v>QuickBuy _ Kolkata</v>
      </c>
      <c r="J152" t="s">
        <v>524</v>
      </c>
      <c r="K152">
        <f t="shared" si="7"/>
        <v>4</v>
      </c>
      <c r="L152" t="str">
        <f>LEFT(Table1[[#This Row],[Category]],3)</f>
        <v>Toy</v>
      </c>
      <c r="M152">
        <v>18</v>
      </c>
      <c r="N152" s="4" t="str">
        <f t="shared" si="8"/>
        <v>bulk order</v>
      </c>
      <c r="O152">
        <f>SQRT(Table1[[#This Row],[Quantity]])</f>
        <v>4.2426406871192848</v>
      </c>
      <c r="P152">
        <v>1659.93</v>
      </c>
      <c r="Q152">
        <v>29878.74</v>
      </c>
    </row>
    <row r="153" spans="1:17" x14ac:dyDescent="0.25">
      <c r="A153" t="s">
        <v>159</v>
      </c>
      <c r="B153" t="str">
        <f>MID(Table1[[#This Row],[Order_ID]],2,5)</f>
        <v>RD115</v>
      </c>
      <c r="C153" s="1">
        <v>45350</v>
      </c>
      <c r="D153" t="s">
        <v>511</v>
      </c>
      <c r="E153" t="s">
        <v>518</v>
      </c>
      <c r="F153" t="str">
        <f>LOWER(Table1[[#This Row],[City]])</f>
        <v>pune</v>
      </c>
      <c r="G153" t="str">
        <f>UPPER(Table1[[#This Row],[City]])</f>
        <v>PUNE</v>
      </c>
      <c r="H153" t="str">
        <f>PROPER(Table1[[#This Row],[City]])</f>
        <v>Pune</v>
      </c>
      <c r="I153" t="str">
        <f t="shared" si="6"/>
        <v>MegaMart _ Pune</v>
      </c>
      <c r="J153" t="s">
        <v>522</v>
      </c>
      <c r="K153">
        <f t="shared" si="7"/>
        <v>5</v>
      </c>
      <c r="L153" t="str">
        <f>LEFT(Table1[[#This Row],[Category]],3)</f>
        <v>Boo</v>
      </c>
      <c r="M153">
        <v>10</v>
      </c>
      <c r="N153" s="4" t="str">
        <f t="shared" si="8"/>
        <v>normal order</v>
      </c>
      <c r="O153">
        <f>SQRT(Table1[[#This Row],[Quantity]])</f>
        <v>3.1622776601683795</v>
      </c>
      <c r="P153">
        <v>1535.63</v>
      </c>
      <c r="Q153">
        <v>15356.3</v>
      </c>
    </row>
    <row r="154" spans="1:17" x14ac:dyDescent="0.25">
      <c r="A154" t="s">
        <v>160</v>
      </c>
      <c r="B154" t="str">
        <f>MID(Table1[[#This Row],[Order_ID]],2,5)</f>
        <v>RD115</v>
      </c>
      <c r="C154" s="1">
        <v>45641</v>
      </c>
      <c r="D154" t="s">
        <v>510</v>
      </c>
      <c r="E154" t="s">
        <v>519</v>
      </c>
      <c r="F154" t="str">
        <f>LOWER(Table1[[#This Row],[City]])</f>
        <v>mumbai</v>
      </c>
      <c r="G154" t="str">
        <f>UPPER(Table1[[#This Row],[City]])</f>
        <v>MUMBAI</v>
      </c>
      <c r="H154" t="str">
        <f>PROPER(Table1[[#This Row],[City]])</f>
        <v>Mumbai</v>
      </c>
      <c r="I154" t="str">
        <f t="shared" si="6"/>
        <v>QuickBuy _ Mumbai</v>
      </c>
      <c r="J154" t="s">
        <v>523</v>
      </c>
      <c r="K154">
        <f t="shared" si="7"/>
        <v>14</v>
      </c>
      <c r="L154" t="str">
        <f>LEFT(Table1[[#This Row],[Category]],3)</f>
        <v>Hom</v>
      </c>
      <c r="M154">
        <v>11</v>
      </c>
      <c r="N154" s="4" t="str">
        <f t="shared" si="8"/>
        <v>bulk order</v>
      </c>
      <c r="O154">
        <f>SQRT(Table1[[#This Row],[Quantity]])</f>
        <v>3.3166247903553998</v>
      </c>
      <c r="P154">
        <v>1376.67</v>
      </c>
      <c r="Q154">
        <v>15143.37</v>
      </c>
    </row>
    <row r="155" spans="1:17" x14ac:dyDescent="0.25">
      <c r="A155" t="s">
        <v>161</v>
      </c>
      <c r="B155" t="str">
        <f>MID(Table1[[#This Row],[Order_ID]],2,5)</f>
        <v>RD115</v>
      </c>
      <c r="C155" s="1">
        <v>45566</v>
      </c>
      <c r="D155" t="s">
        <v>512</v>
      </c>
      <c r="E155" t="s">
        <v>514</v>
      </c>
      <c r="F155" t="str">
        <f>LOWER(Table1[[#This Row],[City]])</f>
        <v>delhi</v>
      </c>
      <c r="G155" t="str">
        <f>UPPER(Table1[[#This Row],[City]])</f>
        <v>DELHI</v>
      </c>
      <c r="H155" t="str">
        <f>PROPER(Table1[[#This Row],[City]])</f>
        <v>Delhi</v>
      </c>
      <c r="I155" t="str">
        <f t="shared" si="6"/>
        <v>Trendz _ Delhi</v>
      </c>
      <c r="J155" t="s">
        <v>520</v>
      </c>
      <c r="K155">
        <f t="shared" si="7"/>
        <v>11</v>
      </c>
      <c r="L155" t="str">
        <f>LEFT(Table1[[#This Row],[Category]],3)</f>
        <v>Ele</v>
      </c>
      <c r="M155">
        <v>4</v>
      </c>
      <c r="N155" s="4" t="str">
        <f t="shared" si="8"/>
        <v>normal order</v>
      </c>
      <c r="O155">
        <f>SQRT(Table1[[#This Row],[Quantity]])</f>
        <v>2</v>
      </c>
      <c r="P155">
        <v>1211.8399999999999</v>
      </c>
      <c r="Q155">
        <v>4847.3599999999997</v>
      </c>
    </row>
    <row r="156" spans="1:17" x14ac:dyDescent="0.25">
      <c r="A156" t="s">
        <v>162</v>
      </c>
      <c r="B156" t="str">
        <f>MID(Table1[[#This Row],[Order_ID]],2,5)</f>
        <v>RD115</v>
      </c>
      <c r="C156" s="1">
        <v>45428</v>
      </c>
      <c r="D156" t="s">
        <v>512</v>
      </c>
      <c r="E156" t="s">
        <v>516</v>
      </c>
      <c r="F156" t="str">
        <f>LOWER(Table1[[#This Row],[City]])</f>
        <v>chennai</v>
      </c>
      <c r="G156" t="str">
        <f>UPPER(Table1[[#This Row],[City]])</f>
        <v>CHENNAI</v>
      </c>
      <c r="H156" t="str">
        <f>PROPER(Table1[[#This Row],[City]])</f>
        <v>Chennai</v>
      </c>
      <c r="I156" t="str">
        <f t="shared" si="6"/>
        <v>Trendz _ Chennai</v>
      </c>
      <c r="J156" t="s">
        <v>521</v>
      </c>
      <c r="K156">
        <f t="shared" si="7"/>
        <v>8</v>
      </c>
      <c r="L156" t="str">
        <f>LEFT(Table1[[#This Row],[Category]],3)</f>
        <v>Clo</v>
      </c>
      <c r="M156">
        <v>3</v>
      </c>
      <c r="N156" s="4" t="str">
        <f t="shared" si="8"/>
        <v>normal order</v>
      </c>
      <c r="O156">
        <f>SQRT(Table1[[#This Row],[Quantity]])</f>
        <v>1.7320508075688772</v>
      </c>
      <c r="P156">
        <v>1585.37</v>
      </c>
      <c r="Q156">
        <v>4756.1099999999997</v>
      </c>
    </row>
    <row r="157" spans="1:17" x14ac:dyDescent="0.25">
      <c r="A157" t="s">
        <v>163</v>
      </c>
      <c r="B157" t="str">
        <f>MID(Table1[[#This Row],[Order_ID]],2,5)</f>
        <v>RD115</v>
      </c>
      <c r="C157" s="1">
        <v>45620</v>
      </c>
      <c r="D157" t="s">
        <v>511</v>
      </c>
      <c r="E157" t="s">
        <v>515</v>
      </c>
      <c r="F157" t="str">
        <f>LOWER(Table1[[#This Row],[City]])</f>
        <v>kolkata</v>
      </c>
      <c r="G157" t="str">
        <f>UPPER(Table1[[#This Row],[City]])</f>
        <v>KOLKATA</v>
      </c>
      <c r="H157" t="str">
        <f>PROPER(Table1[[#This Row],[City]])</f>
        <v>Kolkata</v>
      </c>
      <c r="I157" t="str">
        <f t="shared" si="6"/>
        <v>MegaMart _ Kolkata</v>
      </c>
      <c r="J157" t="s">
        <v>522</v>
      </c>
      <c r="K157">
        <f t="shared" si="7"/>
        <v>5</v>
      </c>
      <c r="L157" t="str">
        <f>LEFT(Table1[[#This Row],[Category]],3)</f>
        <v>Boo</v>
      </c>
      <c r="M157">
        <v>11</v>
      </c>
      <c r="N157" s="4" t="str">
        <f t="shared" si="8"/>
        <v>bulk order</v>
      </c>
      <c r="O157">
        <f>SQRT(Table1[[#This Row],[Quantity]])</f>
        <v>3.3166247903553998</v>
      </c>
      <c r="P157">
        <v>1074.74</v>
      </c>
      <c r="Q157">
        <v>11822.14</v>
      </c>
    </row>
    <row r="158" spans="1:17" x14ac:dyDescent="0.25">
      <c r="A158" t="s">
        <v>164</v>
      </c>
      <c r="B158" t="str">
        <f>MID(Table1[[#This Row],[Order_ID]],2,5)</f>
        <v>RD115</v>
      </c>
      <c r="C158" s="1">
        <v>45466</v>
      </c>
      <c r="D158" t="s">
        <v>508</v>
      </c>
      <c r="E158" t="s">
        <v>513</v>
      </c>
      <c r="F158" t="str">
        <f>LOWER(Table1[[#This Row],[City]])</f>
        <v>bangalore</v>
      </c>
      <c r="G158" t="str">
        <f>UPPER(Table1[[#This Row],[City]])</f>
        <v>BANGALORE</v>
      </c>
      <c r="H158" t="str">
        <f>PROPER(Table1[[#This Row],[City]])</f>
        <v>Bangalore</v>
      </c>
      <c r="I158" t="str">
        <f t="shared" si="6"/>
        <v>ValueShop _ Bangalore</v>
      </c>
      <c r="J158" t="s">
        <v>522</v>
      </c>
      <c r="K158">
        <f t="shared" si="7"/>
        <v>5</v>
      </c>
      <c r="L158" t="str">
        <f>LEFT(Table1[[#This Row],[Category]],3)</f>
        <v>Boo</v>
      </c>
      <c r="M158">
        <v>10</v>
      </c>
      <c r="N158" s="4" t="str">
        <f t="shared" si="8"/>
        <v>normal order</v>
      </c>
      <c r="O158">
        <f>SQRT(Table1[[#This Row],[Quantity]])</f>
        <v>3.1622776601683795</v>
      </c>
      <c r="P158">
        <v>1079.94</v>
      </c>
      <c r="Q158">
        <v>10799.4</v>
      </c>
    </row>
    <row r="159" spans="1:17" x14ac:dyDescent="0.25">
      <c r="A159" t="s">
        <v>165</v>
      </c>
      <c r="B159" t="str">
        <f>MID(Table1[[#This Row],[Order_ID]],2,5)</f>
        <v>RD115</v>
      </c>
      <c r="C159" s="1">
        <v>45349</v>
      </c>
      <c r="D159" t="s">
        <v>508</v>
      </c>
      <c r="E159" t="s">
        <v>513</v>
      </c>
      <c r="F159" t="str">
        <f>LOWER(Table1[[#This Row],[City]])</f>
        <v>bangalore</v>
      </c>
      <c r="G159" t="str">
        <f>UPPER(Table1[[#This Row],[City]])</f>
        <v>BANGALORE</v>
      </c>
      <c r="H159" t="str">
        <f>PROPER(Table1[[#This Row],[City]])</f>
        <v>Bangalore</v>
      </c>
      <c r="I159" t="str">
        <f t="shared" si="6"/>
        <v>ValueShop _ Bangalore</v>
      </c>
      <c r="J159" t="s">
        <v>520</v>
      </c>
      <c r="K159">
        <f t="shared" si="7"/>
        <v>11</v>
      </c>
      <c r="L159" t="str">
        <f>LEFT(Table1[[#This Row],[Category]],3)</f>
        <v>Ele</v>
      </c>
      <c r="M159">
        <v>10</v>
      </c>
      <c r="N159" s="4" t="str">
        <f t="shared" si="8"/>
        <v>normal order</v>
      </c>
      <c r="O159">
        <f>SQRT(Table1[[#This Row],[Quantity]])</f>
        <v>3.1622776601683795</v>
      </c>
      <c r="P159">
        <v>755.48</v>
      </c>
      <c r="Q159">
        <v>7554.8</v>
      </c>
    </row>
    <row r="160" spans="1:17" x14ac:dyDescent="0.25">
      <c r="A160" t="s">
        <v>166</v>
      </c>
      <c r="B160" t="str">
        <f>MID(Table1[[#This Row],[Order_ID]],2,5)</f>
        <v>RD115</v>
      </c>
      <c r="C160" s="1">
        <v>45442</v>
      </c>
      <c r="D160" t="s">
        <v>512</v>
      </c>
      <c r="E160" t="s">
        <v>517</v>
      </c>
      <c r="F160" t="str">
        <f>LOWER(Table1[[#This Row],[City]])</f>
        <v>hyderabad</v>
      </c>
      <c r="G160" t="str">
        <f>UPPER(Table1[[#This Row],[City]])</f>
        <v>HYDERABAD</v>
      </c>
      <c r="H160" t="str">
        <f>PROPER(Table1[[#This Row],[City]])</f>
        <v>Hyderabad</v>
      </c>
      <c r="I160" t="str">
        <f t="shared" si="6"/>
        <v>Trendz _ Hyderabad</v>
      </c>
      <c r="J160" t="s">
        <v>520</v>
      </c>
      <c r="K160">
        <f t="shared" si="7"/>
        <v>11</v>
      </c>
      <c r="L160" t="str">
        <f>LEFT(Table1[[#This Row],[Category]],3)</f>
        <v>Ele</v>
      </c>
      <c r="M160">
        <v>15</v>
      </c>
      <c r="N160" s="4" t="str">
        <f t="shared" si="8"/>
        <v>bulk order</v>
      </c>
      <c r="O160">
        <f>SQRT(Table1[[#This Row],[Quantity]])</f>
        <v>3.872983346207417</v>
      </c>
      <c r="P160">
        <v>1838.63</v>
      </c>
      <c r="Q160">
        <v>27579.45</v>
      </c>
    </row>
    <row r="161" spans="1:17" x14ac:dyDescent="0.25">
      <c r="A161" t="s">
        <v>167</v>
      </c>
      <c r="B161" t="str">
        <f>MID(Table1[[#This Row],[Order_ID]],2,5)</f>
        <v>RD115</v>
      </c>
      <c r="C161" s="1">
        <v>45514</v>
      </c>
      <c r="D161" t="s">
        <v>512</v>
      </c>
      <c r="E161" t="s">
        <v>518</v>
      </c>
      <c r="F161" t="str">
        <f>LOWER(Table1[[#This Row],[City]])</f>
        <v>pune</v>
      </c>
      <c r="G161" t="str">
        <f>UPPER(Table1[[#This Row],[City]])</f>
        <v>PUNE</v>
      </c>
      <c r="H161" t="str">
        <f>PROPER(Table1[[#This Row],[City]])</f>
        <v>Pune</v>
      </c>
      <c r="I161" t="str">
        <f t="shared" si="6"/>
        <v>Trendz _ Pune</v>
      </c>
      <c r="J161" t="s">
        <v>522</v>
      </c>
      <c r="K161">
        <f t="shared" si="7"/>
        <v>5</v>
      </c>
      <c r="L161" t="str">
        <f>LEFT(Table1[[#This Row],[Category]],3)</f>
        <v>Boo</v>
      </c>
      <c r="M161">
        <v>20</v>
      </c>
      <c r="N161" s="4" t="str">
        <f t="shared" si="8"/>
        <v>bulk order</v>
      </c>
      <c r="O161">
        <f>SQRT(Table1[[#This Row],[Quantity]])</f>
        <v>4.4721359549995796</v>
      </c>
      <c r="P161">
        <v>268.81</v>
      </c>
      <c r="Q161">
        <v>5376.2</v>
      </c>
    </row>
    <row r="162" spans="1:17" x14ac:dyDescent="0.25">
      <c r="A162" t="s">
        <v>168</v>
      </c>
      <c r="B162" t="str">
        <f>MID(Table1[[#This Row],[Order_ID]],2,5)</f>
        <v>RD116</v>
      </c>
      <c r="C162" s="1">
        <v>45372</v>
      </c>
      <c r="D162" t="s">
        <v>510</v>
      </c>
      <c r="E162" t="s">
        <v>516</v>
      </c>
      <c r="F162" t="str">
        <f>LOWER(Table1[[#This Row],[City]])</f>
        <v>chennai</v>
      </c>
      <c r="G162" t="str">
        <f>UPPER(Table1[[#This Row],[City]])</f>
        <v>CHENNAI</v>
      </c>
      <c r="H162" t="str">
        <f>PROPER(Table1[[#This Row],[City]])</f>
        <v>Chennai</v>
      </c>
      <c r="I162" t="str">
        <f t="shared" si="6"/>
        <v>QuickBuy _ Chennai</v>
      </c>
      <c r="J162" t="s">
        <v>524</v>
      </c>
      <c r="K162">
        <f t="shared" si="7"/>
        <v>4</v>
      </c>
      <c r="L162" t="str">
        <f>LEFT(Table1[[#This Row],[Category]],3)</f>
        <v>Toy</v>
      </c>
      <c r="M162">
        <v>14</v>
      </c>
      <c r="N162" s="4" t="str">
        <f t="shared" si="8"/>
        <v>bulk order</v>
      </c>
      <c r="O162">
        <f>SQRT(Table1[[#This Row],[Quantity]])</f>
        <v>3.7416573867739413</v>
      </c>
      <c r="P162">
        <v>1666.11</v>
      </c>
      <c r="Q162">
        <v>23325.54</v>
      </c>
    </row>
    <row r="163" spans="1:17" x14ac:dyDescent="0.25">
      <c r="A163" t="s">
        <v>169</v>
      </c>
      <c r="B163" t="str">
        <f>MID(Table1[[#This Row],[Order_ID]],2,5)</f>
        <v>RD116</v>
      </c>
      <c r="C163" s="1">
        <v>45524</v>
      </c>
      <c r="D163" t="s">
        <v>510</v>
      </c>
      <c r="E163" t="s">
        <v>518</v>
      </c>
      <c r="F163" t="str">
        <f>LOWER(Table1[[#This Row],[City]])</f>
        <v>pune</v>
      </c>
      <c r="G163" t="str">
        <f>UPPER(Table1[[#This Row],[City]])</f>
        <v>PUNE</v>
      </c>
      <c r="H163" t="str">
        <f>PROPER(Table1[[#This Row],[City]])</f>
        <v>Pune</v>
      </c>
      <c r="I163" t="str">
        <f t="shared" si="6"/>
        <v>QuickBuy _ Pune</v>
      </c>
      <c r="J163" t="s">
        <v>521</v>
      </c>
      <c r="K163">
        <f t="shared" si="7"/>
        <v>8</v>
      </c>
      <c r="L163" t="str">
        <f>LEFT(Table1[[#This Row],[Category]],3)</f>
        <v>Clo</v>
      </c>
      <c r="M163">
        <v>6</v>
      </c>
      <c r="N163" s="4" t="str">
        <f t="shared" si="8"/>
        <v>normal order</v>
      </c>
      <c r="O163">
        <f>SQRT(Table1[[#This Row],[Quantity]])</f>
        <v>2.4494897427831779</v>
      </c>
      <c r="P163">
        <v>1810.63</v>
      </c>
      <c r="Q163">
        <v>10863.78</v>
      </c>
    </row>
    <row r="164" spans="1:17" x14ac:dyDescent="0.25">
      <c r="A164" t="s">
        <v>170</v>
      </c>
      <c r="B164" t="str">
        <f>MID(Table1[[#This Row],[Order_ID]],2,5)</f>
        <v>RD116</v>
      </c>
      <c r="C164" s="1">
        <v>45293</v>
      </c>
      <c r="D164" t="s">
        <v>510</v>
      </c>
      <c r="E164" t="s">
        <v>514</v>
      </c>
      <c r="F164" t="str">
        <f>LOWER(Table1[[#This Row],[City]])</f>
        <v>delhi</v>
      </c>
      <c r="G164" t="str">
        <f>UPPER(Table1[[#This Row],[City]])</f>
        <v>DELHI</v>
      </c>
      <c r="H164" t="str">
        <f>PROPER(Table1[[#This Row],[City]])</f>
        <v>Delhi</v>
      </c>
      <c r="I164" t="str">
        <f t="shared" si="6"/>
        <v>QuickBuy _ Delhi</v>
      </c>
      <c r="J164" t="s">
        <v>523</v>
      </c>
      <c r="K164">
        <f t="shared" si="7"/>
        <v>14</v>
      </c>
      <c r="L164" t="str">
        <f>LEFT(Table1[[#This Row],[Category]],3)</f>
        <v>Hom</v>
      </c>
      <c r="M164">
        <v>15</v>
      </c>
      <c r="N164" s="4" t="str">
        <f t="shared" si="8"/>
        <v>bulk order</v>
      </c>
      <c r="O164">
        <f>SQRT(Table1[[#This Row],[Quantity]])</f>
        <v>3.872983346207417</v>
      </c>
      <c r="P164">
        <v>444.21</v>
      </c>
      <c r="Q164">
        <v>6663.15</v>
      </c>
    </row>
    <row r="165" spans="1:17" x14ac:dyDescent="0.25">
      <c r="A165" t="s">
        <v>171</v>
      </c>
      <c r="B165" t="str">
        <f>MID(Table1[[#This Row],[Order_ID]],2,5)</f>
        <v>RD116</v>
      </c>
      <c r="C165" s="1">
        <v>45426</v>
      </c>
      <c r="D165" t="s">
        <v>509</v>
      </c>
      <c r="E165" t="s">
        <v>515</v>
      </c>
      <c r="F165" t="str">
        <f>LOWER(Table1[[#This Row],[City]])</f>
        <v>kolkata</v>
      </c>
      <c r="G165" t="str">
        <f>UPPER(Table1[[#This Row],[City]])</f>
        <v>KOLKATA</v>
      </c>
      <c r="H165" t="str">
        <f>PROPER(Table1[[#This Row],[City]])</f>
        <v>Kolkata</v>
      </c>
      <c r="I165" t="str">
        <f t="shared" si="6"/>
        <v>CityStore _ Kolkata</v>
      </c>
      <c r="J165" t="s">
        <v>523</v>
      </c>
      <c r="K165">
        <f t="shared" si="7"/>
        <v>14</v>
      </c>
      <c r="L165" t="str">
        <f>LEFT(Table1[[#This Row],[Category]],3)</f>
        <v>Hom</v>
      </c>
      <c r="M165">
        <v>12</v>
      </c>
      <c r="N165" s="4" t="str">
        <f t="shared" si="8"/>
        <v>bulk order</v>
      </c>
      <c r="O165">
        <f>SQRT(Table1[[#This Row],[Quantity]])</f>
        <v>3.4641016151377544</v>
      </c>
      <c r="P165">
        <v>1096.49</v>
      </c>
      <c r="Q165">
        <v>13157.88</v>
      </c>
    </row>
    <row r="166" spans="1:17" x14ac:dyDescent="0.25">
      <c r="A166" t="s">
        <v>172</v>
      </c>
      <c r="B166" t="str">
        <f>MID(Table1[[#This Row],[Order_ID]],2,5)</f>
        <v>RD116</v>
      </c>
      <c r="C166" s="1">
        <v>45548</v>
      </c>
      <c r="D166" t="s">
        <v>512</v>
      </c>
      <c r="E166" t="s">
        <v>513</v>
      </c>
      <c r="F166" t="str">
        <f>LOWER(Table1[[#This Row],[City]])</f>
        <v>bangalore</v>
      </c>
      <c r="G166" t="str">
        <f>UPPER(Table1[[#This Row],[City]])</f>
        <v>BANGALORE</v>
      </c>
      <c r="H166" t="str">
        <f>PROPER(Table1[[#This Row],[City]])</f>
        <v>Bangalore</v>
      </c>
      <c r="I166" t="str">
        <f t="shared" si="6"/>
        <v>Trendz _ Bangalore</v>
      </c>
      <c r="J166" t="s">
        <v>523</v>
      </c>
      <c r="K166">
        <f t="shared" si="7"/>
        <v>14</v>
      </c>
      <c r="L166" t="str">
        <f>LEFT(Table1[[#This Row],[Category]],3)</f>
        <v>Hom</v>
      </c>
      <c r="M166">
        <v>15</v>
      </c>
      <c r="N166" s="4" t="str">
        <f t="shared" si="8"/>
        <v>bulk order</v>
      </c>
      <c r="O166">
        <f>SQRT(Table1[[#This Row],[Quantity]])</f>
        <v>3.872983346207417</v>
      </c>
      <c r="P166">
        <v>370.85</v>
      </c>
      <c r="Q166">
        <v>5562.75</v>
      </c>
    </row>
    <row r="167" spans="1:17" x14ac:dyDescent="0.25">
      <c r="A167" t="s">
        <v>173</v>
      </c>
      <c r="B167" t="str">
        <f>MID(Table1[[#This Row],[Order_ID]],2,5)</f>
        <v>RD116</v>
      </c>
      <c r="C167" s="1">
        <v>45383</v>
      </c>
      <c r="D167" t="s">
        <v>509</v>
      </c>
      <c r="E167" t="s">
        <v>515</v>
      </c>
      <c r="F167" t="str">
        <f>LOWER(Table1[[#This Row],[City]])</f>
        <v>kolkata</v>
      </c>
      <c r="G167" t="str">
        <f>UPPER(Table1[[#This Row],[City]])</f>
        <v>KOLKATA</v>
      </c>
      <c r="H167" t="str">
        <f>PROPER(Table1[[#This Row],[City]])</f>
        <v>Kolkata</v>
      </c>
      <c r="I167" t="str">
        <f t="shared" si="6"/>
        <v>CityStore _ Kolkata</v>
      </c>
      <c r="J167" t="s">
        <v>525</v>
      </c>
      <c r="K167">
        <f t="shared" si="7"/>
        <v>9</v>
      </c>
      <c r="L167" t="str">
        <f>LEFT(Table1[[#This Row],[Category]],3)</f>
        <v>Gro</v>
      </c>
      <c r="M167">
        <v>2</v>
      </c>
      <c r="N167" s="4" t="str">
        <f t="shared" si="8"/>
        <v>normal order</v>
      </c>
      <c r="O167">
        <f>SQRT(Table1[[#This Row],[Quantity]])</f>
        <v>1.4142135623730951</v>
      </c>
      <c r="P167">
        <v>1716.25</v>
      </c>
      <c r="Q167">
        <v>3432.5</v>
      </c>
    </row>
    <row r="168" spans="1:17" x14ac:dyDescent="0.25">
      <c r="A168" t="s">
        <v>174</v>
      </c>
      <c r="B168" t="str">
        <f>MID(Table1[[#This Row],[Order_ID]],2,5)</f>
        <v>RD116</v>
      </c>
      <c r="C168" s="1">
        <v>45551</v>
      </c>
      <c r="D168" t="s">
        <v>508</v>
      </c>
      <c r="E168" t="s">
        <v>518</v>
      </c>
      <c r="F168" t="str">
        <f>LOWER(Table1[[#This Row],[City]])</f>
        <v>pune</v>
      </c>
      <c r="G168" t="str">
        <f>UPPER(Table1[[#This Row],[City]])</f>
        <v>PUNE</v>
      </c>
      <c r="H168" t="str">
        <f>PROPER(Table1[[#This Row],[City]])</f>
        <v>Pune</v>
      </c>
      <c r="I168" t="str">
        <f t="shared" si="6"/>
        <v>ValueShop _ Pune</v>
      </c>
      <c r="J168" t="s">
        <v>521</v>
      </c>
      <c r="K168">
        <f t="shared" si="7"/>
        <v>8</v>
      </c>
      <c r="L168" t="str">
        <f>LEFT(Table1[[#This Row],[Category]],3)</f>
        <v>Clo</v>
      </c>
      <c r="M168">
        <v>12</v>
      </c>
      <c r="N168" s="4" t="str">
        <f t="shared" si="8"/>
        <v>bulk order</v>
      </c>
      <c r="O168">
        <f>SQRT(Table1[[#This Row],[Quantity]])</f>
        <v>3.4641016151377544</v>
      </c>
      <c r="P168">
        <v>911.59</v>
      </c>
      <c r="Q168">
        <v>10939.08</v>
      </c>
    </row>
    <row r="169" spans="1:17" x14ac:dyDescent="0.25">
      <c r="A169" t="s">
        <v>175</v>
      </c>
      <c r="B169" t="str">
        <f>MID(Table1[[#This Row],[Order_ID]],2,5)</f>
        <v>RD116</v>
      </c>
      <c r="C169" s="1">
        <v>45346</v>
      </c>
      <c r="D169" t="s">
        <v>512</v>
      </c>
      <c r="E169" t="s">
        <v>515</v>
      </c>
      <c r="F169" t="str">
        <f>LOWER(Table1[[#This Row],[City]])</f>
        <v>kolkata</v>
      </c>
      <c r="G169" t="str">
        <f>UPPER(Table1[[#This Row],[City]])</f>
        <v>KOLKATA</v>
      </c>
      <c r="H169" t="str">
        <f>PROPER(Table1[[#This Row],[City]])</f>
        <v>Kolkata</v>
      </c>
      <c r="I169" t="str">
        <f t="shared" si="6"/>
        <v>Trendz _ Kolkata</v>
      </c>
      <c r="J169" t="s">
        <v>525</v>
      </c>
      <c r="K169">
        <f t="shared" si="7"/>
        <v>9</v>
      </c>
      <c r="L169" t="str">
        <f>LEFT(Table1[[#This Row],[Category]],3)</f>
        <v>Gro</v>
      </c>
      <c r="M169">
        <v>20</v>
      </c>
      <c r="N169" s="4" t="str">
        <f t="shared" si="8"/>
        <v>bulk order</v>
      </c>
      <c r="O169">
        <f>SQRT(Table1[[#This Row],[Quantity]])</f>
        <v>4.4721359549995796</v>
      </c>
      <c r="P169">
        <v>1376.58</v>
      </c>
      <c r="Q169">
        <v>27531.599999999999</v>
      </c>
    </row>
    <row r="170" spans="1:17" x14ac:dyDescent="0.25">
      <c r="A170" t="s">
        <v>176</v>
      </c>
      <c r="B170" t="str">
        <f>MID(Table1[[#This Row],[Order_ID]],2,5)</f>
        <v>RD116</v>
      </c>
      <c r="C170" s="1">
        <v>45612</v>
      </c>
      <c r="D170" t="s">
        <v>512</v>
      </c>
      <c r="E170" t="s">
        <v>517</v>
      </c>
      <c r="F170" t="str">
        <f>LOWER(Table1[[#This Row],[City]])</f>
        <v>hyderabad</v>
      </c>
      <c r="G170" t="str">
        <f>UPPER(Table1[[#This Row],[City]])</f>
        <v>HYDERABAD</v>
      </c>
      <c r="H170" t="str">
        <f>PROPER(Table1[[#This Row],[City]])</f>
        <v>Hyderabad</v>
      </c>
      <c r="I170" t="str">
        <f t="shared" si="6"/>
        <v>Trendz _ Hyderabad</v>
      </c>
      <c r="J170" t="s">
        <v>525</v>
      </c>
      <c r="K170">
        <f t="shared" si="7"/>
        <v>9</v>
      </c>
      <c r="L170" t="str">
        <f>LEFT(Table1[[#This Row],[Category]],3)</f>
        <v>Gro</v>
      </c>
      <c r="M170">
        <v>14</v>
      </c>
      <c r="N170" s="4" t="str">
        <f t="shared" si="8"/>
        <v>bulk order</v>
      </c>
      <c r="O170">
        <f>SQRT(Table1[[#This Row],[Quantity]])</f>
        <v>3.7416573867739413</v>
      </c>
      <c r="P170">
        <v>1447.99</v>
      </c>
      <c r="Q170">
        <v>20271.86</v>
      </c>
    </row>
    <row r="171" spans="1:17" x14ac:dyDescent="0.25">
      <c r="A171" t="s">
        <v>177</v>
      </c>
      <c r="B171" t="str">
        <f>MID(Table1[[#This Row],[Order_ID]],2,5)</f>
        <v>RD116</v>
      </c>
      <c r="C171" s="1">
        <v>45444</v>
      </c>
      <c r="D171" t="s">
        <v>511</v>
      </c>
      <c r="E171" t="s">
        <v>516</v>
      </c>
      <c r="F171" t="str">
        <f>LOWER(Table1[[#This Row],[City]])</f>
        <v>chennai</v>
      </c>
      <c r="G171" t="str">
        <f>UPPER(Table1[[#This Row],[City]])</f>
        <v>CHENNAI</v>
      </c>
      <c r="H171" t="str">
        <f>PROPER(Table1[[#This Row],[City]])</f>
        <v>Chennai</v>
      </c>
      <c r="I171" t="str">
        <f t="shared" si="6"/>
        <v>MegaMart _ Chennai</v>
      </c>
      <c r="J171" t="s">
        <v>522</v>
      </c>
      <c r="K171">
        <f t="shared" si="7"/>
        <v>5</v>
      </c>
      <c r="L171" t="str">
        <f>LEFT(Table1[[#This Row],[Category]],3)</f>
        <v>Boo</v>
      </c>
      <c r="M171">
        <v>9</v>
      </c>
      <c r="N171" s="4" t="str">
        <f t="shared" si="8"/>
        <v>normal order</v>
      </c>
      <c r="O171">
        <f>SQRT(Table1[[#This Row],[Quantity]])</f>
        <v>3</v>
      </c>
      <c r="P171">
        <v>1003.21</v>
      </c>
      <c r="Q171">
        <v>9028.89</v>
      </c>
    </row>
    <row r="172" spans="1:17" x14ac:dyDescent="0.25">
      <c r="A172" t="s">
        <v>178</v>
      </c>
      <c r="B172" t="str">
        <f>MID(Table1[[#This Row],[Order_ID]],2,5)</f>
        <v>RD117</v>
      </c>
      <c r="C172" s="1">
        <v>45619</v>
      </c>
      <c r="D172" t="s">
        <v>512</v>
      </c>
      <c r="E172" t="s">
        <v>513</v>
      </c>
      <c r="F172" t="str">
        <f>LOWER(Table1[[#This Row],[City]])</f>
        <v>bangalore</v>
      </c>
      <c r="G172" t="str">
        <f>UPPER(Table1[[#This Row],[City]])</f>
        <v>BANGALORE</v>
      </c>
      <c r="H172" t="str">
        <f>PROPER(Table1[[#This Row],[City]])</f>
        <v>Bangalore</v>
      </c>
      <c r="I172" t="str">
        <f t="shared" si="6"/>
        <v>Trendz _ Bangalore</v>
      </c>
      <c r="J172" t="s">
        <v>525</v>
      </c>
      <c r="K172">
        <f t="shared" si="7"/>
        <v>9</v>
      </c>
      <c r="L172" t="str">
        <f>LEFT(Table1[[#This Row],[Category]],3)</f>
        <v>Gro</v>
      </c>
      <c r="M172">
        <v>2</v>
      </c>
      <c r="N172" s="4" t="str">
        <f t="shared" si="8"/>
        <v>normal order</v>
      </c>
      <c r="O172">
        <f>SQRT(Table1[[#This Row],[Quantity]])</f>
        <v>1.4142135623730951</v>
      </c>
      <c r="P172">
        <v>1802.83</v>
      </c>
      <c r="Q172">
        <v>3605.66</v>
      </c>
    </row>
    <row r="173" spans="1:17" x14ac:dyDescent="0.25">
      <c r="A173" t="s">
        <v>179</v>
      </c>
      <c r="B173" t="str">
        <f>MID(Table1[[#This Row],[Order_ID]],2,5)</f>
        <v>RD117</v>
      </c>
      <c r="C173" s="1">
        <v>45551</v>
      </c>
      <c r="D173" t="s">
        <v>508</v>
      </c>
      <c r="E173" t="s">
        <v>518</v>
      </c>
      <c r="F173" t="str">
        <f>LOWER(Table1[[#This Row],[City]])</f>
        <v>pune</v>
      </c>
      <c r="G173" t="str">
        <f>UPPER(Table1[[#This Row],[City]])</f>
        <v>PUNE</v>
      </c>
      <c r="H173" t="str">
        <f>PROPER(Table1[[#This Row],[City]])</f>
        <v>Pune</v>
      </c>
      <c r="I173" t="str">
        <f t="shared" si="6"/>
        <v>ValueShop _ Pune</v>
      </c>
      <c r="J173" t="s">
        <v>524</v>
      </c>
      <c r="K173">
        <f t="shared" si="7"/>
        <v>4</v>
      </c>
      <c r="L173" t="str">
        <f>LEFT(Table1[[#This Row],[Category]],3)</f>
        <v>Toy</v>
      </c>
      <c r="M173">
        <v>3</v>
      </c>
      <c r="N173" s="4" t="str">
        <f t="shared" si="8"/>
        <v>normal order</v>
      </c>
      <c r="O173">
        <f>SQRT(Table1[[#This Row],[Quantity]])</f>
        <v>1.7320508075688772</v>
      </c>
      <c r="P173">
        <v>918.69</v>
      </c>
      <c r="Q173">
        <v>2756.07</v>
      </c>
    </row>
    <row r="174" spans="1:17" x14ac:dyDescent="0.25">
      <c r="A174" t="s">
        <v>180</v>
      </c>
      <c r="B174" t="str">
        <f>MID(Table1[[#This Row],[Order_ID]],2,5)</f>
        <v>RD117</v>
      </c>
      <c r="C174" s="1">
        <v>45603</v>
      </c>
      <c r="D174" t="s">
        <v>512</v>
      </c>
      <c r="E174" t="s">
        <v>518</v>
      </c>
      <c r="F174" t="str">
        <f>LOWER(Table1[[#This Row],[City]])</f>
        <v>pune</v>
      </c>
      <c r="G174" t="str">
        <f>UPPER(Table1[[#This Row],[City]])</f>
        <v>PUNE</v>
      </c>
      <c r="H174" t="str">
        <f>PROPER(Table1[[#This Row],[City]])</f>
        <v>Pune</v>
      </c>
      <c r="I174" t="str">
        <f t="shared" si="6"/>
        <v>Trendz _ Pune</v>
      </c>
      <c r="J174" t="s">
        <v>524</v>
      </c>
      <c r="K174">
        <f t="shared" si="7"/>
        <v>4</v>
      </c>
      <c r="L174" t="str">
        <f>LEFT(Table1[[#This Row],[Category]],3)</f>
        <v>Toy</v>
      </c>
      <c r="M174">
        <v>13</v>
      </c>
      <c r="N174" s="4" t="str">
        <f t="shared" si="8"/>
        <v>bulk order</v>
      </c>
      <c r="O174">
        <f>SQRT(Table1[[#This Row],[Quantity]])</f>
        <v>3.6055512754639891</v>
      </c>
      <c r="P174">
        <v>158.49</v>
      </c>
      <c r="Q174">
        <v>2060.37</v>
      </c>
    </row>
    <row r="175" spans="1:17" x14ac:dyDescent="0.25">
      <c r="A175" t="s">
        <v>181</v>
      </c>
      <c r="B175" t="str">
        <f>MID(Table1[[#This Row],[Order_ID]],2,5)</f>
        <v>RD117</v>
      </c>
      <c r="C175" s="1">
        <v>45393</v>
      </c>
      <c r="D175" t="s">
        <v>509</v>
      </c>
      <c r="E175" t="s">
        <v>515</v>
      </c>
      <c r="F175" t="str">
        <f>LOWER(Table1[[#This Row],[City]])</f>
        <v>kolkata</v>
      </c>
      <c r="G175" t="str">
        <f>UPPER(Table1[[#This Row],[City]])</f>
        <v>KOLKATA</v>
      </c>
      <c r="H175" t="str">
        <f>PROPER(Table1[[#This Row],[City]])</f>
        <v>Kolkata</v>
      </c>
      <c r="I175" t="str">
        <f t="shared" si="6"/>
        <v>CityStore _ Kolkata</v>
      </c>
      <c r="J175" t="s">
        <v>520</v>
      </c>
      <c r="K175">
        <f t="shared" si="7"/>
        <v>11</v>
      </c>
      <c r="L175" t="str">
        <f>LEFT(Table1[[#This Row],[Category]],3)</f>
        <v>Ele</v>
      </c>
      <c r="M175">
        <v>12</v>
      </c>
      <c r="N175" s="4" t="str">
        <f t="shared" si="8"/>
        <v>bulk order</v>
      </c>
      <c r="O175">
        <f>SQRT(Table1[[#This Row],[Quantity]])</f>
        <v>3.4641016151377544</v>
      </c>
      <c r="P175">
        <v>307.29000000000002</v>
      </c>
      <c r="Q175">
        <v>3687.48</v>
      </c>
    </row>
    <row r="176" spans="1:17" x14ac:dyDescent="0.25">
      <c r="A176" t="s">
        <v>182</v>
      </c>
      <c r="B176" t="str">
        <f>MID(Table1[[#This Row],[Order_ID]],2,5)</f>
        <v>RD117</v>
      </c>
      <c r="C176" s="1">
        <v>45370</v>
      </c>
      <c r="D176" t="s">
        <v>512</v>
      </c>
      <c r="E176" t="s">
        <v>516</v>
      </c>
      <c r="F176" t="str">
        <f>LOWER(Table1[[#This Row],[City]])</f>
        <v>chennai</v>
      </c>
      <c r="G176" t="str">
        <f>UPPER(Table1[[#This Row],[City]])</f>
        <v>CHENNAI</v>
      </c>
      <c r="H176" t="str">
        <f>PROPER(Table1[[#This Row],[City]])</f>
        <v>Chennai</v>
      </c>
      <c r="I176" t="str">
        <f t="shared" si="6"/>
        <v>Trendz _ Chennai</v>
      </c>
      <c r="J176" t="s">
        <v>520</v>
      </c>
      <c r="K176">
        <f t="shared" si="7"/>
        <v>11</v>
      </c>
      <c r="L176" t="str">
        <f>LEFT(Table1[[#This Row],[Category]],3)</f>
        <v>Ele</v>
      </c>
      <c r="M176">
        <v>17</v>
      </c>
      <c r="N176" s="4" t="str">
        <f t="shared" si="8"/>
        <v>bulk order</v>
      </c>
      <c r="O176">
        <f>SQRT(Table1[[#This Row],[Quantity]])</f>
        <v>4.1231056256176606</v>
      </c>
      <c r="P176">
        <v>860.08</v>
      </c>
      <c r="Q176">
        <v>14621.36</v>
      </c>
    </row>
    <row r="177" spans="1:17" x14ac:dyDescent="0.25">
      <c r="A177" t="s">
        <v>183</v>
      </c>
      <c r="B177" t="str">
        <f>MID(Table1[[#This Row],[Order_ID]],2,5)</f>
        <v>RD117</v>
      </c>
      <c r="C177" s="1">
        <v>45483</v>
      </c>
      <c r="D177" t="s">
        <v>509</v>
      </c>
      <c r="E177" t="s">
        <v>515</v>
      </c>
      <c r="F177" t="str">
        <f>LOWER(Table1[[#This Row],[City]])</f>
        <v>kolkata</v>
      </c>
      <c r="G177" t="str">
        <f>UPPER(Table1[[#This Row],[City]])</f>
        <v>KOLKATA</v>
      </c>
      <c r="H177" t="str">
        <f>PROPER(Table1[[#This Row],[City]])</f>
        <v>Kolkata</v>
      </c>
      <c r="I177" t="str">
        <f t="shared" si="6"/>
        <v>CityStore _ Kolkata</v>
      </c>
      <c r="J177" t="s">
        <v>521</v>
      </c>
      <c r="K177">
        <f t="shared" si="7"/>
        <v>8</v>
      </c>
      <c r="L177" t="str">
        <f>LEFT(Table1[[#This Row],[Category]],3)</f>
        <v>Clo</v>
      </c>
      <c r="M177">
        <v>6</v>
      </c>
      <c r="N177" s="4" t="str">
        <f t="shared" si="8"/>
        <v>normal order</v>
      </c>
      <c r="O177">
        <f>SQRT(Table1[[#This Row],[Quantity]])</f>
        <v>2.4494897427831779</v>
      </c>
      <c r="P177">
        <v>1149.6300000000001</v>
      </c>
      <c r="Q177">
        <v>6897.7800000000007</v>
      </c>
    </row>
    <row r="178" spans="1:17" x14ac:dyDescent="0.25">
      <c r="A178" t="s">
        <v>184</v>
      </c>
      <c r="B178" t="str">
        <f>MID(Table1[[#This Row],[Order_ID]],2,5)</f>
        <v>RD117</v>
      </c>
      <c r="C178" s="1">
        <v>45374</v>
      </c>
      <c r="D178" t="s">
        <v>510</v>
      </c>
      <c r="E178" t="s">
        <v>517</v>
      </c>
      <c r="F178" t="str">
        <f>LOWER(Table1[[#This Row],[City]])</f>
        <v>hyderabad</v>
      </c>
      <c r="G178" t="str">
        <f>UPPER(Table1[[#This Row],[City]])</f>
        <v>HYDERABAD</v>
      </c>
      <c r="H178" t="str">
        <f>PROPER(Table1[[#This Row],[City]])</f>
        <v>Hyderabad</v>
      </c>
      <c r="I178" t="str">
        <f t="shared" si="6"/>
        <v>QuickBuy _ Hyderabad</v>
      </c>
      <c r="J178" t="s">
        <v>521</v>
      </c>
      <c r="K178">
        <f t="shared" si="7"/>
        <v>8</v>
      </c>
      <c r="L178" t="str">
        <f>LEFT(Table1[[#This Row],[Category]],3)</f>
        <v>Clo</v>
      </c>
      <c r="M178">
        <v>1</v>
      </c>
      <c r="N178" s="4" t="str">
        <f t="shared" si="8"/>
        <v>normal order</v>
      </c>
      <c r="O178">
        <f>SQRT(Table1[[#This Row],[Quantity]])</f>
        <v>1</v>
      </c>
      <c r="P178">
        <v>1139.6500000000001</v>
      </c>
      <c r="Q178">
        <v>1139.6500000000001</v>
      </c>
    </row>
    <row r="179" spans="1:17" x14ac:dyDescent="0.25">
      <c r="A179" t="s">
        <v>185</v>
      </c>
      <c r="B179" t="str">
        <f>MID(Table1[[#This Row],[Order_ID]],2,5)</f>
        <v>RD117</v>
      </c>
      <c r="C179" s="1">
        <v>45568</v>
      </c>
      <c r="D179" t="s">
        <v>510</v>
      </c>
      <c r="E179" t="s">
        <v>514</v>
      </c>
      <c r="F179" t="str">
        <f>LOWER(Table1[[#This Row],[City]])</f>
        <v>delhi</v>
      </c>
      <c r="G179" t="str">
        <f>UPPER(Table1[[#This Row],[City]])</f>
        <v>DELHI</v>
      </c>
      <c r="H179" t="str">
        <f>PROPER(Table1[[#This Row],[City]])</f>
        <v>Delhi</v>
      </c>
      <c r="I179" t="str">
        <f t="shared" si="6"/>
        <v>QuickBuy _ Delhi</v>
      </c>
      <c r="J179" t="s">
        <v>524</v>
      </c>
      <c r="K179">
        <f t="shared" si="7"/>
        <v>4</v>
      </c>
      <c r="L179" t="str">
        <f>LEFT(Table1[[#This Row],[Category]],3)</f>
        <v>Toy</v>
      </c>
      <c r="M179">
        <v>5</v>
      </c>
      <c r="N179" s="4" t="str">
        <f t="shared" si="8"/>
        <v>normal order</v>
      </c>
      <c r="O179">
        <f>SQRT(Table1[[#This Row],[Quantity]])</f>
        <v>2.2360679774997898</v>
      </c>
      <c r="P179">
        <v>1361.9</v>
      </c>
      <c r="Q179">
        <v>6809.5</v>
      </c>
    </row>
    <row r="180" spans="1:17" x14ac:dyDescent="0.25">
      <c r="A180" t="s">
        <v>186</v>
      </c>
      <c r="B180" t="str">
        <f>MID(Table1[[#This Row],[Order_ID]],2,5)</f>
        <v>RD117</v>
      </c>
      <c r="C180" s="1">
        <v>45563</v>
      </c>
      <c r="D180" t="s">
        <v>511</v>
      </c>
      <c r="E180" t="s">
        <v>517</v>
      </c>
      <c r="F180" t="str">
        <f>LOWER(Table1[[#This Row],[City]])</f>
        <v>hyderabad</v>
      </c>
      <c r="G180" t="str">
        <f>UPPER(Table1[[#This Row],[City]])</f>
        <v>HYDERABAD</v>
      </c>
      <c r="H180" t="str">
        <f>PROPER(Table1[[#This Row],[City]])</f>
        <v>Hyderabad</v>
      </c>
      <c r="I180" t="str">
        <f t="shared" si="6"/>
        <v>MegaMart _ Hyderabad</v>
      </c>
      <c r="J180" t="s">
        <v>520</v>
      </c>
      <c r="K180">
        <f t="shared" si="7"/>
        <v>11</v>
      </c>
      <c r="L180" t="str">
        <f>LEFT(Table1[[#This Row],[Category]],3)</f>
        <v>Ele</v>
      </c>
      <c r="M180">
        <v>20</v>
      </c>
      <c r="N180" s="4" t="str">
        <f t="shared" si="8"/>
        <v>bulk order</v>
      </c>
      <c r="O180">
        <f>SQRT(Table1[[#This Row],[Quantity]])</f>
        <v>4.4721359549995796</v>
      </c>
      <c r="P180">
        <v>650.92999999999995</v>
      </c>
      <c r="Q180">
        <v>13018.6</v>
      </c>
    </row>
    <row r="181" spans="1:17" x14ac:dyDescent="0.25">
      <c r="A181" t="s">
        <v>187</v>
      </c>
      <c r="B181" t="str">
        <f>MID(Table1[[#This Row],[Order_ID]],2,5)</f>
        <v>RD117</v>
      </c>
      <c r="C181" s="1">
        <v>45292</v>
      </c>
      <c r="D181" t="s">
        <v>512</v>
      </c>
      <c r="E181" t="s">
        <v>514</v>
      </c>
      <c r="F181" t="str">
        <f>LOWER(Table1[[#This Row],[City]])</f>
        <v>delhi</v>
      </c>
      <c r="G181" t="str">
        <f>UPPER(Table1[[#This Row],[City]])</f>
        <v>DELHI</v>
      </c>
      <c r="H181" t="str">
        <f>PROPER(Table1[[#This Row],[City]])</f>
        <v>Delhi</v>
      </c>
      <c r="I181" t="str">
        <f t="shared" si="6"/>
        <v>Trendz _ Delhi</v>
      </c>
      <c r="J181" t="s">
        <v>522</v>
      </c>
      <c r="K181">
        <f t="shared" si="7"/>
        <v>5</v>
      </c>
      <c r="L181" t="str">
        <f>LEFT(Table1[[#This Row],[Category]],3)</f>
        <v>Boo</v>
      </c>
      <c r="M181">
        <v>15</v>
      </c>
      <c r="N181" s="4" t="str">
        <f t="shared" si="8"/>
        <v>bulk order</v>
      </c>
      <c r="O181">
        <f>SQRT(Table1[[#This Row],[Quantity]])</f>
        <v>3.872983346207417</v>
      </c>
      <c r="P181">
        <v>92.45</v>
      </c>
      <c r="Q181">
        <v>1386.75</v>
      </c>
    </row>
    <row r="182" spans="1:17" x14ac:dyDescent="0.25">
      <c r="A182" t="s">
        <v>188</v>
      </c>
      <c r="B182" t="str">
        <f>MID(Table1[[#This Row],[Order_ID]],2,5)</f>
        <v>RD118</v>
      </c>
      <c r="C182" s="1">
        <v>45598</v>
      </c>
      <c r="D182" t="s">
        <v>510</v>
      </c>
      <c r="E182" t="s">
        <v>519</v>
      </c>
      <c r="F182" t="str">
        <f>LOWER(Table1[[#This Row],[City]])</f>
        <v>mumbai</v>
      </c>
      <c r="G182" t="str">
        <f>UPPER(Table1[[#This Row],[City]])</f>
        <v>MUMBAI</v>
      </c>
      <c r="H182" t="str">
        <f>PROPER(Table1[[#This Row],[City]])</f>
        <v>Mumbai</v>
      </c>
      <c r="I182" t="str">
        <f t="shared" si="6"/>
        <v>QuickBuy _ Mumbai</v>
      </c>
      <c r="J182" t="s">
        <v>520</v>
      </c>
      <c r="K182">
        <f t="shared" si="7"/>
        <v>11</v>
      </c>
      <c r="L182" t="str">
        <f>LEFT(Table1[[#This Row],[Category]],3)</f>
        <v>Ele</v>
      </c>
      <c r="M182">
        <v>2</v>
      </c>
      <c r="N182" s="4" t="str">
        <f t="shared" si="8"/>
        <v>normal order</v>
      </c>
      <c r="O182">
        <f>SQRT(Table1[[#This Row],[Quantity]])</f>
        <v>1.4142135623730951</v>
      </c>
      <c r="P182">
        <v>546.19000000000005</v>
      </c>
      <c r="Q182">
        <v>1092.3800000000001</v>
      </c>
    </row>
    <row r="183" spans="1:17" x14ac:dyDescent="0.25">
      <c r="A183" t="s">
        <v>189</v>
      </c>
      <c r="B183" t="str">
        <f>MID(Table1[[#This Row],[Order_ID]],2,5)</f>
        <v>RD118</v>
      </c>
      <c r="C183" s="1">
        <v>45457</v>
      </c>
      <c r="D183" t="s">
        <v>510</v>
      </c>
      <c r="E183" t="s">
        <v>518</v>
      </c>
      <c r="F183" t="str">
        <f>LOWER(Table1[[#This Row],[City]])</f>
        <v>pune</v>
      </c>
      <c r="G183" t="str">
        <f>UPPER(Table1[[#This Row],[City]])</f>
        <v>PUNE</v>
      </c>
      <c r="H183" t="str">
        <f>PROPER(Table1[[#This Row],[City]])</f>
        <v>Pune</v>
      </c>
      <c r="I183" t="str">
        <f t="shared" si="6"/>
        <v>QuickBuy _ Pune</v>
      </c>
      <c r="J183" t="s">
        <v>525</v>
      </c>
      <c r="K183">
        <f t="shared" si="7"/>
        <v>9</v>
      </c>
      <c r="L183" t="str">
        <f>LEFT(Table1[[#This Row],[Category]],3)</f>
        <v>Gro</v>
      </c>
      <c r="M183">
        <v>5</v>
      </c>
      <c r="N183" s="4" t="str">
        <f t="shared" si="8"/>
        <v>normal order</v>
      </c>
      <c r="O183">
        <f>SQRT(Table1[[#This Row],[Quantity]])</f>
        <v>2.2360679774997898</v>
      </c>
      <c r="P183">
        <v>55.88</v>
      </c>
      <c r="Q183">
        <v>279.39999999999998</v>
      </c>
    </row>
    <row r="184" spans="1:17" x14ac:dyDescent="0.25">
      <c r="A184" t="s">
        <v>190</v>
      </c>
      <c r="B184" t="str">
        <f>MID(Table1[[#This Row],[Order_ID]],2,5)</f>
        <v>RD118</v>
      </c>
      <c r="C184" s="1">
        <v>45542</v>
      </c>
      <c r="D184" t="s">
        <v>511</v>
      </c>
      <c r="E184" t="s">
        <v>518</v>
      </c>
      <c r="F184" t="str">
        <f>LOWER(Table1[[#This Row],[City]])</f>
        <v>pune</v>
      </c>
      <c r="G184" t="str">
        <f>UPPER(Table1[[#This Row],[City]])</f>
        <v>PUNE</v>
      </c>
      <c r="H184" t="str">
        <f>PROPER(Table1[[#This Row],[City]])</f>
        <v>Pune</v>
      </c>
      <c r="I184" t="str">
        <f t="shared" si="6"/>
        <v>MegaMart _ Pune</v>
      </c>
      <c r="J184" t="s">
        <v>523</v>
      </c>
      <c r="K184">
        <f t="shared" si="7"/>
        <v>14</v>
      </c>
      <c r="L184" t="str">
        <f>LEFT(Table1[[#This Row],[Category]],3)</f>
        <v>Hom</v>
      </c>
      <c r="M184">
        <v>3</v>
      </c>
      <c r="N184" s="4" t="str">
        <f t="shared" si="8"/>
        <v>normal order</v>
      </c>
      <c r="O184">
        <f>SQRT(Table1[[#This Row],[Quantity]])</f>
        <v>1.7320508075688772</v>
      </c>
      <c r="P184">
        <v>474.91</v>
      </c>
      <c r="Q184">
        <v>1424.73</v>
      </c>
    </row>
    <row r="185" spans="1:17" x14ac:dyDescent="0.25">
      <c r="A185" t="s">
        <v>191</v>
      </c>
      <c r="B185" t="str">
        <f>MID(Table1[[#This Row],[Order_ID]],2,5)</f>
        <v>RD118</v>
      </c>
      <c r="C185" s="1">
        <v>45301</v>
      </c>
      <c r="D185" t="s">
        <v>511</v>
      </c>
      <c r="E185" t="s">
        <v>513</v>
      </c>
      <c r="F185" t="str">
        <f>LOWER(Table1[[#This Row],[City]])</f>
        <v>bangalore</v>
      </c>
      <c r="G185" t="str">
        <f>UPPER(Table1[[#This Row],[City]])</f>
        <v>BANGALORE</v>
      </c>
      <c r="H185" t="str">
        <f>PROPER(Table1[[#This Row],[City]])</f>
        <v>Bangalore</v>
      </c>
      <c r="I185" t="str">
        <f t="shared" si="6"/>
        <v>MegaMart _ Bangalore</v>
      </c>
      <c r="J185" t="s">
        <v>522</v>
      </c>
      <c r="K185">
        <f t="shared" si="7"/>
        <v>5</v>
      </c>
      <c r="L185" t="str">
        <f>LEFT(Table1[[#This Row],[Category]],3)</f>
        <v>Boo</v>
      </c>
      <c r="M185">
        <v>8</v>
      </c>
      <c r="N185" s="4" t="str">
        <f t="shared" si="8"/>
        <v>normal order</v>
      </c>
      <c r="O185">
        <f>SQRT(Table1[[#This Row],[Quantity]])</f>
        <v>2.8284271247461903</v>
      </c>
      <c r="P185">
        <v>192.41</v>
      </c>
      <c r="Q185">
        <v>1539.28</v>
      </c>
    </row>
    <row r="186" spans="1:17" x14ac:dyDescent="0.25">
      <c r="A186" t="s">
        <v>192</v>
      </c>
      <c r="B186" t="str">
        <f>MID(Table1[[#This Row],[Order_ID]],2,5)</f>
        <v>RD118</v>
      </c>
      <c r="C186" s="1">
        <v>45349</v>
      </c>
      <c r="D186" t="s">
        <v>512</v>
      </c>
      <c r="E186" t="s">
        <v>519</v>
      </c>
      <c r="F186" t="str">
        <f>LOWER(Table1[[#This Row],[City]])</f>
        <v>mumbai</v>
      </c>
      <c r="G186" t="str">
        <f>UPPER(Table1[[#This Row],[City]])</f>
        <v>MUMBAI</v>
      </c>
      <c r="H186" t="str">
        <f>PROPER(Table1[[#This Row],[City]])</f>
        <v>Mumbai</v>
      </c>
      <c r="I186" t="str">
        <f t="shared" si="6"/>
        <v>Trendz _ Mumbai</v>
      </c>
      <c r="J186" t="s">
        <v>523</v>
      </c>
      <c r="K186">
        <f t="shared" si="7"/>
        <v>14</v>
      </c>
      <c r="L186" t="str">
        <f>LEFT(Table1[[#This Row],[Category]],3)</f>
        <v>Hom</v>
      </c>
      <c r="M186">
        <v>12</v>
      </c>
      <c r="N186" s="4" t="str">
        <f t="shared" si="8"/>
        <v>bulk order</v>
      </c>
      <c r="O186">
        <f>SQRT(Table1[[#This Row],[Quantity]])</f>
        <v>3.4641016151377544</v>
      </c>
      <c r="P186">
        <v>876.21</v>
      </c>
      <c r="Q186">
        <v>10514.52</v>
      </c>
    </row>
    <row r="187" spans="1:17" x14ac:dyDescent="0.25">
      <c r="A187" t="s">
        <v>193</v>
      </c>
      <c r="B187" t="str">
        <f>MID(Table1[[#This Row],[Order_ID]],2,5)</f>
        <v>RD118</v>
      </c>
      <c r="C187" s="1">
        <v>45477</v>
      </c>
      <c r="D187" t="s">
        <v>509</v>
      </c>
      <c r="E187" t="s">
        <v>518</v>
      </c>
      <c r="F187" t="str">
        <f>LOWER(Table1[[#This Row],[City]])</f>
        <v>pune</v>
      </c>
      <c r="G187" t="str">
        <f>UPPER(Table1[[#This Row],[City]])</f>
        <v>PUNE</v>
      </c>
      <c r="H187" t="str">
        <f>PROPER(Table1[[#This Row],[City]])</f>
        <v>Pune</v>
      </c>
      <c r="I187" t="str">
        <f t="shared" si="6"/>
        <v>CityStore _ Pune</v>
      </c>
      <c r="J187" t="s">
        <v>523</v>
      </c>
      <c r="K187">
        <f t="shared" si="7"/>
        <v>14</v>
      </c>
      <c r="L187" t="str">
        <f>LEFT(Table1[[#This Row],[Category]],3)</f>
        <v>Hom</v>
      </c>
      <c r="M187">
        <v>12</v>
      </c>
      <c r="N187" s="4" t="str">
        <f t="shared" si="8"/>
        <v>bulk order</v>
      </c>
      <c r="O187">
        <f>SQRT(Table1[[#This Row],[Quantity]])</f>
        <v>3.4641016151377544</v>
      </c>
      <c r="P187">
        <v>1415.75</v>
      </c>
      <c r="Q187">
        <v>16989</v>
      </c>
    </row>
    <row r="188" spans="1:17" x14ac:dyDescent="0.25">
      <c r="A188" t="s">
        <v>194</v>
      </c>
      <c r="B188" t="str">
        <f>MID(Table1[[#This Row],[Order_ID]],2,5)</f>
        <v>RD118</v>
      </c>
      <c r="C188" s="1">
        <v>45449</v>
      </c>
      <c r="D188" t="s">
        <v>512</v>
      </c>
      <c r="E188" t="s">
        <v>514</v>
      </c>
      <c r="F188" t="str">
        <f>LOWER(Table1[[#This Row],[City]])</f>
        <v>delhi</v>
      </c>
      <c r="G188" t="str">
        <f>UPPER(Table1[[#This Row],[City]])</f>
        <v>DELHI</v>
      </c>
      <c r="H188" t="str">
        <f>PROPER(Table1[[#This Row],[City]])</f>
        <v>Delhi</v>
      </c>
      <c r="I188" t="str">
        <f t="shared" si="6"/>
        <v>Trendz _ Delhi</v>
      </c>
      <c r="J188" t="s">
        <v>524</v>
      </c>
      <c r="K188">
        <f t="shared" si="7"/>
        <v>4</v>
      </c>
      <c r="L188" t="str">
        <f>LEFT(Table1[[#This Row],[Category]],3)</f>
        <v>Toy</v>
      </c>
      <c r="M188">
        <v>13</v>
      </c>
      <c r="N188" s="4" t="str">
        <f t="shared" si="8"/>
        <v>bulk order</v>
      </c>
      <c r="O188">
        <f>SQRT(Table1[[#This Row],[Quantity]])</f>
        <v>3.6055512754639891</v>
      </c>
      <c r="P188">
        <v>1105.27</v>
      </c>
      <c r="Q188">
        <v>14368.51</v>
      </c>
    </row>
    <row r="189" spans="1:17" x14ac:dyDescent="0.25">
      <c r="A189" t="s">
        <v>195</v>
      </c>
      <c r="B189" t="str">
        <f>MID(Table1[[#This Row],[Order_ID]],2,5)</f>
        <v>RD118</v>
      </c>
      <c r="C189" s="1">
        <v>45414</v>
      </c>
      <c r="D189" t="s">
        <v>509</v>
      </c>
      <c r="E189" t="s">
        <v>516</v>
      </c>
      <c r="F189" t="str">
        <f>LOWER(Table1[[#This Row],[City]])</f>
        <v>chennai</v>
      </c>
      <c r="G189" t="str">
        <f>UPPER(Table1[[#This Row],[City]])</f>
        <v>CHENNAI</v>
      </c>
      <c r="H189" t="str">
        <f>PROPER(Table1[[#This Row],[City]])</f>
        <v>Chennai</v>
      </c>
      <c r="I189" t="str">
        <f t="shared" si="6"/>
        <v>CityStore _ Chennai</v>
      </c>
      <c r="J189" t="s">
        <v>523</v>
      </c>
      <c r="K189">
        <f t="shared" si="7"/>
        <v>14</v>
      </c>
      <c r="L189" t="str">
        <f>LEFT(Table1[[#This Row],[Category]],3)</f>
        <v>Hom</v>
      </c>
      <c r="M189">
        <v>19</v>
      </c>
      <c r="N189" s="4" t="str">
        <f t="shared" si="8"/>
        <v>bulk order</v>
      </c>
      <c r="O189">
        <f>SQRT(Table1[[#This Row],[Quantity]])</f>
        <v>4.358898943540674</v>
      </c>
      <c r="P189">
        <v>167.5</v>
      </c>
      <c r="Q189">
        <v>3182.5</v>
      </c>
    </row>
    <row r="190" spans="1:17" x14ac:dyDescent="0.25">
      <c r="A190" t="s">
        <v>196</v>
      </c>
      <c r="B190" t="str">
        <f>MID(Table1[[#This Row],[Order_ID]],2,5)</f>
        <v>RD118</v>
      </c>
      <c r="C190" s="1">
        <v>45321</v>
      </c>
      <c r="D190" t="s">
        <v>511</v>
      </c>
      <c r="E190" t="s">
        <v>514</v>
      </c>
      <c r="F190" t="str">
        <f>LOWER(Table1[[#This Row],[City]])</f>
        <v>delhi</v>
      </c>
      <c r="G190" t="str">
        <f>UPPER(Table1[[#This Row],[City]])</f>
        <v>DELHI</v>
      </c>
      <c r="H190" t="str">
        <f>PROPER(Table1[[#This Row],[City]])</f>
        <v>Delhi</v>
      </c>
      <c r="I190" t="str">
        <f t="shared" si="6"/>
        <v>MegaMart _ Delhi</v>
      </c>
      <c r="J190" t="s">
        <v>523</v>
      </c>
      <c r="K190">
        <f t="shared" si="7"/>
        <v>14</v>
      </c>
      <c r="L190" t="str">
        <f>LEFT(Table1[[#This Row],[Category]],3)</f>
        <v>Hom</v>
      </c>
      <c r="M190">
        <v>2</v>
      </c>
      <c r="N190" s="4" t="str">
        <f t="shared" si="8"/>
        <v>normal order</v>
      </c>
      <c r="O190">
        <f>SQRT(Table1[[#This Row],[Quantity]])</f>
        <v>1.4142135623730951</v>
      </c>
      <c r="P190">
        <v>1793.73</v>
      </c>
      <c r="Q190">
        <v>3587.46</v>
      </c>
    </row>
    <row r="191" spans="1:17" x14ac:dyDescent="0.25">
      <c r="A191" t="s">
        <v>197</v>
      </c>
      <c r="B191" t="str">
        <f>MID(Table1[[#This Row],[Order_ID]],2,5)</f>
        <v>RD118</v>
      </c>
      <c r="C191" s="1">
        <v>45415</v>
      </c>
      <c r="D191" t="s">
        <v>508</v>
      </c>
      <c r="E191" t="s">
        <v>515</v>
      </c>
      <c r="F191" t="str">
        <f>LOWER(Table1[[#This Row],[City]])</f>
        <v>kolkata</v>
      </c>
      <c r="G191" t="str">
        <f>UPPER(Table1[[#This Row],[City]])</f>
        <v>KOLKATA</v>
      </c>
      <c r="H191" t="str">
        <f>PROPER(Table1[[#This Row],[City]])</f>
        <v>Kolkata</v>
      </c>
      <c r="I191" t="str">
        <f t="shared" si="6"/>
        <v>ValueShop _ Kolkata</v>
      </c>
      <c r="J191" t="s">
        <v>525</v>
      </c>
      <c r="K191">
        <f t="shared" si="7"/>
        <v>9</v>
      </c>
      <c r="L191" t="str">
        <f>LEFT(Table1[[#This Row],[Category]],3)</f>
        <v>Gro</v>
      </c>
      <c r="M191">
        <v>20</v>
      </c>
      <c r="N191" s="4" t="str">
        <f t="shared" si="8"/>
        <v>bulk order</v>
      </c>
      <c r="O191">
        <f>SQRT(Table1[[#This Row],[Quantity]])</f>
        <v>4.4721359549995796</v>
      </c>
      <c r="P191">
        <v>1972.97</v>
      </c>
      <c r="Q191">
        <v>39459.4</v>
      </c>
    </row>
    <row r="192" spans="1:17" x14ac:dyDescent="0.25">
      <c r="A192" t="s">
        <v>198</v>
      </c>
      <c r="B192" t="str">
        <f>MID(Table1[[#This Row],[Order_ID]],2,5)</f>
        <v>RD119</v>
      </c>
      <c r="C192" s="1">
        <v>45582</v>
      </c>
      <c r="D192" t="s">
        <v>512</v>
      </c>
      <c r="E192" t="s">
        <v>518</v>
      </c>
      <c r="F192" t="str">
        <f>LOWER(Table1[[#This Row],[City]])</f>
        <v>pune</v>
      </c>
      <c r="G192" t="str">
        <f>UPPER(Table1[[#This Row],[City]])</f>
        <v>PUNE</v>
      </c>
      <c r="H192" t="str">
        <f>PROPER(Table1[[#This Row],[City]])</f>
        <v>Pune</v>
      </c>
      <c r="I192" t="str">
        <f t="shared" si="6"/>
        <v>Trendz _ Pune</v>
      </c>
      <c r="J192" t="s">
        <v>521</v>
      </c>
      <c r="K192">
        <f t="shared" si="7"/>
        <v>8</v>
      </c>
      <c r="L192" t="str">
        <f>LEFT(Table1[[#This Row],[Category]],3)</f>
        <v>Clo</v>
      </c>
      <c r="M192">
        <v>5</v>
      </c>
      <c r="N192" s="4" t="str">
        <f t="shared" si="8"/>
        <v>normal order</v>
      </c>
      <c r="O192">
        <f>SQRT(Table1[[#This Row],[Quantity]])</f>
        <v>2.2360679774997898</v>
      </c>
      <c r="P192">
        <v>970.54</v>
      </c>
      <c r="Q192">
        <v>4852.7</v>
      </c>
    </row>
    <row r="193" spans="1:17" x14ac:dyDescent="0.25">
      <c r="A193" t="s">
        <v>199</v>
      </c>
      <c r="B193" t="str">
        <f>MID(Table1[[#This Row],[Order_ID]],2,5)</f>
        <v>RD119</v>
      </c>
      <c r="C193" s="1">
        <v>45332</v>
      </c>
      <c r="D193" t="s">
        <v>508</v>
      </c>
      <c r="E193" t="s">
        <v>518</v>
      </c>
      <c r="F193" t="str">
        <f>LOWER(Table1[[#This Row],[City]])</f>
        <v>pune</v>
      </c>
      <c r="G193" t="str">
        <f>UPPER(Table1[[#This Row],[City]])</f>
        <v>PUNE</v>
      </c>
      <c r="H193" t="str">
        <f>PROPER(Table1[[#This Row],[City]])</f>
        <v>Pune</v>
      </c>
      <c r="I193" t="str">
        <f t="shared" si="6"/>
        <v>ValueShop _ Pune</v>
      </c>
      <c r="J193" t="s">
        <v>524</v>
      </c>
      <c r="K193">
        <f t="shared" si="7"/>
        <v>4</v>
      </c>
      <c r="L193" t="str">
        <f>LEFT(Table1[[#This Row],[Category]],3)</f>
        <v>Toy</v>
      </c>
      <c r="M193">
        <v>15</v>
      </c>
      <c r="N193" s="4" t="str">
        <f t="shared" si="8"/>
        <v>bulk order</v>
      </c>
      <c r="O193">
        <f>SQRT(Table1[[#This Row],[Quantity]])</f>
        <v>3.872983346207417</v>
      </c>
      <c r="P193">
        <v>609.83000000000004</v>
      </c>
      <c r="Q193">
        <v>9147.4500000000007</v>
      </c>
    </row>
    <row r="194" spans="1:17" x14ac:dyDescent="0.25">
      <c r="A194" t="s">
        <v>200</v>
      </c>
      <c r="B194" t="str">
        <f>MID(Table1[[#This Row],[Order_ID]],2,5)</f>
        <v>RD119</v>
      </c>
      <c r="C194" s="1">
        <v>45335</v>
      </c>
      <c r="D194" t="s">
        <v>509</v>
      </c>
      <c r="E194" t="s">
        <v>515</v>
      </c>
      <c r="F194" t="str">
        <f>LOWER(Table1[[#This Row],[City]])</f>
        <v>kolkata</v>
      </c>
      <c r="G194" t="str">
        <f>UPPER(Table1[[#This Row],[City]])</f>
        <v>KOLKATA</v>
      </c>
      <c r="H194" t="str">
        <f>PROPER(Table1[[#This Row],[City]])</f>
        <v>Kolkata</v>
      </c>
      <c r="I194" t="str">
        <f t="shared" ref="I194:I257" si="9">CONCATENATE(D194," _ ",E194)</f>
        <v>CityStore _ Kolkata</v>
      </c>
      <c r="J194" t="s">
        <v>520</v>
      </c>
      <c r="K194">
        <f t="shared" ref="K194:K257" si="10">LEN(J194)</f>
        <v>11</v>
      </c>
      <c r="L194" t="str">
        <f>LEFT(Table1[[#This Row],[Category]],3)</f>
        <v>Ele</v>
      </c>
      <c r="M194">
        <v>12</v>
      </c>
      <c r="N194" s="4" t="str">
        <f t="shared" si="8"/>
        <v>bulk order</v>
      </c>
      <c r="O194">
        <f>SQRT(Table1[[#This Row],[Quantity]])</f>
        <v>3.4641016151377544</v>
      </c>
      <c r="P194">
        <v>400.96</v>
      </c>
      <c r="Q194">
        <v>4811.5200000000004</v>
      </c>
    </row>
    <row r="195" spans="1:17" x14ac:dyDescent="0.25">
      <c r="A195" t="s">
        <v>201</v>
      </c>
      <c r="B195" t="str">
        <f>MID(Table1[[#This Row],[Order_ID]],2,5)</f>
        <v>RD119</v>
      </c>
      <c r="C195" s="1">
        <v>45540</v>
      </c>
      <c r="D195" t="s">
        <v>512</v>
      </c>
      <c r="E195" t="s">
        <v>514</v>
      </c>
      <c r="F195" t="str">
        <f>LOWER(Table1[[#This Row],[City]])</f>
        <v>delhi</v>
      </c>
      <c r="G195" t="str">
        <f>UPPER(Table1[[#This Row],[City]])</f>
        <v>DELHI</v>
      </c>
      <c r="H195" t="str">
        <f>PROPER(Table1[[#This Row],[City]])</f>
        <v>Delhi</v>
      </c>
      <c r="I195" t="str">
        <f t="shared" si="9"/>
        <v>Trendz _ Delhi</v>
      </c>
      <c r="J195" t="s">
        <v>525</v>
      </c>
      <c r="K195">
        <f t="shared" si="10"/>
        <v>9</v>
      </c>
      <c r="L195" t="str">
        <f>LEFT(Table1[[#This Row],[Category]],3)</f>
        <v>Gro</v>
      </c>
      <c r="M195">
        <v>12</v>
      </c>
      <c r="N195" s="4" t="str">
        <f t="shared" ref="N195:N258" si="11">IF(M195&gt;10,"bulk order","normal order")</f>
        <v>bulk order</v>
      </c>
      <c r="O195">
        <f>SQRT(Table1[[#This Row],[Quantity]])</f>
        <v>3.4641016151377544</v>
      </c>
      <c r="P195">
        <v>314.08999999999997</v>
      </c>
      <c r="Q195">
        <v>3769.08</v>
      </c>
    </row>
    <row r="196" spans="1:17" x14ac:dyDescent="0.25">
      <c r="A196" t="s">
        <v>202</v>
      </c>
      <c r="B196" t="str">
        <f>MID(Table1[[#This Row],[Order_ID]],2,5)</f>
        <v>RD119</v>
      </c>
      <c r="C196" s="1">
        <v>45327</v>
      </c>
      <c r="D196" t="s">
        <v>508</v>
      </c>
      <c r="E196" t="s">
        <v>516</v>
      </c>
      <c r="F196" t="str">
        <f>LOWER(Table1[[#This Row],[City]])</f>
        <v>chennai</v>
      </c>
      <c r="G196" t="str">
        <f>UPPER(Table1[[#This Row],[City]])</f>
        <v>CHENNAI</v>
      </c>
      <c r="H196" t="str">
        <f>PROPER(Table1[[#This Row],[City]])</f>
        <v>Chennai</v>
      </c>
      <c r="I196" t="str">
        <f t="shared" si="9"/>
        <v>ValueShop _ Chennai</v>
      </c>
      <c r="J196" t="s">
        <v>523</v>
      </c>
      <c r="K196">
        <f t="shared" si="10"/>
        <v>14</v>
      </c>
      <c r="L196" t="str">
        <f>LEFT(Table1[[#This Row],[Category]],3)</f>
        <v>Hom</v>
      </c>
      <c r="M196">
        <v>15</v>
      </c>
      <c r="N196" s="4" t="str">
        <f t="shared" si="11"/>
        <v>bulk order</v>
      </c>
      <c r="O196">
        <f>SQRT(Table1[[#This Row],[Quantity]])</f>
        <v>3.872983346207417</v>
      </c>
      <c r="P196">
        <v>1300.97</v>
      </c>
      <c r="Q196">
        <v>19514.55</v>
      </c>
    </row>
    <row r="197" spans="1:17" x14ac:dyDescent="0.25">
      <c r="A197" t="s">
        <v>203</v>
      </c>
      <c r="B197" t="str">
        <f>MID(Table1[[#This Row],[Order_ID]],2,5)</f>
        <v>RD119</v>
      </c>
      <c r="C197" s="1">
        <v>45564</v>
      </c>
      <c r="D197" t="s">
        <v>508</v>
      </c>
      <c r="E197" t="s">
        <v>519</v>
      </c>
      <c r="F197" t="str">
        <f>LOWER(Table1[[#This Row],[City]])</f>
        <v>mumbai</v>
      </c>
      <c r="G197" t="str">
        <f>UPPER(Table1[[#This Row],[City]])</f>
        <v>MUMBAI</v>
      </c>
      <c r="H197" t="str">
        <f>PROPER(Table1[[#This Row],[City]])</f>
        <v>Mumbai</v>
      </c>
      <c r="I197" t="str">
        <f t="shared" si="9"/>
        <v>ValueShop _ Mumbai</v>
      </c>
      <c r="J197" t="s">
        <v>520</v>
      </c>
      <c r="K197">
        <f t="shared" si="10"/>
        <v>11</v>
      </c>
      <c r="L197" t="str">
        <f>LEFT(Table1[[#This Row],[Category]],3)</f>
        <v>Ele</v>
      </c>
      <c r="M197">
        <v>3</v>
      </c>
      <c r="N197" s="4" t="str">
        <f t="shared" si="11"/>
        <v>normal order</v>
      </c>
      <c r="O197">
        <f>SQRT(Table1[[#This Row],[Quantity]])</f>
        <v>1.7320508075688772</v>
      </c>
      <c r="P197">
        <v>1472.11</v>
      </c>
      <c r="Q197">
        <v>4416.33</v>
      </c>
    </row>
    <row r="198" spans="1:17" x14ac:dyDescent="0.25">
      <c r="A198" t="s">
        <v>204</v>
      </c>
      <c r="B198" t="str">
        <f>MID(Table1[[#This Row],[Order_ID]],2,5)</f>
        <v>RD119</v>
      </c>
      <c r="C198" s="1">
        <v>45356</v>
      </c>
      <c r="D198" t="s">
        <v>512</v>
      </c>
      <c r="E198" t="s">
        <v>518</v>
      </c>
      <c r="F198" t="str">
        <f>LOWER(Table1[[#This Row],[City]])</f>
        <v>pune</v>
      </c>
      <c r="G198" t="str">
        <f>UPPER(Table1[[#This Row],[City]])</f>
        <v>PUNE</v>
      </c>
      <c r="H198" t="str">
        <f>PROPER(Table1[[#This Row],[City]])</f>
        <v>Pune</v>
      </c>
      <c r="I198" t="str">
        <f t="shared" si="9"/>
        <v>Trendz _ Pune</v>
      </c>
      <c r="J198" t="s">
        <v>525</v>
      </c>
      <c r="K198">
        <f t="shared" si="10"/>
        <v>9</v>
      </c>
      <c r="L198" t="str">
        <f>LEFT(Table1[[#This Row],[Category]],3)</f>
        <v>Gro</v>
      </c>
      <c r="M198">
        <v>19</v>
      </c>
      <c r="N198" s="4" t="str">
        <f t="shared" si="11"/>
        <v>bulk order</v>
      </c>
      <c r="O198">
        <f>SQRT(Table1[[#This Row],[Quantity]])</f>
        <v>4.358898943540674</v>
      </c>
      <c r="P198">
        <v>1929.38</v>
      </c>
      <c r="Q198">
        <v>36658.22</v>
      </c>
    </row>
    <row r="199" spans="1:17" x14ac:dyDescent="0.25">
      <c r="A199" t="s">
        <v>205</v>
      </c>
      <c r="B199" t="str">
        <f>MID(Table1[[#This Row],[Order_ID]],2,5)</f>
        <v>RD119</v>
      </c>
      <c r="C199" s="1">
        <v>45357</v>
      </c>
      <c r="D199" t="s">
        <v>508</v>
      </c>
      <c r="E199" t="s">
        <v>513</v>
      </c>
      <c r="F199" t="str">
        <f>LOWER(Table1[[#This Row],[City]])</f>
        <v>bangalore</v>
      </c>
      <c r="G199" t="str">
        <f>UPPER(Table1[[#This Row],[City]])</f>
        <v>BANGALORE</v>
      </c>
      <c r="H199" t="str">
        <f>PROPER(Table1[[#This Row],[City]])</f>
        <v>Bangalore</v>
      </c>
      <c r="I199" t="str">
        <f t="shared" si="9"/>
        <v>ValueShop _ Bangalore</v>
      </c>
      <c r="J199" t="s">
        <v>522</v>
      </c>
      <c r="K199">
        <f t="shared" si="10"/>
        <v>5</v>
      </c>
      <c r="L199" t="str">
        <f>LEFT(Table1[[#This Row],[Category]],3)</f>
        <v>Boo</v>
      </c>
      <c r="M199">
        <v>5</v>
      </c>
      <c r="N199" s="4" t="str">
        <f t="shared" si="11"/>
        <v>normal order</v>
      </c>
      <c r="O199">
        <f>SQRT(Table1[[#This Row],[Quantity]])</f>
        <v>2.2360679774997898</v>
      </c>
      <c r="P199">
        <v>780.2</v>
      </c>
      <c r="Q199">
        <v>3901</v>
      </c>
    </row>
    <row r="200" spans="1:17" x14ac:dyDescent="0.25">
      <c r="A200" t="s">
        <v>206</v>
      </c>
      <c r="B200" t="str">
        <f>MID(Table1[[#This Row],[Order_ID]],2,5)</f>
        <v>RD119</v>
      </c>
      <c r="C200" s="1">
        <v>45629</v>
      </c>
      <c r="D200" t="s">
        <v>512</v>
      </c>
      <c r="E200" t="s">
        <v>514</v>
      </c>
      <c r="F200" t="str">
        <f>LOWER(Table1[[#This Row],[City]])</f>
        <v>delhi</v>
      </c>
      <c r="G200" t="str">
        <f>UPPER(Table1[[#This Row],[City]])</f>
        <v>DELHI</v>
      </c>
      <c r="H200" t="str">
        <f>PROPER(Table1[[#This Row],[City]])</f>
        <v>Delhi</v>
      </c>
      <c r="I200" t="str">
        <f t="shared" si="9"/>
        <v>Trendz _ Delhi</v>
      </c>
      <c r="J200" t="s">
        <v>522</v>
      </c>
      <c r="K200">
        <f t="shared" si="10"/>
        <v>5</v>
      </c>
      <c r="L200" t="str">
        <f>LEFT(Table1[[#This Row],[Category]],3)</f>
        <v>Boo</v>
      </c>
      <c r="M200">
        <v>17</v>
      </c>
      <c r="N200" s="4" t="str">
        <f t="shared" si="11"/>
        <v>bulk order</v>
      </c>
      <c r="O200">
        <f>SQRT(Table1[[#This Row],[Quantity]])</f>
        <v>4.1231056256176606</v>
      </c>
      <c r="P200">
        <v>1788.1</v>
      </c>
      <c r="Q200">
        <v>30397.7</v>
      </c>
    </row>
    <row r="201" spans="1:17" x14ac:dyDescent="0.25">
      <c r="A201" t="s">
        <v>207</v>
      </c>
      <c r="B201" t="str">
        <f>MID(Table1[[#This Row],[Order_ID]],2,5)</f>
        <v>RD119</v>
      </c>
      <c r="C201" s="1">
        <v>45535</v>
      </c>
      <c r="D201" t="s">
        <v>508</v>
      </c>
      <c r="E201" t="s">
        <v>514</v>
      </c>
      <c r="F201" t="str">
        <f>LOWER(Table1[[#This Row],[City]])</f>
        <v>delhi</v>
      </c>
      <c r="G201" t="str">
        <f>UPPER(Table1[[#This Row],[City]])</f>
        <v>DELHI</v>
      </c>
      <c r="H201" t="str">
        <f>PROPER(Table1[[#This Row],[City]])</f>
        <v>Delhi</v>
      </c>
      <c r="I201" t="str">
        <f t="shared" si="9"/>
        <v>ValueShop _ Delhi</v>
      </c>
      <c r="J201" t="s">
        <v>524</v>
      </c>
      <c r="K201">
        <f t="shared" si="10"/>
        <v>4</v>
      </c>
      <c r="L201" t="str">
        <f>LEFT(Table1[[#This Row],[Category]],3)</f>
        <v>Toy</v>
      </c>
      <c r="M201">
        <v>12</v>
      </c>
      <c r="N201" s="4" t="str">
        <f t="shared" si="11"/>
        <v>bulk order</v>
      </c>
      <c r="O201">
        <f>SQRT(Table1[[#This Row],[Quantity]])</f>
        <v>3.4641016151377544</v>
      </c>
      <c r="P201">
        <v>924.65</v>
      </c>
      <c r="Q201">
        <v>11095.8</v>
      </c>
    </row>
    <row r="202" spans="1:17" x14ac:dyDescent="0.25">
      <c r="A202" t="s">
        <v>208</v>
      </c>
      <c r="B202" t="str">
        <f>MID(Table1[[#This Row],[Order_ID]],2,5)</f>
        <v>RD120</v>
      </c>
      <c r="C202" s="1">
        <v>45573</v>
      </c>
      <c r="D202" t="s">
        <v>511</v>
      </c>
      <c r="E202" t="s">
        <v>513</v>
      </c>
      <c r="F202" t="str">
        <f>LOWER(Table1[[#This Row],[City]])</f>
        <v>bangalore</v>
      </c>
      <c r="G202" t="str">
        <f>UPPER(Table1[[#This Row],[City]])</f>
        <v>BANGALORE</v>
      </c>
      <c r="H202" t="str">
        <f>PROPER(Table1[[#This Row],[City]])</f>
        <v>Bangalore</v>
      </c>
      <c r="I202" t="str">
        <f t="shared" si="9"/>
        <v>MegaMart _ Bangalore</v>
      </c>
      <c r="J202" t="s">
        <v>523</v>
      </c>
      <c r="K202">
        <f t="shared" si="10"/>
        <v>14</v>
      </c>
      <c r="L202" t="str">
        <f>LEFT(Table1[[#This Row],[Category]],3)</f>
        <v>Hom</v>
      </c>
      <c r="M202">
        <v>13</v>
      </c>
      <c r="N202" s="4" t="str">
        <f t="shared" si="11"/>
        <v>bulk order</v>
      </c>
      <c r="O202">
        <f>SQRT(Table1[[#This Row],[Quantity]])</f>
        <v>3.6055512754639891</v>
      </c>
      <c r="P202">
        <v>1838.37</v>
      </c>
      <c r="Q202">
        <v>23898.81</v>
      </c>
    </row>
    <row r="203" spans="1:17" x14ac:dyDescent="0.25">
      <c r="A203" t="s">
        <v>209</v>
      </c>
      <c r="B203" t="str">
        <f>MID(Table1[[#This Row],[Order_ID]],2,5)</f>
        <v>RD120</v>
      </c>
      <c r="C203" s="1">
        <v>45376</v>
      </c>
      <c r="D203" t="s">
        <v>512</v>
      </c>
      <c r="E203" t="s">
        <v>515</v>
      </c>
      <c r="F203" t="str">
        <f>LOWER(Table1[[#This Row],[City]])</f>
        <v>kolkata</v>
      </c>
      <c r="G203" t="str">
        <f>UPPER(Table1[[#This Row],[City]])</f>
        <v>KOLKATA</v>
      </c>
      <c r="H203" t="str">
        <f>PROPER(Table1[[#This Row],[City]])</f>
        <v>Kolkata</v>
      </c>
      <c r="I203" t="str">
        <f t="shared" si="9"/>
        <v>Trendz _ Kolkata</v>
      </c>
      <c r="J203" t="s">
        <v>524</v>
      </c>
      <c r="K203">
        <f t="shared" si="10"/>
        <v>4</v>
      </c>
      <c r="L203" t="str">
        <f>LEFT(Table1[[#This Row],[Category]],3)</f>
        <v>Toy</v>
      </c>
      <c r="M203">
        <v>11</v>
      </c>
      <c r="N203" s="4" t="str">
        <f t="shared" si="11"/>
        <v>bulk order</v>
      </c>
      <c r="O203">
        <f>SQRT(Table1[[#This Row],[Quantity]])</f>
        <v>3.3166247903553998</v>
      </c>
      <c r="P203">
        <v>786.12</v>
      </c>
      <c r="Q203">
        <v>8647.32</v>
      </c>
    </row>
    <row r="204" spans="1:17" x14ac:dyDescent="0.25">
      <c r="A204" t="s">
        <v>210</v>
      </c>
      <c r="B204" t="str">
        <f>MID(Table1[[#This Row],[Order_ID]],2,5)</f>
        <v>RD120</v>
      </c>
      <c r="C204" s="1">
        <v>45427</v>
      </c>
      <c r="D204" t="s">
        <v>511</v>
      </c>
      <c r="E204" t="s">
        <v>514</v>
      </c>
      <c r="F204" t="str">
        <f>LOWER(Table1[[#This Row],[City]])</f>
        <v>delhi</v>
      </c>
      <c r="G204" t="str">
        <f>UPPER(Table1[[#This Row],[City]])</f>
        <v>DELHI</v>
      </c>
      <c r="H204" t="str">
        <f>PROPER(Table1[[#This Row],[City]])</f>
        <v>Delhi</v>
      </c>
      <c r="I204" t="str">
        <f t="shared" si="9"/>
        <v>MegaMart _ Delhi</v>
      </c>
      <c r="J204" t="s">
        <v>522</v>
      </c>
      <c r="K204">
        <f t="shared" si="10"/>
        <v>5</v>
      </c>
      <c r="L204" t="str">
        <f>LEFT(Table1[[#This Row],[Category]],3)</f>
        <v>Boo</v>
      </c>
      <c r="M204">
        <v>9</v>
      </c>
      <c r="N204" s="4" t="str">
        <f t="shared" si="11"/>
        <v>normal order</v>
      </c>
      <c r="O204">
        <f>SQRT(Table1[[#This Row],[Quantity]])</f>
        <v>3</v>
      </c>
      <c r="P204">
        <v>206.49</v>
      </c>
      <c r="Q204">
        <v>1858.41</v>
      </c>
    </row>
    <row r="205" spans="1:17" x14ac:dyDescent="0.25">
      <c r="A205" t="s">
        <v>211</v>
      </c>
      <c r="B205" t="str">
        <f>MID(Table1[[#This Row],[Order_ID]],2,5)</f>
        <v>RD120</v>
      </c>
      <c r="C205" s="1">
        <v>45562</v>
      </c>
      <c r="D205" t="s">
        <v>510</v>
      </c>
      <c r="E205" t="s">
        <v>513</v>
      </c>
      <c r="F205" t="str">
        <f>LOWER(Table1[[#This Row],[City]])</f>
        <v>bangalore</v>
      </c>
      <c r="G205" t="str">
        <f>UPPER(Table1[[#This Row],[City]])</f>
        <v>BANGALORE</v>
      </c>
      <c r="H205" t="str">
        <f>PROPER(Table1[[#This Row],[City]])</f>
        <v>Bangalore</v>
      </c>
      <c r="I205" t="str">
        <f t="shared" si="9"/>
        <v>QuickBuy _ Bangalore</v>
      </c>
      <c r="J205" t="s">
        <v>525</v>
      </c>
      <c r="K205">
        <f t="shared" si="10"/>
        <v>9</v>
      </c>
      <c r="L205" t="str">
        <f>LEFT(Table1[[#This Row],[Category]],3)</f>
        <v>Gro</v>
      </c>
      <c r="M205">
        <v>8</v>
      </c>
      <c r="N205" s="4" t="str">
        <f t="shared" si="11"/>
        <v>normal order</v>
      </c>
      <c r="O205">
        <f>SQRT(Table1[[#This Row],[Quantity]])</f>
        <v>2.8284271247461903</v>
      </c>
      <c r="P205">
        <v>1930.08</v>
      </c>
      <c r="Q205">
        <v>15440.64</v>
      </c>
    </row>
    <row r="206" spans="1:17" x14ac:dyDescent="0.25">
      <c r="A206" t="s">
        <v>212</v>
      </c>
      <c r="B206" t="str">
        <f>MID(Table1[[#This Row],[Order_ID]],2,5)</f>
        <v>RD120</v>
      </c>
      <c r="C206" s="1">
        <v>45602</v>
      </c>
      <c r="D206" t="s">
        <v>511</v>
      </c>
      <c r="E206" t="s">
        <v>513</v>
      </c>
      <c r="F206" t="str">
        <f>LOWER(Table1[[#This Row],[City]])</f>
        <v>bangalore</v>
      </c>
      <c r="G206" t="str">
        <f>UPPER(Table1[[#This Row],[City]])</f>
        <v>BANGALORE</v>
      </c>
      <c r="H206" t="str">
        <f>PROPER(Table1[[#This Row],[City]])</f>
        <v>Bangalore</v>
      </c>
      <c r="I206" t="str">
        <f t="shared" si="9"/>
        <v>MegaMart _ Bangalore</v>
      </c>
      <c r="J206" t="s">
        <v>520</v>
      </c>
      <c r="K206">
        <f t="shared" si="10"/>
        <v>11</v>
      </c>
      <c r="L206" t="str">
        <f>LEFT(Table1[[#This Row],[Category]],3)</f>
        <v>Ele</v>
      </c>
      <c r="M206">
        <v>4</v>
      </c>
      <c r="N206" s="4" t="str">
        <f t="shared" si="11"/>
        <v>normal order</v>
      </c>
      <c r="O206">
        <f>SQRT(Table1[[#This Row],[Quantity]])</f>
        <v>2</v>
      </c>
      <c r="P206">
        <v>1755.38</v>
      </c>
      <c r="Q206">
        <v>7021.52</v>
      </c>
    </row>
    <row r="207" spans="1:17" x14ac:dyDescent="0.25">
      <c r="A207" t="s">
        <v>213</v>
      </c>
      <c r="B207" t="str">
        <f>MID(Table1[[#This Row],[Order_ID]],2,5)</f>
        <v>RD120</v>
      </c>
      <c r="C207" s="1">
        <v>45508</v>
      </c>
      <c r="D207" t="s">
        <v>508</v>
      </c>
      <c r="E207" t="s">
        <v>513</v>
      </c>
      <c r="F207" t="str">
        <f>LOWER(Table1[[#This Row],[City]])</f>
        <v>bangalore</v>
      </c>
      <c r="G207" t="str">
        <f>UPPER(Table1[[#This Row],[City]])</f>
        <v>BANGALORE</v>
      </c>
      <c r="H207" t="str">
        <f>PROPER(Table1[[#This Row],[City]])</f>
        <v>Bangalore</v>
      </c>
      <c r="I207" t="str">
        <f t="shared" si="9"/>
        <v>ValueShop _ Bangalore</v>
      </c>
      <c r="J207" t="s">
        <v>521</v>
      </c>
      <c r="K207">
        <f t="shared" si="10"/>
        <v>8</v>
      </c>
      <c r="L207" t="str">
        <f>LEFT(Table1[[#This Row],[Category]],3)</f>
        <v>Clo</v>
      </c>
      <c r="M207">
        <v>1</v>
      </c>
      <c r="N207" s="4" t="str">
        <f t="shared" si="11"/>
        <v>normal order</v>
      </c>
      <c r="O207">
        <f>SQRT(Table1[[#This Row],[Quantity]])</f>
        <v>1</v>
      </c>
      <c r="P207">
        <v>309.33</v>
      </c>
      <c r="Q207">
        <v>309.33</v>
      </c>
    </row>
    <row r="208" spans="1:17" x14ac:dyDescent="0.25">
      <c r="A208" t="s">
        <v>214</v>
      </c>
      <c r="B208" t="str">
        <f>MID(Table1[[#This Row],[Order_ID]],2,5)</f>
        <v>RD120</v>
      </c>
      <c r="C208" s="1">
        <v>45400</v>
      </c>
      <c r="D208" t="s">
        <v>509</v>
      </c>
      <c r="E208" t="s">
        <v>516</v>
      </c>
      <c r="F208" t="str">
        <f>LOWER(Table1[[#This Row],[City]])</f>
        <v>chennai</v>
      </c>
      <c r="G208" t="str">
        <f>UPPER(Table1[[#This Row],[City]])</f>
        <v>CHENNAI</v>
      </c>
      <c r="H208" t="str">
        <f>PROPER(Table1[[#This Row],[City]])</f>
        <v>Chennai</v>
      </c>
      <c r="I208" t="str">
        <f t="shared" si="9"/>
        <v>CityStore _ Chennai</v>
      </c>
      <c r="J208" t="s">
        <v>523</v>
      </c>
      <c r="K208">
        <f t="shared" si="10"/>
        <v>14</v>
      </c>
      <c r="L208" t="str">
        <f>LEFT(Table1[[#This Row],[Category]],3)</f>
        <v>Hom</v>
      </c>
      <c r="M208">
        <v>6</v>
      </c>
      <c r="N208" s="4" t="str">
        <f t="shared" si="11"/>
        <v>normal order</v>
      </c>
      <c r="O208">
        <f>SQRT(Table1[[#This Row],[Quantity]])</f>
        <v>2.4494897427831779</v>
      </c>
      <c r="P208">
        <v>1727.56</v>
      </c>
      <c r="Q208">
        <v>10365.36</v>
      </c>
    </row>
    <row r="209" spans="1:17" x14ac:dyDescent="0.25">
      <c r="A209" t="s">
        <v>215</v>
      </c>
      <c r="B209" t="str">
        <f>MID(Table1[[#This Row],[Order_ID]],2,5)</f>
        <v>RD120</v>
      </c>
      <c r="C209" s="1">
        <v>45568</v>
      </c>
      <c r="D209" t="s">
        <v>511</v>
      </c>
      <c r="E209" t="s">
        <v>519</v>
      </c>
      <c r="F209" t="str">
        <f>LOWER(Table1[[#This Row],[City]])</f>
        <v>mumbai</v>
      </c>
      <c r="G209" t="str">
        <f>UPPER(Table1[[#This Row],[City]])</f>
        <v>MUMBAI</v>
      </c>
      <c r="H209" t="str">
        <f>PROPER(Table1[[#This Row],[City]])</f>
        <v>Mumbai</v>
      </c>
      <c r="I209" t="str">
        <f t="shared" si="9"/>
        <v>MegaMart _ Mumbai</v>
      </c>
      <c r="J209" t="s">
        <v>524</v>
      </c>
      <c r="K209">
        <f t="shared" si="10"/>
        <v>4</v>
      </c>
      <c r="L209" t="str">
        <f>LEFT(Table1[[#This Row],[Category]],3)</f>
        <v>Toy</v>
      </c>
      <c r="M209">
        <v>16</v>
      </c>
      <c r="N209" s="4" t="str">
        <f t="shared" si="11"/>
        <v>bulk order</v>
      </c>
      <c r="O209">
        <f>SQRT(Table1[[#This Row],[Quantity]])</f>
        <v>4</v>
      </c>
      <c r="P209">
        <v>281.33</v>
      </c>
      <c r="Q209">
        <v>4501.28</v>
      </c>
    </row>
    <row r="210" spans="1:17" x14ac:dyDescent="0.25">
      <c r="A210" t="s">
        <v>216</v>
      </c>
      <c r="B210" t="str">
        <f>MID(Table1[[#This Row],[Order_ID]],2,5)</f>
        <v>RD120</v>
      </c>
      <c r="C210" s="1">
        <v>45645</v>
      </c>
      <c r="D210" t="s">
        <v>511</v>
      </c>
      <c r="E210" t="s">
        <v>519</v>
      </c>
      <c r="F210" t="str">
        <f>LOWER(Table1[[#This Row],[City]])</f>
        <v>mumbai</v>
      </c>
      <c r="G210" t="str">
        <f>UPPER(Table1[[#This Row],[City]])</f>
        <v>MUMBAI</v>
      </c>
      <c r="H210" t="str">
        <f>PROPER(Table1[[#This Row],[City]])</f>
        <v>Mumbai</v>
      </c>
      <c r="I210" t="str">
        <f t="shared" si="9"/>
        <v>MegaMart _ Mumbai</v>
      </c>
      <c r="J210" t="s">
        <v>520</v>
      </c>
      <c r="K210">
        <f t="shared" si="10"/>
        <v>11</v>
      </c>
      <c r="L210" t="str">
        <f>LEFT(Table1[[#This Row],[Category]],3)</f>
        <v>Ele</v>
      </c>
      <c r="M210">
        <v>17</v>
      </c>
      <c r="N210" s="4" t="str">
        <f t="shared" si="11"/>
        <v>bulk order</v>
      </c>
      <c r="O210">
        <f>SQRT(Table1[[#This Row],[Quantity]])</f>
        <v>4.1231056256176606</v>
      </c>
      <c r="P210">
        <v>1986.05</v>
      </c>
      <c r="Q210">
        <v>33762.85</v>
      </c>
    </row>
    <row r="211" spans="1:17" x14ac:dyDescent="0.25">
      <c r="A211" t="s">
        <v>217</v>
      </c>
      <c r="B211" t="str">
        <f>MID(Table1[[#This Row],[Order_ID]],2,5)</f>
        <v>RD120</v>
      </c>
      <c r="C211" s="1">
        <v>45394</v>
      </c>
      <c r="D211" t="s">
        <v>511</v>
      </c>
      <c r="E211" t="s">
        <v>517</v>
      </c>
      <c r="F211" t="str">
        <f>LOWER(Table1[[#This Row],[City]])</f>
        <v>hyderabad</v>
      </c>
      <c r="G211" t="str">
        <f>UPPER(Table1[[#This Row],[City]])</f>
        <v>HYDERABAD</v>
      </c>
      <c r="H211" t="str">
        <f>PROPER(Table1[[#This Row],[City]])</f>
        <v>Hyderabad</v>
      </c>
      <c r="I211" t="str">
        <f t="shared" si="9"/>
        <v>MegaMart _ Hyderabad</v>
      </c>
      <c r="J211" t="s">
        <v>520</v>
      </c>
      <c r="K211">
        <f t="shared" si="10"/>
        <v>11</v>
      </c>
      <c r="L211" t="str">
        <f>LEFT(Table1[[#This Row],[Category]],3)</f>
        <v>Ele</v>
      </c>
      <c r="M211">
        <v>13</v>
      </c>
      <c r="N211" s="4" t="str">
        <f t="shared" si="11"/>
        <v>bulk order</v>
      </c>
      <c r="O211">
        <f>SQRT(Table1[[#This Row],[Quantity]])</f>
        <v>3.6055512754639891</v>
      </c>
      <c r="P211">
        <v>816.46</v>
      </c>
      <c r="Q211">
        <v>10613.98</v>
      </c>
    </row>
    <row r="212" spans="1:17" x14ac:dyDescent="0.25">
      <c r="A212" t="s">
        <v>218</v>
      </c>
      <c r="B212" t="str">
        <f>MID(Table1[[#This Row],[Order_ID]],2,5)</f>
        <v>RD121</v>
      </c>
      <c r="C212" s="1">
        <v>45657</v>
      </c>
      <c r="D212" t="s">
        <v>509</v>
      </c>
      <c r="E212" t="s">
        <v>516</v>
      </c>
      <c r="F212" t="str">
        <f>LOWER(Table1[[#This Row],[City]])</f>
        <v>chennai</v>
      </c>
      <c r="G212" t="str">
        <f>UPPER(Table1[[#This Row],[City]])</f>
        <v>CHENNAI</v>
      </c>
      <c r="H212" t="str">
        <f>PROPER(Table1[[#This Row],[City]])</f>
        <v>Chennai</v>
      </c>
      <c r="I212" t="str">
        <f t="shared" si="9"/>
        <v>CityStore _ Chennai</v>
      </c>
      <c r="J212" t="s">
        <v>521</v>
      </c>
      <c r="K212">
        <f t="shared" si="10"/>
        <v>8</v>
      </c>
      <c r="L212" t="str">
        <f>LEFT(Table1[[#This Row],[Category]],3)</f>
        <v>Clo</v>
      </c>
      <c r="M212">
        <v>18</v>
      </c>
      <c r="N212" s="4" t="str">
        <f t="shared" si="11"/>
        <v>bulk order</v>
      </c>
      <c r="O212">
        <f>SQRT(Table1[[#This Row],[Quantity]])</f>
        <v>4.2426406871192848</v>
      </c>
      <c r="P212">
        <v>298.33</v>
      </c>
      <c r="Q212">
        <v>5369.94</v>
      </c>
    </row>
    <row r="213" spans="1:17" x14ac:dyDescent="0.25">
      <c r="A213" t="s">
        <v>219</v>
      </c>
      <c r="B213" t="str">
        <f>MID(Table1[[#This Row],[Order_ID]],2,5)</f>
        <v>RD121</v>
      </c>
      <c r="C213" s="1">
        <v>45451</v>
      </c>
      <c r="D213" t="s">
        <v>509</v>
      </c>
      <c r="E213" t="s">
        <v>517</v>
      </c>
      <c r="F213" t="str">
        <f>LOWER(Table1[[#This Row],[City]])</f>
        <v>hyderabad</v>
      </c>
      <c r="G213" t="str">
        <f>UPPER(Table1[[#This Row],[City]])</f>
        <v>HYDERABAD</v>
      </c>
      <c r="H213" t="str">
        <f>PROPER(Table1[[#This Row],[City]])</f>
        <v>Hyderabad</v>
      </c>
      <c r="I213" t="str">
        <f t="shared" si="9"/>
        <v>CityStore _ Hyderabad</v>
      </c>
      <c r="J213" t="s">
        <v>525</v>
      </c>
      <c r="K213">
        <f t="shared" si="10"/>
        <v>9</v>
      </c>
      <c r="L213" t="str">
        <f>LEFT(Table1[[#This Row],[Category]],3)</f>
        <v>Gro</v>
      </c>
      <c r="M213">
        <v>4</v>
      </c>
      <c r="N213" s="4" t="str">
        <f t="shared" si="11"/>
        <v>normal order</v>
      </c>
      <c r="O213">
        <f>SQRT(Table1[[#This Row],[Quantity]])</f>
        <v>2</v>
      </c>
      <c r="P213">
        <v>1958.51</v>
      </c>
      <c r="Q213">
        <v>7834.04</v>
      </c>
    </row>
    <row r="214" spans="1:17" x14ac:dyDescent="0.25">
      <c r="A214" t="s">
        <v>220</v>
      </c>
      <c r="B214" t="str">
        <f>MID(Table1[[#This Row],[Order_ID]],2,5)</f>
        <v>RD121</v>
      </c>
      <c r="C214" s="1">
        <v>45496</v>
      </c>
      <c r="D214" t="s">
        <v>511</v>
      </c>
      <c r="E214" t="s">
        <v>518</v>
      </c>
      <c r="F214" t="str">
        <f>LOWER(Table1[[#This Row],[City]])</f>
        <v>pune</v>
      </c>
      <c r="G214" t="str">
        <f>UPPER(Table1[[#This Row],[City]])</f>
        <v>PUNE</v>
      </c>
      <c r="H214" t="str">
        <f>PROPER(Table1[[#This Row],[City]])</f>
        <v>Pune</v>
      </c>
      <c r="I214" t="str">
        <f t="shared" si="9"/>
        <v>MegaMart _ Pune</v>
      </c>
      <c r="J214" t="s">
        <v>521</v>
      </c>
      <c r="K214">
        <f t="shared" si="10"/>
        <v>8</v>
      </c>
      <c r="L214" t="str">
        <f>LEFT(Table1[[#This Row],[Category]],3)</f>
        <v>Clo</v>
      </c>
      <c r="M214">
        <v>9</v>
      </c>
      <c r="N214" s="4" t="str">
        <f t="shared" si="11"/>
        <v>normal order</v>
      </c>
      <c r="O214">
        <f>SQRT(Table1[[#This Row],[Quantity]])</f>
        <v>3</v>
      </c>
      <c r="P214">
        <v>1677.9</v>
      </c>
      <c r="Q214">
        <v>15101.1</v>
      </c>
    </row>
    <row r="215" spans="1:17" x14ac:dyDescent="0.25">
      <c r="A215" t="s">
        <v>221</v>
      </c>
      <c r="B215" t="str">
        <f>MID(Table1[[#This Row],[Order_ID]],2,5)</f>
        <v>RD121</v>
      </c>
      <c r="C215" s="1">
        <v>45635</v>
      </c>
      <c r="D215" t="s">
        <v>510</v>
      </c>
      <c r="E215" t="s">
        <v>515</v>
      </c>
      <c r="F215" t="str">
        <f>LOWER(Table1[[#This Row],[City]])</f>
        <v>kolkata</v>
      </c>
      <c r="G215" t="str">
        <f>UPPER(Table1[[#This Row],[City]])</f>
        <v>KOLKATA</v>
      </c>
      <c r="H215" t="str">
        <f>PROPER(Table1[[#This Row],[City]])</f>
        <v>Kolkata</v>
      </c>
      <c r="I215" t="str">
        <f t="shared" si="9"/>
        <v>QuickBuy _ Kolkata</v>
      </c>
      <c r="J215" t="s">
        <v>521</v>
      </c>
      <c r="K215">
        <f t="shared" si="10"/>
        <v>8</v>
      </c>
      <c r="L215" t="str">
        <f>LEFT(Table1[[#This Row],[Category]],3)</f>
        <v>Clo</v>
      </c>
      <c r="M215">
        <v>9</v>
      </c>
      <c r="N215" s="4" t="str">
        <f t="shared" si="11"/>
        <v>normal order</v>
      </c>
      <c r="O215">
        <f>SQRT(Table1[[#This Row],[Quantity]])</f>
        <v>3</v>
      </c>
      <c r="P215">
        <v>1524.55</v>
      </c>
      <c r="Q215">
        <v>13720.95</v>
      </c>
    </row>
    <row r="216" spans="1:17" x14ac:dyDescent="0.25">
      <c r="A216" t="s">
        <v>222</v>
      </c>
      <c r="B216" t="str">
        <f>MID(Table1[[#This Row],[Order_ID]],2,5)</f>
        <v>RD121</v>
      </c>
      <c r="C216" s="1">
        <v>45624</v>
      </c>
      <c r="D216" t="s">
        <v>509</v>
      </c>
      <c r="E216" t="s">
        <v>519</v>
      </c>
      <c r="F216" t="str">
        <f>LOWER(Table1[[#This Row],[City]])</f>
        <v>mumbai</v>
      </c>
      <c r="G216" t="str">
        <f>UPPER(Table1[[#This Row],[City]])</f>
        <v>MUMBAI</v>
      </c>
      <c r="H216" t="str">
        <f>PROPER(Table1[[#This Row],[City]])</f>
        <v>Mumbai</v>
      </c>
      <c r="I216" t="str">
        <f t="shared" si="9"/>
        <v>CityStore _ Mumbai</v>
      </c>
      <c r="J216" t="s">
        <v>525</v>
      </c>
      <c r="K216">
        <f t="shared" si="10"/>
        <v>9</v>
      </c>
      <c r="L216" t="str">
        <f>LEFT(Table1[[#This Row],[Category]],3)</f>
        <v>Gro</v>
      </c>
      <c r="M216">
        <v>15</v>
      </c>
      <c r="N216" s="4" t="str">
        <f t="shared" si="11"/>
        <v>bulk order</v>
      </c>
      <c r="O216">
        <f>SQRT(Table1[[#This Row],[Quantity]])</f>
        <v>3.872983346207417</v>
      </c>
      <c r="P216">
        <v>1958.06</v>
      </c>
      <c r="Q216">
        <v>29370.9</v>
      </c>
    </row>
    <row r="217" spans="1:17" x14ac:dyDescent="0.25">
      <c r="A217" t="s">
        <v>223</v>
      </c>
      <c r="B217" t="str">
        <f>MID(Table1[[#This Row],[Order_ID]],2,5)</f>
        <v>RD121</v>
      </c>
      <c r="C217" s="1">
        <v>45483</v>
      </c>
      <c r="D217" t="s">
        <v>509</v>
      </c>
      <c r="E217" t="s">
        <v>519</v>
      </c>
      <c r="F217" t="str">
        <f>LOWER(Table1[[#This Row],[City]])</f>
        <v>mumbai</v>
      </c>
      <c r="G217" t="str">
        <f>UPPER(Table1[[#This Row],[City]])</f>
        <v>MUMBAI</v>
      </c>
      <c r="H217" t="str">
        <f>PROPER(Table1[[#This Row],[City]])</f>
        <v>Mumbai</v>
      </c>
      <c r="I217" t="str">
        <f t="shared" si="9"/>
        <v>CityStore _ Mumbai</v>
      </c>
      <c r="J217" t="s">
        <v>525</v>
      </c>
      <c r="K217">
        <f t="shared" si="10"/>
        <v>9</v>
      </c>
      <c r="L217" t="str">
        <f>LEFT(Table1[[#This Row],[Category]],3)</f>
        <v>Gro</v>
      </c>
      <c r="M217">
        <v>7</v>
      </c>
      <c r="N217" s="4" t="str">
        <f t="shared" si="11"/>
        <v>normal order</v>
      </c>
      <c r="O217">
        <f>SQRT(Table1[[#This Row],[Quantity]])</f>
        <v>2.6457513110645907</v>
      </c>
      <c r="P217">
        <v>952.86</v>
      </c>
      <c r="Q217">
        <v>6670.02</v>
      </c>
    </row>
    <row r="218" spans="1:17" x14ac:dyDescent="0.25">
      <c r="A218" t="s">
        <v>224</v>
      </c>
      <c r="B218" t="str">
        <f>MID(Table1[[#This Row],[Order_ID]],2,5)</f>
        <v>RD121</v>
      </c>
      <c r="C218" s="1">
        <v>45516</v>
      </c>
      <c r="D218" t="s">
        <v>509</v>
      </c>
      <c r="E218" t="s">
        <v>519</v>
      </c>
      <c r="F218" t="str">
        <f>LOWER(Table1[[#This Row],[City]])</f>
        <v>mumbai</v>
      </c>
      <c r="G218" t="str">
        <f>UPPER(Table1[[#This Row],[City]])</f>
        <v>MUMBAI</v>
      </c>
      <c r="H218" t="str">
        <f>PROPER(Table1[[#This Row],[City]])</f>
        <v>Mumbai</v>
      </c>
      <c r="I218" t="str">
        <f t="shared" si="9"/>
        <v>CityStore _ Mumbai</v>
      </c>
      <c r="J218" t="s">
        <v>525</v>
      </c>
      <c r="K218">
        <f t="shared" si="10"/>
        <v>9</v>
      </c>
      <c r="L218" t="str">
        <f>LEFT(Table1[[#This Row],[Category]],3)</f>
        <v>Gro</v>
      </c>
      <c r="M218">
        <v>20</v>
      </c>
      <c r="N218" s="4" t="str">
        <f t="shared" si="11"/>
        <v>bulk order</v>
      </c>
      <c r="O218">
        <f>SQRT(Table1[[#This Row],[Quantity]])</f>
        <v>4.4721359549995796</v>
      </c>
      <c r="P218">
        <v>1452.23</v>
      </c>
      <c r="Q218">
        <v>29044.6</v>
      </c>
    </row>
    <row r="219" spans="1:17" x14ac:dyDescent="0.25">
      <c r="A219" t="s">
        <v>225</v>
      </c>
      <c r="B219" t="str">
        <f>MID(Table1[[#This Row],[Order_ID]],2,5)</f>
        <v>RD121</v>
      </c>
      <c r="C219" s="1">
        <v>45556</v>
      </c>
      <c r="D219" t="s">
        <v>512</v>
      </c>
      <c r="E219" t="s">
        <v>514</v>
      </c>
      <c r="F219" t="str">
        <f>LOWER(Table1[[#This Row],[City]])</f>
        <v>delhi</v>
      </c>
      <c r="G219" t="str">
        <f>UPPER(Table1[[#This Row],[City]])</f>
        <v>DELHI</v>
      </c>
      <c r="H219" t="str">
        <f>PROPER(Table1[[#This Row],[City]])</f>
        <v>Delhi</v>
      </c>
      <c r="I219" t="str">
        <f t="shared" si="9"/>
        <v>Trendz _ Delhi</v>
      </c>
      <c r="J219" t="s">
        <v>520</v>
      </c>
      <c r="K219">
        <f t="shared" si="10"/>
        <v>11</v>
      </c>
      <c r="L219" t="str">
        <f>LEFT(Table1[[#This Row],[Category]],3)</f>
        <v>Ele</v>
      </c>
      <c r="M219">
        <v>10</v>
      </c>
      <c r="N219" s="4" t="str">
        <f t="shared" si="11"/>
        <v>normal order</v>
      </c>
      <c r="O219">
        <f>SQRT(Table1[[#This Row],[Quantity]])</f>
        <v>3.1622776601683795</v>
      </c>
      <c r="P219">
        <v>877.05</v>
      </c>
      <c r="Q219">
        <v>8770.5</v>
      </c>
    </row>
    <row r="220" spans="1:17" x14ac:dyDescent="0.25">
      <c r="A220" t="s">
        <v>226</v>
      </c>
      <c r="B220" t="str">
        <f>MID(Table1[[#This Row],[Order_ID]],2,5)</f>
        <v>RD121</v>
      </c>
      <c r="C220" s="1">
        <v>45523</v>
      </c>
      <c r="D220" t="s">
        <v>511</v>
      </c>
      <c r="E220" t="s">
        <v>517</v>
      </c>
      <c r="F220" t="str">
        <f>LOWER(Table1[[#This Row],[City]])</f>
        <v>hyderabad</v>
      </c>
      <c r="G220" t="str">
        <f>UPPER(Table1[[#This Row],[City]])</f>
        <v>HYDERABAD</v>
      </c>
      <c r="H220" t="str">
        <f>PROPER(Table1[[#This Row],[City]])</f>
        <v>Hyderabad</v>
      </c>
      <c r="I220" t="str">
        <f t="shared" si="9"/>
        <v>MegaMart _ Hyderabad</v>
      </c>
      <c r="J220" t="s">
        <v>520</v>
      </c>
      <c r="K220">
        <f t="shared" si="10"/>
        <v>11</v>
      </c>
      <c r="L220" t="str">
        <f>LEFT(Table1[[#This Row],[Category]],3)</f>
        <v>Ele</v>
      </c>
      <c r="M220">
        <v>16</v>
      </c>
      <c r="N220" s="4" t="str">
        <f t="shared" si="11"/>
        <v>bulk order</v>
      </c>
      <c r="O220">
        <f>SQRT(Table1[[#This Row],[Quantity]])</f>
        <v>4</v>
      </c>
      <c r="P220">
        <v>789.59</v>
      </c>
      <c r="Q220">
        <v>12633.44</v>
      </c>
    </row>
    <row r="221" spans="1:17" x14ac:dyDescent="0.25">
      <c r="A221" t="s">
        <v>227</v>
      </c>
      <c r="B221" t="str">
        <f>MID(Table1[[#This Row],[Order_ID]],2,5)</f>
        <v>RD121</v>
      </c>
      <c r="C221" s="1">
        <v>45353</v>
      </c>
      <c r="D221" t="s">
        <v>510</v>
      </c>
      <c r="E221" t="s">
        <v>515</v>
      </c>
      <c r="F221" t="str">
        <f>LOWER(Table1[[#This Row],[City]])</f>
        <v>kolkata</v>
      </c>
      <c r="G221" t="str">
        <f>UPPER(Table1[[#This Row],[City]])</f>
        <v>KOLKATA</v>
      </c>
      <c r="H221" t="str">
        <f>PROPER(Table1[[#This Row],[City]])</f>
        <v>Kolkata</v>
      </c>
      <c r="I221" t="str">
        <f t="shared" si="9"/>
        <v>QuickBuy _ Kolkata</v>
      </c>
      <c r="J221" t="s">
        <v>523</v>
      </c>
      <c r="K221">
        <f t="shared" si="10"/>
        <v>14</v>
      </c>
      <c r="L221" t="str">
        <f>LEFT(Table1[[#This Row],[Category]],3)</f>
        <v>Hom</v>
      </c>
      <c r="M221">
        <v>7</v>
      </c>
      <c r="N221" s="4" t="str">
        <f t="shared" si="11"/>
        <v>normal order</v>
      </c>
      <c r="O221">
        <f>SQRT(Table1[[#This Row],[Quantity]])</f>
        <v>2.6457513110645907</v>
      </c>
      <c r="P221">
        <v>497.84</v>
      </c>
      <c r="Q221">
        <v>3484.88</v>
      </c>
    </row>
    <row r="222" spans="1:17" x14ac:dyDescent="0.25">
      <c r="A222" t="s">
        <v>228</v>
      </c>
      <c r="B222" t="str">
        <f>MID(Table1[[#This Row],[Order_ID]],2,5)</f>
        <v>RD122</v>
      </c>
      <c r="C222" s="1">
        <v>45418</v>
      </c>
      <c r="D222" t="s">
        <v>509</v>
      </c>
      <c r="E222" t="s">
        <v>516</v>
      </c>
      <c r="F222" t="str">
        <f>LOWER(Table1[[#This Row],[City]])</f>
        <v>chennai</v>
      </c>
      <c r="G222" t="str">
        <f>UPPER(Table1[[#This Row],[City]])</f>
        <v>CHENNAI</v>
      </c>
      <c r="H222" t="str">
        <f>PROPER(Table1[[#This Row],[City]])</f>
        <v>Chennai</v>
      </c>
      <c r="I222" t="str">
        <f t="shared" si="9"/>
        <v>CityStore _ Chennai</v>
      </c>
      <c r="J222" t="s">
        <v>522</v>
      </c>
      <c r="K222">
        <f t="shared" si="10"/>
        <v>5</v>
      </c>
      <c r="L222" t="str">
        <f>LEFT(Table1[[#This Row],[Category]],3)</f>
        <v>Boo</v>
      </c>
      <c r="M222">
        <v>4</v>
      </c>
      <c r="N222" s="4" t="str">
        <f t="shared" si="11"/>
        <v>normal order</v>
      </c>
      <c r="O222">
        <f>SQRT(Table1[[#This Row],[Quantity]])</f>
        <v>2</v>
      </c>
      <c r="P222">
        <v>948.22</v>
      </c>
      <c r="Q222">
        <v>3792.88</v>
      </c>
    </row>
    <row r="223" spans="1:17" x14ac:dyDescent="0.25">
      <c r="A223" t="s">
        <v>229</v>
      </c>
      <c r="B223" t="str">
        <f>MID(Table1[[#This Row],[Order_ID]],2,5)</f>
        <v>RD122</v>
      </c>
      <c r="C223" s="1">
        <v>45407</v>
      </c>
      <c r="D223" t="s">
        <v>512</v>
      </c>
      <c r="E223" t="s">
        <v>517</v>
      </c>
      <c r="F223" t="str">
        <f>LOWER(Table1[[#This Row],[City]])</f>
        <v>hyderabad</v>
      </c>
      <c r="G223" t="str">
        <f>UPPER(Table1[[#This Row],[City]])</f>
        <v>HYDERABAD</v>
      </c>
      <c r="H223" t="str">
        <f>PROPER(Table1[[#This Row],[City]])</f>
        <v>Hyderabad</v>
      </c>
      <c r="I223" t="str">
        <f t="shared" si="9"/>
        <v>Trendz _ Hyderabad</v>
      </c>
      <c r="J223" t="s">
        <v>523</v>
      </c>
      <c r="K223">
        <f t="shared" si="10"/>
        <v>14</v>
      </c>
      <c r="L223" t="str">
        <f>LEFT(Table1[[#This Row],[Category]],3)</f>
        <v>Hom</v>
      </c>
      <c r="M223">
        <v>5</v>
      </c>
      <c r="N223" s="4" t="str">
        <f t="shared" si="11"/>
        <v>normal order</v>
      </c>
      <c r="O223">
        <f>SQRT(Table1[[#This Row],[Quantity]])</f>
        <v>2.2360679774997898</v>
      </c>
      <c r="P223">
        <v>352.49</v>
      </c>
      <c r="Q223">
        <v>1762.45</v>
      </c>
    </row>
    <row r="224" spans="1:17" x14ac:dyDescent="0.25">
      <c r="A224" t="s">
        <v>230</v>
      </c>
      <c r="B224" t="str">
        <f>MID(Table1[[#This Row],[Order_ID]],2,5)</f>
        <v>RD122</v>
      </c>
      <c r="C224" s="1">
        <v>45324</v>
      </c>
      <c r="D224" t="s">
        <v>508</v>
      </c>
      <c r="E224" t="s">
        <v>518</v>
      </c>
      <c r="F224" t="str">
        <f>LOWER(Table1[[#This Row],[City]])</f>
        <v>pune</v>
      </c>
      <c r="G224" t="str">
        <f>UPPER(Table1[[#This Row],[City]])</f>
        <v>PUNE</v>
      </c>
      <c r="H224" t="str">
        <f>PROPER(Table1[[#This Row],[City]])</f>
        <v>Pune</v>
      </c>
      <c r="I224" t="str">
        <f t="shared" si="9"/>
        <v>ValueShop _ Pune</v>
      </c>
      <c r="J224" t="s">
        <v>521</v>
      </c>
      <c r="K224">
        <f t="shared" si="10"/>
        <v>8</v>
      </c>
      <c r="L224" t="str">
        <f>LEFT(Table1[[#This Row],[Category]],3)</f>
        <v>Clo</v>
      </c>
      <c r="M224">
        <v>3</v>
      </c>
      <c r="N224" s="4" t="str">
        <f t="shared" si="11"/>
        <v>normal order</v>
      </c>
      <c r="O224">
        <f>SQRT(Table1[[#This Row],[Quantity]])</f>
        <v>1.7320508075688772</v>
      </c>
      <c r="P224">
        <v>417.54</v>
      </c>
      <c r="Q224">
        <v>1252.6199999999999</v>
      </c>
    </row>
    <row r="225" spans="1:17" x14ac:dyDescent="0.25">
      <c r="A225" t="s">
        <v>231</v>
      </c>
      <c r="B225" t="str">
        <f>MID(Table1[[#This Row],[Order_ID]],2,5)</f>
        <v>RD122</v>
      </c>
      <c r="C225" s="1">
        <v>45465</v>
      </c>
      <c r="D225" t="s">
        <v>508</v>
      </c>
      <c r="E225" t="s">
        <v>519</v>
      </c>
      <c r="F225" t="str">
        <f>LOWER(Table1[[#This Row],[City]])</f>
        <v>mumbai</v>
      </c>
      <c r="G225" t="str">
        <f>UPPER(Table1[[#This Row],[City]])</f>
        <v>MUMBAI</v>
      </c>
      <c r="H225" t="str">
        <f>PROPER(Table1[[#This Row],[City]])</f>
        <v>Mumbai</v>
      </c>
      <c r="I225" t="str">
        <f t="shared" si="9"/>
        <v>ValueShop _ Mumbai</v>
      </c>
      <c r="J225" t="s">
        <v>521</v>
      </c>
      <c r="K225">
        <f t="shared" si="10"/>
        <v>8</v>
      </c>
      <c r="L225" t="str">
        <f>LEFT(Table1[[#This Row],[Category]],3)</f>
        <v>Clo</v>
      </c>
      <c r="M225">
        <v>15</v>
      </c>
      <c r="N225" s="4" t="str">
        <f t="shared" si="11"/>
        <v>bulk order</v>
      </c>
      <c r="O225">
        <f>SQRT(Table1[[#This Row],[Quantity]])</f>
        <v>3.872983346207417</v>
      </c>
      <c r="P225">
        <v>1756.66</v>
      </c>
      <c r="Q225">
        <v>26349.9</v>
      </c>
    </row>
    <row r="226" spans="1:17" x14ac:dyDescent="0.25">
      <c r="A226" t="s">
        <v>232</v>
      </c>
      <c r="B226" t="str">
        <f>MID(Table1[[#This Row],[Order_ID]],2,5)</f>
        <v>RD122</v>
      </c>
      <c r="C226" s="1">
        <v>45302</v>
      </c>
      <c r="D226" t="s">
        <v>509</v>
      </c>
      <c r="E226" t="s">
        <v>516</v>
      </c>
      <c r="F226" t="str">
        <f>LOWER(Table1[[#This Row],[City]])</f>
        <v>chennai</v>
      </c>
      <c r="G226" t="str">
        <f>UPPER(Table1[[#This Row],[City]])</f>
        <v>CHENNAI</v>
      </c>
      <c r="H226" t="str">
        <f>PROPER(Table1[[#This Row],[City]])</f>
        <v>Chennai</v>
      </c>
      <c r="I226" t="str">
        <f t="shared" si="9"/>
        <v>CityStore _ Chennai</v>
      </c>
      <c r="J226" t="s">
        <v>523</v>
      </c>
      <c r="K226">
        <f t="shared" si="10"/>
        <v>14</v>
      </c>
      <c r="L226" t="str">
        <f>LEFT(Table1[[#This Row],[Category]],3)</f>
        <v>Hom</v>
      </c>
      <c r="M226">
        <v>6</v>
      </c>
      <c r="N226" s="4" t="str">
        <f t="shared" si="11"/>
        <v>normal order</v>
      </c>
      <c r="O226">
        <f>SQRT(Table1[[#This Row],[Quantity]])</f>
        <v>2.4494897427831779</v>
      </c>
      <c r="P226">
        <v>1542.71</v>
      </c>
      <c r="Q226">
        <v>9256.26</v>
      </c>
    </row>
    <row r="227" spans="1:17" x14ac:dyDescent="0.25">
      <c r="A227" t="s">
        <v>233</v>
      </c>
      <c r="B227" t="str">
        <f>MID(Table1[[#This Row],[Order_ID]],2,5)</f>
        <v>RD122</v>
      </c>
      <c r="C227" s="1">
        <v>45593</v>
      </c>
      <c r="D227" t="s">
        <v>510</v>
      </c>
      <c r="E227" t="s">
        <v>517</v>
      </c>
      <c r="F227" t="str">
        <f>LOWER(Table1[[#This Row],[City]])</f>
        <v>hyderabad</v>
      </c>
      <c r="G227" t="str">
        <f>UPPER(Table1[[#This Row],[City]])</f>
        <v>HYDERABAD</v>
      </c>
      <c r="H227" t="str">
        <f>PROPER(Table1[[#This Row],[City]])</f>
        <v>Hyderabad</v>
      </c>
      <c r="I227" t="str">
        <f t="shared" si="9"/>
        <v>QuickBuy _ Hyderabad</v>
      </c>
      <c r="J227" t="s">
        <v>524</v>
      </c>
      <c r="K227">
        <f t="shared" si="10"/>
        <v>4</v>
      </c>
      <c r="L227" t="str">
        <f>LEFT(Table1[[#This Row],[Category]],3)</f>
        <v>Toy</v>
      </c>
      <c r="M227">
        <v>15</v>
      </c>
      <c r="N227" s="4" t="str">
        <f t="shared" si="11"/>
        <v>bulk order</v>
      </c>
      <c r="O227">
        <f>SQRT(Table1[[#This Row],[Quantity]])</f>
        <v>3.872983346207417</v>
      </c>
      <c r="P227">
        <v>112.82</v>
      </c>
      <c r="Q227">
        <v>1692.3</v>
      </c>
    </row>
    <row r="228" spans="1:17" x14ac:dyDescent="0.25">
      <c r="A228" t="s">
        <v>234</v>
      </c>
      <c r="B228" t="str">
        <f>MID(Table1[[#This Row],[Order_ID]],2,5)</f>
        <v>RD122</v>
      </c>
      <c r="C228" s="1">
        <v>45575</v>
      </c>
      <c r="D228" t="s">
        <v>510</v>
      </c>
      <c r="E228" t="s">
        <v>519</v>
      </c>
      <c r="F228" t="str">
        <f>LOWER(Table1[[#This Row],[City]])</f>
        <v>mumbai</v>
      </c>
      <c r="G228" t="str">
        <f>UPPER(Table1[[#This Row],[City]])</f>
        <v>MUMBAI</v>
      </c>
      <c r="H228" t="str">
        <f>PROPER(Table1[[#This Row],[City]])</f>
        <v>Mumbai</v>
      </c>
      <c r="I228" t="str">
        <f t="shared" si="9"/>
        <v>QuickBuy _ Mumbai</v>
      </c>
      <c r="J228" t="s">
        <v>522</v>
      </c>
      <c r="K228">
        <f t="shared" si="10"/>
        <v>5</v>
      </c>
      <c r="L228" t="str">
        <f>LEFT(Table1[[#This Row],[Category]],3)</f>
        <v>Boo</v>
      </c>
      <c r="M228">
        <v>3</v>
      </c>
      <c r="N228" s="4" t="str">
        <f t="shared" si="11"/>
        <v>normal order</v>
      </c>
      <c r="O228">
        <f>SQRT(Table1[[#This Row],[Quantity]])</f>
        <v>1.7320508075688772</v>
      </c>
      <c r="P228">
        <v>1337.39</v>
      </c>
      <c r="Q228">
        <v>4012.17</v>
      </c>
    </row>
    <row r="229" spans="1:17" x14ac:dyDescent="0.25">
      <c r="A229" t="s">
        <v>235</v>
      </c>
      <c r="B229" t="str">
        <f>MID(Table1[[#This Row],[Order_ID]],2,5)</f>
        <v>RD122</v>
      </c>
      <c r="C229" s="1">
        <v>45409</v>
      </c>
      <c r="D229" t="s">
        <v>511</v>
      </c>
      <c r="E229" t="s">
        <v>519</v>
      </c>
      <c r="F229" t="str">
        <f>LOWER(Table1[[#This Row],[City]])</f>
        <v>mumbai</v>
      </c>
      <c r="G229" t="str">
        <f>UPPER(Table1[[#This Row],[City]])</f>
        <v>MUMBAI</v>
      </c>
      <c r="H229" t="str">
        <f>PROPER(Table1[[#This Row],[City]])</f>
        <v>Mumbai</v>
      </c>
      <c r="I229" t="str">
        <f t="shared" si="9"/>
        <v>MegaMart _ Mumbai</v>
      </c>
      <c r="J229" t="s">
        <v>521</v>
      </c>
      <c r="K229">
        <f t="shared" si="10"/>
        <v>8</v>
      </c>
      <c r="L229" t="str">
        <f>LEFT(Table1[[#This Row],[Category]],3)</f>
        <v>Clo</v>
      </c>
      <c r="M229">
        <v>11</v>
      </c>
      <c r="N229" s="4" t="str">
        <f t="shared" si="11"/>
        <v>bulk order</v>
      </c>
      <c r="O229">
        <f>SQRT(Table1[[#This Row],[Quantity]])</f>
        <v>3.3166247903553998</v>
      </c>
      <c r="P229">
        <v>1249.0999999999999</v>
      </c>
      <c r="Q229">
        <v>13740.1</v>
      </c>
    </row>
    <row r="230" spans="1:17" x14ac:dyDescent="0.25">
      <c r="A230" t="s">
        <v>236</v>
      </c>
      <c r="B230" t="str">
        <f>MID(Table1[[#This Row],[Order_ID]],2,5)</f>
        <v>RD122</v>
      </c>
      <c r="C230" s="1">
        <v>45593</v>
      </c>
      <c r="D230" t="s">
        <v>509</v>
      </c>
      <c r="E230" t="s">
        <v>516</v>
      </c>
      <c r="F230" t="str">
        <f>LOWER(Table1[[#This Row],[City]])</f>
        <v>chennai</v>
      </c>
      <c r="G230" t="str">
        <f>UPPER(Table1[[#This Row],[City]])</f>
        <v>CHENNAI</v>
      </c>
      <c r="H230" t="str">
        <f>PROPER(Table1[[#This Row],[City]])</f>
        <v>Chennai</v>
      </c>
      <c r="I230" t="str">
        <f t="shared" si="9"/>
        <v>CityStore _ Chennai</v>
      </c>
      <c r="J230" t="s">
        <v>524</v>
      </c>
      <c r="K230">
        <f t="shared" si="10"/>
        <v>4</v>
      </c>
      <c r="L230" t="str">
        <f>LEFT(Table1[[#This Row],[Category]],3)</f>
        <v>Toy</v>
      </c>
      <c r="M230">
        <v>12</v>
      </c>
      <c r="N230" s="4" t="str">
        <f t="shared" si="11"/>
        <v>bulk order</v>
      </c>
      <c r="O230">
        <f>SQRT(Table1[[#This Row],[Quantity]])</f>
        <v>3.4641016151377544</v>
      </c>
      <c r="P230">
        <v>1875.66</v>
      </c>
      <c r="Q230">
        <v>22507.919999999998</v>
      </c>
    </row>
    <row r="231" spans="1:17" x14ac:dyDescent="0.25">
      <c r="A231" t="s">
        <v>237</v>
      </c>
      <c r="B231" t="str">
        <f>MID(Table1[[#This Row],[Order_ID]],2,5)</f>
        <v>RD122</v>
      </c>
      <c r="C231" s="1">
        <v>45404</v>
      </c>
      <c r="D231" t="s">
        <v>508</v>
      </c>
      <c r="E231" t="s">
        <v>518</v>
      </c>
      <c r="F231" t="str">
        <f>LOWER(Table1[[#This Row],[City]])</f>
        <v>pune</v>
      </c>
      <c r="G231" t="str">
        <f>UPPER(Table1[[#This Row],[City]])</f>
        <v>PUNE</v>
      </c>
      <c r="H231" t="str">
        <f>PROPER(Table1[[#This Row],[City]])</f>
        <v>Pune</v>
      </c>
      <c r="I231" t="str">
        <f t="shared" si="9"/>
        <v>ValueShop _ Pune</v>
      </c>
      <c r="J231" t="s">
        <v>524</v>
      </c>
      <c r="K231">
        <f t="shared" si="10"/>
        <v>4</v>
      </c>
      <c r="L231" t="str">
        <f>LEFT(Table1[[#This Row],[Category]],3)</f>
        <v>Toy</v>
      </c>
      <c r="M231">
        <v>3</v>
      </c>
      <c r="N231" s="4" t="str">
        <f t="shared" si="11"/>
        <v>normal order</v>
      </c>
      <c r="O231">
        <f>SQRT(Table1[[#This Row],[Quantity]])</f>
        <v>1.7320508075688772</v>
      </c>
      <c r="P231">
        <v>1783.63</v>
      </c>
      <c r="Q231">
        <v>5350.89</v>
      </c>
    </row>
    <row r="232" spans="1:17" x14ac:dyDescent="0.25">
      <c r="A232" t="s">
        <v>238</v>
      </c>
      <c r="B232" t="str">
        <f>MID(Table1[[#This Row],[Order_ID]],2,5)</f>
        <v>RD123</v>
      </c>
      <c r="C232" s="1">
        <v>45295</v>
      </c>
      <c r="D232" t="s">
        <v>511</v>
      </c>
      <c r="E232" t="s">
        <v>513</v>
      </c>
      <c r="F232" t="str">
        <f>LOWER(Table1[[#This Row],[City]])</f>
        <v>bangalore</v>
      </c>
      <c r="G232" t="str">
        <f>UPPER(Table1[[#This Row],[City]])</f>
        <v>BANGALORE</v>
      </c>
      <c r="H232" t="str">
        <f>PROPER(Table1[[#This Row],[City]])</f>
        <v>Bangalore</v>
      </c>
      <c r="I232" t="str">
        <f t="shared" si="9"/>
        <v>MegaMart _ Bangalore</v>
      </c>
      <c r="J232" t="s">
        <v>522</v>
      </c>
      <c r="K232">
        <f t="shared" si="10"/>
        <v>5</v>
      </c>
      <c r="L232" t="str">
        <f>LEFT(Table1[[#This Row],[Category]],3)</f>
        <v>Boo</v>
      </c>
      <c r="M232">
        <v>18</v>
      </c>
      <c r="N232" s="4" t="str">
        <f t="shared" si="11"/>
        <v>bulk order</v>
      </c>
      <c r="O232">
        <f>SQRT(Table1[[#This Row],[Quantity]])</f>
        <v>4.2426406871192848</v>
      </c>
      <c r="P232">
        <v>519.29999999999995</v>
      </c>
      <c r="Q232">
        <v>9347.4</v>
      </c>
    </row>
    <row r="233" spans="1:17" x14ac:dyDescent="0.25">
      <c r="A233" t="s">
        <v>239</v>
      </c>
      <c r="B233" t="str">
        <f>MID(Table1[[#This Row],[Order_ID]],2,5)</f>
        <v>RD123</v>
      </c>
      <c r="C233" s="1">
        <v>45328</v>
      </c>
      <c r="D233" t="s">
        <v>510</v>
      </c>
      <c r="E233" t="s">
        <v>516</v>
      </c>
      <c r="F233" t="str">
        <f>LOWER(Table1[[#This Row],[City]])</f>
        <v>chennai</v>
      </c>
      <c r="G233" t="str">
        <f>UPPER(Table1[[#This Row],[City]])</f>
        <v>CHENNAI</v>
      </c>
      <c r="H233" t="str">
        <f>PROPER(Table1[[#This Row],[City]])</f>
        <v>Chennai</v>
      </c>
      <c r="I233" t="str">
        <f t="shared" si="9"/>
        <v>QuickBuy _ Chennai</v>
      </c>
      <c r="J233" t="s">
        <v>525</v>
      </c>
      <c r="K233">
        <f t="shared" si="10"/>
        <v>9</v>
      </c>
      <c r="L233" t="str">
        <f>LEFT(Table1[[#This Row],[Category]],3)</f>
        <v>Gro</v>
      </c>
      <c r="M233">
        <v>18</v>
      </c>
      <c r="N233" s="4" t="str">
        <f t="shared" si="11"/>
        <v>bulk order</v>
      </c>
      <c r="O233">
        <f>SQRT(Table1[[#This Row],[Quantity]])</f>
        <v>4.2426406871192848</v>
      </c>
      <c r="P233">
        <v>181.22</v>
      </c>
      <c r="Q233">
        <v>3261.96</v>
      </c>
    </row>
    <row r="234" spans="1:17" x14ac:dyDescent="0.25">
      <c r="A234" t="s">
        <v>240</v>
      </c>
      <c r="B234" t="str">
        <f>MID(Table1[[#This Row],[Order_ID]],2,5)</f>
        <v>RD123</v>
      </c>
      <c r="C234" s="1">
        <v>45654</v>
      </c>
      <c r="D234" t="s">
        <v>511</v>
      </c>
      <c r="E234" t="s">
        <v>513</v>
      </c>
      <c r="F234" t="str">
        <f>LOWER(Table1[[#This Row],[City]])</f>
        <v>bangalore</v>
      </c>
      <c r="G234" t="str">
        <f>UPPER(Table1[[#This Row],[City]])</f>
        <v>BANGALORE</v>
      </c>
      <c r="H234" t="str">
        <f>PROPER(Table1[[#This Row],[City]])</f>
        <v>Bangalore</v>
      </c>
      <c r="I234" t="str">
        <f t="shared" si="9"/>
        <v>MegaMart _ Bangalore</v>
      </c>
      <c r="J234" t="s">
        <v>520</v>
      </c>
      <c r="K234">
        <f t="shared" si="10"/>
        <v>11</v>
      </c>
      <c r="L234" t="str">
        <f>LEFT(Table1[[#This Row],[Category]],3)</f>
        <v>Ele</v>
      </c>
      <c r="M234">
        <v>10</v>
      </c>
      <c r="N234" s="4" t="str">
        <f t="shared" si="11"/>
        <v>normal order</v>
      </c>
      <c r="O234">
        <f>SQRT(Table1[[#This Row],[Quantity]])</f>
        <v>3.1622776601683795</v>
      </c>
      <c r="P234">
        <v>1208.19</v>
      </c>
      <c r="Q234">
        <v>12081.9</v>
      </c>
    </row>
    <row r="235" spans="1:17" x14ac:dyDescent="0.25">
      <c r="A235" t="s">
        <v>241</v>
      </c>
      <c r="B235" t="str">
        <f>MID(Table1[[#This Row],[Order_ID]],2,5)</f>
        <v>RD123</v>
      </c>
      <c r="C235" s="1">
        <v>45615</v>
      </c>
      <c r="D235" t="s">
        <v>508</v>
      </c>
      <c r="E235" t="s">
        <v>518</v>
      </c>
      <c r="F235" t="str">
        <f>LOWER(Table1[[#This Row],[City]])</f>
        <v>pune</v>
      </c>
      <c r="G235" t="str">
        <f>UPPER(Table1[[#This Row],[City]])</f>
        <v>PUNE</v>
      </c>
      <c r="H235" t="str">
        <f>PROPER(Table1[[#This Row],[City]])</f>
        <v>Pune</v>
      </c>
      <c r="I235" t="str">
        <f t="shared" si="9"/>
        <v>ValueShop _ Pune</v>
      </c>
      <c r="J235" t="s">
        <v>523</v>
      </c>
      <c r="K235">
        <f t="shared" si="10"/>
        <v>14</v>
      </c>
      <c r="L235" t="str">
        <f>LEFT(Table1[[#This Row],[Category]],3)</f>
        <v>Hom</v>
      </c>
      <c r="M235">
        <v>10</v>
      </c>
      <c r="N235" s="4" t="str">
        <f t="shared" si="11"/>
        <v>normal order</v>
      </c>
      <c r="O235">
        <f>SQRT(Table1[[#This Row],[Quantity]])</f>
        <v>3.1622776601683795</v>
      </c>
      <c r="P235">
        <v>920.56</v>
      </c>
      <c r="Q235">
        <v>9205.5999999999985</v>
      </c>
    </row>
    <row r="236" spans="1:17" x14ac:dyDescent="0.25">
      <c r="A236" t="s">
        <v>242</v>
      </c>
      <c r="B236" t="str">
        <f>MID(Table1[[#This Row],[Order_ID]],2,5)</f>
        <v>RD123</v>
      </c>
      <c r="C236" s="1">
        <v>45322</v>
      </c>
      <c r="D236" t="s">
        <v>510</v>
      </c>
      <c r="E236" t="s">
        <v>514</v>
      </c>
      <c r="F236" t="str">
        <f>LOWER(Table1[[#This Row],[City]])</f>
        <v>delhi</v>
      </c>
      <c r="G236" t="str">
        <f>UPPER(Table1[[#This Row],[City]])</f>
        <v>DELHI</v>
      </c>
      <c r="H236" t="str">
        <f>PROPER(Table1[[#This Row],[City]])</f>
        <v>Delhi</v>
      </c>
      <c r="I236" t="str">
        <f t="shared" si="9"/>
        <v>QuickBuy _ Delhi</v>
      </c>
      <c r="J236" t="s">
        <v>522</v>
      </c>
      <c r="K236">
        <f t="shared" si="10"/>
        <v>5</v>
      </c>
      <c r="L236" t="str">
        <f>LEFT(Table1[[#This Row],[Category]],3)</f>
        <v>Boo</v>
      </c>
      <c r="M236">
        <v>6</v>
      </c>
      <c r="N236" s="4" t="str">
        <f t="shared" si="11"/>
        <v>normal order</v>
      </c>
      <c r="O236">
        <f>SQRT(Table1[[#This Row],[Quantity]])</f>
        <v>2.4494897427831779</v>
      </c>
      <c r="P236">
        <v>1360.45</v>
      </c>
      <c r="Q236">
        <v>8162.7000000000007</v>
      </c>
    </row>
    <row r="237" spans="1:17" x14ac:dyDescent="0.25">
      <c r="A237" t="s">
        <v>243</v>
      </c>
      <c r="B237" t="str">
        <f>MID(Table1[[#This Row],[Order_ID]],2,5)</f>
        <v>RD123</v>
      </c>
      <c r="C237" s="1">
        <v>45409</v>
      </c>
      <c r="D237" t="s">
        <v>512</v>
      </c>
      <c r="E237" t="s">
        <v>515</v>
      </c>
      <c r="F237" t="str">
        <f>LOWER(Table1[[#This Row],[City]])</f>
        <v>kolkata</v>
      </c>
      <c r="G237" t="str">
        <f>UPPER(Table1[[#This Row],[City]])</f>
        <v>KOLKATA</v>
      </c>
      <c r="H237" t="str">
        <f>PROPER(Table1[[#This Row],[City]])</f>
        <v>Kolkata</v>
      </c>
      <c r="I237" t="str">
        <f t="shared" si="9"/>
        <v>Trendz _ Kolkata</v>
      </c>
      <c r="J237" t="s">
        <v>520</v>
      </c>
      <c r="K237">
        <f t="shared" si="10"/>
        <v>11</v>
      </c>
      <c r="L237" t="str">
        <f>LEFT(Table1[[#This Row],[Category]],3)</f>
        <v>Ele</v>
      </c>
      <c r="M237">
        <v>6</v>
      </c>
      <c r="N237" s="4" t="str">
        <f t="shared" si="11"/>
        <v>normal order</v>
      </c>
      <c r="O237">
        <f>SQRT(Table1[[#This Row],[Quantity]])</f>
        <v>2.4494897427831779</v>
      </c>
      <c r="P237">
        <v>1750.81</v>
      </c>
      <c r="Q237">
        <v>10504.86</v>
      </c>
    </row>
    <row r="238" spans="1:17" x14ac:dyDescent="0.25">
      <c r="A238" t="s">
        <v>244</v>
      </c>
      <c r="B238" t="str">
        <f>MID(Table1[[#This Row],[Order_ID]],2,5)</f>
        <v>RD123</v>
      </c>
      <c r="C238" s="1">
        <v>45326</v>
      </c>
      <c r="D238" t="s">
        <v>512</v>
      </c>
      <c r="E238" t="s">
        <v>516</v>
      </c>
      <c r="F238" t="str">
        <f>LOWER(Table1[[#This Row],[City]])</f>
        <v>chennai</v>
      </c>
      <c r="G238" t="str">
        <f>UPPER(Table1[[#This Row],[City]])</f>
        <v>CHENNAI</v>
      </c>
      <c r="H238" t="str">
        <f>PROPER(Table1[[#This Row],[City]])</f>
        <v>Chennai</v>
      </c>
      <c r="I238" t="str">
        <f t="shared" si="9"/>
        <v>Trendz _ Chennai</v>
      </c>
      <c r="J238" t="s">
        <v>523</v>
      </c>
      <c r="K238">
        <f t="shared" si="10"/>
        <v>14</v>
      </c>
      <c r="L238" t="str">
        <f>LEFT(Table1[[#This Row],[Category]],3)</f>
        <v>Hom</v>
      </c>
      <c r="M238">
        <v>12</v>
      </c>
      <c r="N238" s="4" t="str">
        <f t="shared" si="11"/>
        <v>bulk order</v>
      </c>
      <c r="O238">
        <f>SQRT(Table1[[#This Row],[Quantity]])</f>
        <v>3.4641016151377544</v>
      </c>
      <c r="P238">
        <v>527.23</v>
      </c>
      <c r="Q238">
        <v>6326.76</v>
      </c>
    </row>
    <row r="239" spans="1:17" x14ac:dyDescent="0.25">
      <c r="A239" t="s">
        <v>245</v>
      </c>
      <c r="B239" t="str">
        <f>MID(Table1[[#This Row],[Order_ID]],2,5)</f>
        <v>RD123</v>
      </c>
      <c r="C239" s="1">
        <v>45308</v>
      </c>
      <c r="D239" t="s">
        <v>509</v>
      </c>
      <c r="E239" t="s">
        <v>513</v>
      </c>
      <c r="F239" t="str">
        <f>LOWER(Table1[[#This Row],[City]])</f>
        <v>bangalore</v>
      </c>
      <c r="G239" t="str">
        <f>UPPER(Table1[[#This Row],[City]])</f>
        <v>BANGALORE</v>
      </c>
      <c r="H239" t="str">
        <f>PROPER(Table1[[#This Row],[City]])</f>
        <v>Bangalore</v>
      </c>
      <c r="I239" t="str">
        <f t="shared" si="9"/>
        <v>CityStore _ Bangalore</v>
      </c>
      <c r="J239" t="s">
        <v>520</v>
      </c>
      <c r="K239">
        <f t="shared" si="10"/>
        <v>11</v>
      </c>
      <c r="L239" t="str">
        <f>LEFT(Table1[[#This Row],[Category]],3)</f>
        <v>Ele</v>
      </c>
      <c r="M239">
        <v>17</v>
      </c>
      <c r="N239" s="4" t="str">
        <f t="shared" si="11"/>
        <v>bulk order</v>
      </c>
      <c r="O239">
        <f>SQRT(Table1[[#This Row],[Quantity]])</f>
        <v>4.1231056256176606</v>
      </c>
      <c r="P239">
        <v>136.26</v>
      </c>
      <c r="Q239">
        <v>2316.42</v>
      </c>
    </row>
    <row r="240" spans="1:17" x14ac:dyDescent="0.25">
      <c r="A240" t="s">
        <v>246</v>
      </c>
      <c r="B240" t="str">
        <f>MID(Table1[[#This Row],[Order_ID]],2,5)</f>
        <v>RD123</v>
      </c>
      <c r="C240" s="1">
        <v>45461</v>
      </c>
      <c r="D240" t="s">
        <v>511</v>
      </c>
      <c r="E240" t="s">
        <v>518</v>
      </c>
      <c r="F240" t="str">
        <f>LOWER(Table1[[#This Row],[City]])</f>
        <v>pune</v>
      </c>
      <c r="G240" t="str">
        <f>UPPER(Table1[[#This Row],[City]])</f>
        <v>PUNE</v>
      </c>
      <c r="H240" t="str">
        <f>PROPER(Table1[[#This Row],[City]])</f>
        <v>Pune</v>
      </c>
      <c r="I240" t="str">
        <f t="shared" si="9"/>
        <v>MegaMart _ Pune</v>
      </c>
      <c r="J240" t="s">
        <v>523</v>
      </c>
      <c r="K240">
        <f t="shared" si="10"/>
        <v>14</v>
      </c>
      <c r="L240" t="str">
        <f>LEFT(Table1[[#This Row],[Category]],3)</f>
        <v>Hom</v>
      </c>
      <c r="M240">
        <v>8</v>
      </c>
      <c r="N240" s="4" t="str">
        <f t="shared" si="11"/>
        <v>normal order</v>
      </c>
      <c r="O240">
        <f>SQRT(Table1[[#This Row],[Quantity]])</f>
        <v>2.8284271247461903</v>
      </c>
      <c r="P240">
        <v>905.98</v>
      </c>
      <c r="Q240">
        <v>7247.84</v>
      </c>
    </row>
    <row r="241" spans="1:17" x14ac:dyDescent="0.25">
      <c r="A241" t="s">
        <v>247</v>
      </c>
      <c r="B241" t="str">
        <f>MID(Table1[[#This Row],[Order_ID]],2,5)</f>
        <v>RD123</v>
      </c>
      <c r="C241" s="1">
        <v>45328</v>
      </c>
      <c r="D241" t="s">
        <v>510</v>
      </c>
      <c r="E241" t="s">
        <v>517</v>
      </c>
      <c r="F241" t="str">
        <f>LOWER(Table1[[#This Row],[City]])</f>
        <v>hyderabad</v>
      </c>
      <c r="G241" t="str">
        <f>UPPER(Table1[[#This Row],[City]])</f>
        <v>HYDERABAD</v>
      </c>
      <c r="H241" t="str">
        <f>PROPER(Table1[[#This Row],[City]])</f>
        <v>Hyderabad</v>
      </c>
      <c r="I241" t="str">
        <f t="shared" si="9"/>
        <v>QuickBuy _ Hyderabad</v>
      </c>
      <c r="J241" t="s">
        <v>520</v>
      </c>
      <c r="K241">
        <f t="shared" si="10"/>
        <v>11</v>
      </c>
      <c r="L241" t="str">
        <f>LEFT(Table1[[#This Row],[Category]],3)</f>
        <v>Ele</v>
      </c>
      <c r="M241">
        <v>4</v>
      </c>
      <c r="N241" s="4" t="str">
        <f t="shared" si="11"/>
        <v>normal order</v>
      </c>
      <c r="O241">
        <f>SQRT(Table1[[#This Row],[Quantity]])</f>
        <v>2</v>
      </c>
      <c r="P241">
        <v>1102.53</v>
      </c>
      <c r="Q241">
        <v>4410.12</v>
      </c>
    </row>
    <row r="242" spans="1:17" x14ac:dyDescent="0.25">
      <c r="A242" t="s">
        <v>248</v>
      </c>
      <c r="B242" t="str">
        <f>MID(Table1[[#This Row],[Order_ID]],2,5)</f>
        <v>RD124</v>
      </c>
      <c r="C242" s="1">
        <v>45555</v>
      </c>
      <c r="D242" t="s">
        <v>509</v>
      </c>
      <c r="E242" t="s">
        <v>519</v>
      </c>
      <c r="F242" t="str">
        <f>LOWER(Table1[[#This Row],[City]])</f>
        <v>mumbai</v>
      </c>
      <c r="G242" t="str">
        <f>UPPER(Table1[[#This Row],[City]])</f>
        <v>MUMBAI</v>
      </c>
      <c r="H242" t="str">
        <f>PROPER(Table1[[#This Row],[City]])</f>
        <v>Mumbai</v>
      </c>
      <c r="I242" t="str">
        <f t="shared" si="9"/>
        <v>CityStore _ Mumbai</v>
      </c>
      <c r="J242" t="s">
        <v>525</v>
      </c>
      <c r="K242">
        <f t="shared" si="10"/>
        <v>9</v>
      </c>
      <c r="L242" t="str">
        <f>LEFT(Table1[[#This Row],[Category]],3)</f>
        <v>Gro</v>
      </c>
      <c r="M242">
        <v>7</v>
      </c>
      <c r="N242" s="4" t="str">
        <f t="shared" si="11"/>
        <v>normal order</v>
      </c>
      <c r="O242">
        <f>SQRT(Table1[[#This Row],[Quantity]])</f>
        <v>2.6457513110645907</v>
      </c>
      <c r="P242">
        <v>1521.05</v>
      </c>
      <c r="Q242">
        <v>10647.35</v>
      </c>
    </row>
    <row r="243" spans="1:17" x14ac:dyDescent="0.25">
      <c r="A243" t="s">
        <v>249</v>
      </c>
      <c r="B243" t="str">
        <f>MID(Table1[[#This Row],[Order_ID]],2,5)</f>
        <v>RD124</v>
      </c>
      <c r="C243" s="1">
        <v>45413</v>
      </c>
      <c r="D243" t="s">
        <v>511</v>
      </c>
      <c r="E243" t="s">
        <v>514</v>
      </c>
      <c r="F243" t="str">
        <f>LOWER(Table1[[#This Row],[City]])</f>
        <v>delhi</v>
      </c>
      <c r="G243" t="str">
        <f>UPPER(Table1[[#This Row],[City]])</f>
        <v>DELHI</v>
      </c>
      <c r="H243" t="str">
        <f>PROPER(Table1[[#This Row],[City]])</f>
        <v>Delhi</v>
      </c>
      <c r="I243" t="str">
        <f t="shared" si="9"/>
        <v>MegaMart _ Delhi</v>
      </c>
      <c r="J243" t="s">
        <v>524</v>
      </c>
      <c r="K243">
        <f t="shared" si="10"/>
        <v>4</v>
      </c>
      <c r="L243" t="str">
        <f>LEFT(Table1[[#This Row],[Category]],3)</f>
        <v>Toy</v>
      </c>
      <c r="M243">
        <v>5</v>
      </c>
      <c r="N243" s="4" t="str">
        <f t="shared" si="11"/>
        <v>normal order</v>
      </c>
      <c r="O243">
        <f>SQRT(Table1[[#This Row],[Quantity]])</f>
        <v>2.2360679774997898</v>
      </c>
      <c r="P243">
        <v>1563.32</v>
      </c>
      <c r="Q243">
        <v>7816.5999999999995</v>
      </c>
    </row>
    <row r="244" spans="1:17" x14ac:dyDescent="0.25">
      <c r="A244" t="s">
        <v>250</v>
      </c>
      <c r="B244" t="str">
        <f>MID(Table1[[#This Row],[Order_ID]],2,5)</f>
        <v>RD124</v>
      </c>
      <c r="C244" s="1">
        <v>45434</v>
      </c>
      <c r="D244" t="s">
        <v>508</v>
      </c>
      <c r="E244" t="s">
        <v>516</v>
      </c>
      <c r="F244" t="str">
        <f>LOWER(Table1[[#This Row],[City]])</f>
        <v>chennai</v>
      </c>
      <c r="G244" t="str">
        <f>UPPER(Table1[[#This Row],[City]])</f>
        <v>CHENNAI</v>
      </c>
      <c r="H244" t="str">
        <f>PROPER(Table1[[#This Row],[City]])</f>
        <v>Chennai</v>
      </c>
      <c r="I244" t="str">
        <f t="shared" si="9"/>
        <v>ValueShop _ Chennai</v>
      </c>
      <c r="J244" t="s">
        <v>523</v>
      </c>
      <c r="K244">
        <f t="shared" si="10"/>
        <v>14</v>
      </c>
      <c r="L244" t="str">
        <f>LEFT(Table1[[#This Row],[Category]],3)</f>
        <v>Hom</v>
      </c>
      <c r="M244">
        <v>8</v>
      </c>
      <c r="N244" s="4" t="str">
        <f t="shared" si="11"/>
        <v>normal order</v>
      </c>
      <c r="O244">
        <f>SQRT(Table1[[#This Row],[Quantity]])</f>
        <v>2.8284271247461903</v>
      </c>
      <c r="P244">
        <v>323.26</v>
      </c>
      <c r="Q244">
        <v>2586.08</v>
      </c>
    </row>
    <row r="245" spans="1:17" x14ac:dyDescent="0.25">
      <c r="A245" t="s">
        <v>251</v>
      </c>
      <c r="B245" t="str">
        <f>MID(Table1[[#This Row],[Order_ID]],2,5)</f>
        <v>RD124</v>
      </c>
      <c r="C245" s="1">
        <v>45634</v>
      </c>
      <c r="D245" t="s">
        <v>510</v>
      </c>
      <c r="E245" t="s">
        <v>513</v>
      </c>
      <c r="F245" t="str">
        <f>LOWER(Table1[[#This Row],[City]])</f>
        <v>bangalore</v>
      </c>
      <c r="G245" t="str">
        <f>UPPER(Table1[[#This Row],[City]])</f>
        <v>BANGALORE</v>
      </c>
      <c r="H245" t="str">
        <f>PROPER(Table1[[#This Row],[City]])</f>
        <v>Bangalore</v>
      </c>
      <c r="I245" t="str">
        <f t="shared" si="9"/>
        <v>QuickBuy _ Bangalore</v>
      </c>
      <c r="J245" t="s">
        <v>524</v>
      </c>
      <c r="K245">
        <f t="shared" si="10"/>
        <v>4</v>
      </c>
      <c r="L245" t="str">
        <f>LEFT(Table1[[#This Row],[Category]],3)</f>
        <v>Toy</v>
      </c>
      <c r="M245">
        <v>16</v>
      </c>
      <c r="N245" s="4" t="str">
        <f t="shared" si="11"/>
        <v>bulk order</v>
      </c>
      <c r="O245">
        <f>SQRT(Table1[[#This Row],[Quantity]])</f>
        <v>4</v>
      </c>
      <c r="P245">
        <v>1987.29</v>
      </c>
      <c r="Q245">
        <v>31796.639999999999</v>
      </c>
    </row>
    <row r="246" spans="1:17" x14ac:dyDescent="0.25">
      <c r="A246" t="s">
        <v>252</v>
      </c>
      <c r="B246" t="str">
        <f>MID(Table1[[#This Row],[Order_ID]],2,5)</f>
        <v>RD124</v>
      </c>
      <c r="C246" s="1">
        <v>45540</v>
      </c>
      <c r="D246" t="s">
        <v>511</v>
      </c>
      <c r="E246" t="s">
        <v>517</v>
      </c>
      <c r="F246" t="str">
        <f>LOWER(Table1[[#This Row],[City]])</f>
        <v>hyderabad</v>
      </c>
      <c r="G246" t="str">
        <f>UPPER(Table1[[#This Row],[City]])</f>
        <v>HYDERABAD</v>
      </c>
      <c r="H246" t="str">
        <f>PROPER(Table1[[#This Row],[City]])</f>
        <v>Hyderabad</v>
      </c>
      <c r="I246" t="str">
        <f t="shared" si="9"/>
        <v>MegaMart _ Hyderabad</v>
      </c>
      <c r="J246" t="s">
        <v>523</v>
      </c>
      <c r="K246">
        <f t="shared" si="10"/>
        <v>14</v>
      </c>
      <c r="L246" t="str">
        <f>LEFT(Table1[[#This Row],[Category]],3)</f>
        <v>Hom</v>
      </c>
      <c r="M246">
        <v>1</v>
      </c>
      <c r="N246" s="4" t="str">
        <f t="shared" si="11"/>
        <v>normal order</v>
      </c>
      <c r="O246">
        <f>SQRT(Table1[[#This Row],[Quantity]])</f>
        <v>1</v>
      </c>
      <c r="P246">
        <v>506.61</v>
      </c>
      <c r="Q246">
        <v>506.61</v>
      </c>
    </row>
    <row r="247" spans="1:17" x14ac:dyDescent="0.25">
      <c r="A247" t="s">
        <v>253</v>
      </c>
      <c r="B247" t="str">
        <f>MID(Table1[[#This Row],[Order_ID]],2,5)</f>
        <v>RD124</v>
      </c>
      <c r="C247" s="1">
        <v>45401</v>
      </c>
      <c r="D247" t="s">
        <v>510</v>
      </c>
      <c r="E247" t="s">
        <v>513</v>
      </c>
      <c r="F247" t="str">
        <f>LOWER(Table1[[#This Row],[City]])</f>
        <v>bangalore</v>
      </c>
      <c r="G247" t="str">
        <f>UPPER(Table1[[#This Row],[City]])</f>
        <v>BANGALORE</v>
      </c>
      <c r="H247" t="str">
        <f>PROPER(Table1[[#This Row],[City]])</f>
        <v>Bangalore</v>
      </c>
      <c r="I247" t="str">
        <f t="shared" si="9"/>
        <v>QuickBuy _ Bangalore</v>
      </c>
      <c r="J247" t="s">
        <v>522</v>
      </c>
      <c r="K247">
        <f t="shared" si="10"/>
        <v>5</v>
      </c>
      <c r="L247" t="str">
        <f>LEFT(Table1[[#This Row],[Category]],3)</f>
        <v>Boo</v>
      </c>
      <c r="M247">
        <v>12</v>
      </c>
      <c r="N247" s="4" t="str">
        <f t="shared" si="11"/>
        <v>bulk order</v>
      </c>
      <c r="O247">
        <f>SQRT(Table1[[#This Row],[Quantity]])</f>
        <v>3.4641016151377544</v>
      </c>
      <c r="P247">
        <v>1836.97</v>
      </c>
      <c r="Q247">
        <v>22043.64</v>
      </c>
    </row>
    <row r="248" spans="1:17" x14ac:dyDescent="0.25">
      <c r="A248" t="s">
        <v>254</v>
      </c>
      <c r="B248" t="str">
        <f>MID(Table1[[#This Row],[Order_ID]],2,5)</f>
        <v>RD124</v>
      </c>
      <c r="C248" s="1">
        <v>45568</v>
      </c>
      <c r="D248" t="s">
        <v>511</v>
      </c>
      <c r="E248" t="s">
        <v>518</v>
      </c>
      <c r="F248" t="str">
        <f>LOWER(Table1[[#This Row],[City]])</f>
        <v>pune</v>
      </c>
      <c r="G248" t="str">
        <f>UPPER(Table1[[#This Row],[City]])</f>
        <v>PUNE</v>
      </c>
      <c r="H248" t="str">
        <f>PROPER(Table1[[#This Row],[City]])</f>
        <v>Pune</v>
      </c>
      <c r="I248" t="str">
        <f t="shared" si="9"/>
        <v>MegaMart _ Pune</v>
      </c>
      <c r="J248" t="s">
        <v>522</v>
      </c>
      <c r="K248">
        <f t="shared" si="10"/>
        <v>5</v>
      </c>
      <c r="L248" t="str">
        <f>LEFT(Table1[[#This Row],[Category]],3)</f>
        <v>Boo</v>
      </c>
      <c r="M248">
        <v>18</v>
      </c>
      <c r="N248" s="4" t="str">
        <f t="shared" si="11"/>
        <v>bulk order</v>
      </c>
      <c r="O248">
        <f>SQRT(Table1[[#This Row],[Quantity]])</f>
        <v>4.2426406871192848</v>
      </c>
      <c r="P248">
        <v>1173.42</v>
      </c>
      <c r="Q248">
        <v>21121.56</v>
      </c>
    </row>
    <row r="249" spans="1:17" x14ac:dyDescent="0.25">
      <c r="A249" t="s">
        <v>255</v>
      </c>
      <c r="B249" t="str">
        <f>MID(Table1[[#This Row],[Order_ID]],2,5)</f>
        <v>RD124</v>
      </c>
      <c r="C249" s="1">
        <v>45359</v>
      </c>
      <c r="D249" t="s">
        <v>508</v>
      </c>
      <c r="E249" t="s">
        <v>516</v>
      </c>
      <c r="F249" t="str">
        <f>LOWER(Table1[[#This Row],[City]])</f>
        <v>chennai</v>
      </c>
      <c r="G249" t="str">
        <f>UPPER(Table1[[#This Row],[City]])</f>
        <v>CHENNAI</v>
      </c>
      <c r="H249" t="str">
        <f>PROPER(Table1[[#This Row],[City]])</f>
        <v>Chennai</v>
      </c>
      <c r="I249" t="str">
        <f t="shared" si="9"/>
        <v>ValueShop _ Chennai</v>
      </c>
      <c r="J249" t="s">
        <v>523</v>
      </c>
      <c r="K249">
        <f t="shared" si="10"/>
        <v>14</v>
      </c>
      <c r="L249" t="str">
        <f>LEFT(Table1[[#This Row],[Category]],3)</f>
        <v>Hom</v>
      </c>
      <c r="M249">
        <v>19</v>
      </c>
      <c r="N249" s="4" t="str">
        <f t="shared" si="11"/>
        <v>bulk order</v>
      </c>
      <c r="O249">
        <f>SQRT(Table1[[#This Row],[Quantity]])</f>
        <v>4.358898943540674</v>
      </c>
      <c r="P249">
        <v>1176.08</v>
      </c>
      <c r="Q249">
        <v>22345.52</v>
      </c>
    </row>
    <row r="250" spans="1:17" x14ac:dyDescent="0.25">
      <c r="A250" t="s">
        <v>256</v>
      </c>
      <c r="B250" t="str">
        <f>MID(Table1[[#This Row],[Order_ID]],2,5)</f>
        <v>RD124</v>
      </c>
      <c r="C250" s="1">
        <v>45584</v>
      </c>
      <c r="D250" t="s">
        <v>510</v>
      </c>
      <c r="E250" t="s">
        <v>518</v>
      </c>
      <c r="F250" t="str">
        <f>LOWER(Table1[[#This Row],[City]])</f>
        <v>pune</v>
      </c>
      <c r="G250" t="str">
        <f>UPPER(Table1[[#This Row],[City]])</f>
        <v>PUNE</v>
      </c>
      <c r="H250" t="str">
        <f>PROPER(Table1[[#This Row],[City]])</f>
        <v>Pune</v>
      </c>
      <c r="I250" t="str">
        <f t="shared" si="9"/>
        <v>QuickBuy _ Pune</v>
      </c>
      <c r="J250" t="s">
        <v>525</v>
      </c>
      <c r="K250">
        <f t="shared" si="10"/>
        <v>9</v>
      </c>
      <c r="L250" t="str">
        <f>LEFT(Table1[[#This Row],[Category]],3)</f>
        <v>Gro</v>
      </c>
      <c r="M250">
        <v>12</v>
      </c>
      <c r="N250" s="4" t="str">
        <f t="shared" si="11"/>
        <v>bulk order</v>
      </c>
      <c r="O250">
        <f>SQRT(Table1[[#This Row],[Quantity]])</f>
        <v>3.4641016151377544</v>
      </c>
      <c r="P250">
        <v>1556.45</v>
      </c>
      <c r="Q250">
        <v>18677.400000000001</v>
      </c>
    </row>
    <row r="251" spans="1:17" x14ac:dyDescent="0.25">
      <c r="A251" t="s">
        <v>257</v>
      </c>
      <c r="B251" t="str">
        <f>MID(Table1[[#This Row],[Order_ID]],2,5)</f>
        <v>RD124</v>
      </c>
      <c r="C251" s="1">
        <v>45587</v>
      </c>
      <c r="D251" t="s">
        <v>512</v>
      </c>
      <c r="E251" t="s">
        <v>513</v>
      </c>
      <c r="F251" t="str">
        <f>LOWER(Table1[[#This Row],[City]])</f>
        <v>bangalore</v>
      </c>
      <c r="G251" t="str">
        <f>UPPER(Table1[[#This Row],[City]])</f>
        <v>BANGALORE</v>
      </c>
      <c r="H251" t="str">
        <f>PROPER(Table1[[#This Row],[City]])</f>
        <v>Bangalore</v>
      </c>
      <c r="I251" t="str">
        <f t="shared" si="9"/>
        <v>Trendz _ Bangalore</v>
      </c>
      <c r="J251" t="s">
        <v>520</v>
      </c>
      <c r="K251">
        <f t="shared" si="10"/>
        <v>11</v>
      </c>
      <c r="L251" t="str">
        <f>LEFT(Table1[[#This Row],[Category]],3)</f>
        <v>Ele</v>
      </c>
      <c r="M251">
        <v>15</v>
      </c>
      <c r="N251" s="4" t="str">
        <f t="shared" si="11"/>
        <v>bulk order</v>
      </c>
      <c r="O251">
        <f>SQRT(Table1[[#This Row],[Quantity]])</f>
        <v>3.872983346207417</v>
      </c>
      <c r="P251">
        <v>1645.85</v>
      </c>
      <c r="Q251">
        <v>24687.75</v>
      </c>
    </row>
    <row r="252" spans="1:17" x14ac:dyDescent="0.25">
      <c r="A252" t="s">
        <v>258</v>
      </c>
      <c r="B252" t="str">
        <f>MID(Table1[[#This Row],[Order_ID]],2,5)</f>
        <v>RD125</v>
      </c>
      <c r="C252" s="1">
        <v>45534</v>
      </c>
      <c r="D252" t="s">
        <v>508</v>
      </c>
      <c r="E252" t="s">
        <v>516</v>
      </c>
      <c r="F252" t="str">
        <f>LOWER(Table1[[#This Row],[City]])</f>
        <v>chennai</v>
      </c>
      <c r="G252" t="str">
        <f>UPPER(Table1[[#This Row],[City]])</f>
        <v>CHENNAI</v>
      </c>
      <c r="H252" t="str">
        <f>PROPER(Table1[[#This Row],[City]])</f>
        <v>Chennai</v>
      </c>
      <c r="I252" t="str">
        <f t="shared" si="9"/>
        <v>ValueShop _ Chennai</v>
      </c>
      <c r="J252" t="s">
        <v>523</v>
      </c>
      <c r="K252">
        <f t="shared" si="10"/>
        <v>14</v>
      </c>
      <c r="L252" t="str">
        <f>LEFT(Table1[[#This Row],[Category]],3)</f>
        <v>Hom</v>
      </c>
      <c r="M252">
        <v>18</v>
      </c>
      <c r="N252" s="4" t="str">
        <f t="shared" si="11"/>
        <v>bulk order</v>
      </c>
      <c r="O252">
        <f>SQRT(Table1[[#This Row],[Quantity]])</f>
        <v>4.2426406871192848</v>
      </c>
      <c r="P252">
        <v>511.96</v>
      </c>
      <c r="Q252">
        <v>9215.2799999999988</v>
      </c>
    </row>
    <row r="253" spans="1:17" x14ac:dyDescent="0.25">
      <c r="A253" t="s">
        <v>259</v>
      </c>
      <c r="B253" t="str">
        <f>MID(Table1[[#This Row],[Order_ID]],2,5)</f>
        <v>RD125</v>
      </c>
      <c r="C253" s="1">
        <v>45416</v>
      </c>
      <c r="D253" t="s">
        <v>511</v>
      </c>
      <c r="E253" t="s">
        <v>515</v>
      </c>
      <c r="F253" t="str">
        <f>LOWER(Table1[[#This Row],[City]])</f>
        <v>kolkata</v>
      </c>
      <c r="G253" t="str">
        <f>UPPER(Table1[[#This Row],[City]])</f>
        <v>KOLKATA</v>
      </c>
      <c r="H253" t="str">
        <f>PROPER(Table1[[#This Row],[City]])</f>
        <v>Kolkata</v>
      </c>
      <c r="I253" t="str">
        <f t="shared" si="9"/>
        <v>MegaMart _ Kolkata</v>
      </c>
      <c r="J253" t="s">
        <v>520</v>
      </c>
      <c r="K253">
        <f t="shared" si="10"/>
        <v>11</v>
      </c>
      <c r="L253" t="str">
        <f>LEFT(Table1[[#This Row],[Category]],3)</f>
        <v>Ele</v>
      </c>
      <c r="M253">
        <v>5</v>
      </c>
      <c r="N253" s="4" t="str">
        <f t="shared" si="11"/>
        <v>normal order</v>
      </c>
      <c r="O253">
        <f>SQRT(Table1[[#This Row],[Quantity]])</f>
        <v>2.2360679774997898</v>
      </c>
      <c r="P253">
        <v>1758.7</v>
      </c>
      <c r="Q253">
        <v>8793.5</v>
      </c>
    </row>
    <row r="254" spans="1:17" x14ac:dyDescent="0.25">
      <c r="A254" t="s">
        <v>260</v>
      </c>
      <c r="B254" t="str">
        <f>MID(Table1[[#This Row],[Order_ID]],2,5)</f>
        <v>RD125</v>
      </c>
      <c r="C254" s="1">
        <v>45534</v>
      </c>
      <c r="D254" t="s">
        <v>510</v>
      </c>
      <c r="E254" t="s">
        <v>513</v>
      </c>
      <c r="F254" t="str">
        <f>LOWER(Table1[[#This Row],[City]])</f>
        <v>bangalore</v>
      </c>
      <c r="G254" t="str">
        <f>UPPER(Table1[[#This Row],[City]])</f>
        <v>BANGALORE</v>
      </c>
      <c r="H254" t="str">
        <f>PROPER(Table1[[#This Row],[City]])</f>
        <v>Bangalore</v>
      </c>
      <c r="I254" t="str">
        <f t="shared" si="9"/>
        <v>QuickBuy _ Bangalore</v>
      </c>
      <c r="J254" t="s">
        <v>525</v>
      </c>
      <c r="K254">
        <f t="shared" si="10"/>
        <v>9</v>
      </c>
      <c r="L254" t="str">
        <f>LEFT(Table1[[#This Row],[Category]],3)</f>
        <v>Gro</v>
      </c>
      <c r="M254">
        <v>20</v>
      </c>
      <c r="N254" s="4" t="str">
        <f t="shared" si="11"/>
        <v>bulk order</v>
      </c>
      <c r="O254">
        <f>SQRT(Table1[[#This Row],[Quantity]])</f>
        <v>4.4721359549995796</v>
      </c>
      <c r="P254">
        <v>1972.11</v>
      </c>
      <c r="Q254">
        <v>39442.199999999997</v>
      </c>
    </row>
    <row r="255" spans="1:17" x14ac:dyDescent="0.25">
      <c r="A255" t="s">
        <v>261</v>
      </c>
      <c r="B255" t="str">
        <f>MID(Table1[[#This Row],[Order_ID]],2,5)</f>
        <v>RD125</v>
      </c>
      <c r="C255" s="1">
        <v>45500</v>
      </c>
      <c r="D255" t="s">
        <v>508</v>
      </c>
      <c r="E255" t="s">
        <v>519</v>
      </c>
      <c r="F255" t="str">
        <f>LOWER(Table1[[#This Row],[City]])</f>
        <v>mumbai</v>
      </c>
      <c r="G255" t="str">
        <f>UPPER(Table1[[#This Row],[City]])</f>
        <v>MUMBAI</v>
      </c>
      <c r="H255" t="str">
        <f>PROPER(Table1[[#This Row],[City]])</f>
        <v>Mumbai</v>
      </c>
      <c r="I255" t="str">
        <f t="shared" si="9"/>
        <v>ValueShop _ Mumbai</v>
      </c>
      <c r="J255" t="s">
        <v>521</v>
      </c>
      <c r="K255">
        <f t="shared" si="10"/>
        <v>8</v>
      </c>
      <c r="L255" t="str">
        <f>LEFT(Table1[[#This Row],[Category]],3)</f>
        <v>Clo</v>
      </c>
      <c r="M255">
        <v>3</v>
      </c>
      <c r="N255" s="4" t="str">
        <f t="shared" si="11"/>
        <v>normal order</v>
      </c>
      <c r="O255">
        <f>SQRT(Table1[[#This Row],[Quantity]])</f>
        <v>1.7320508075688772</v>
      </c>
      <c r="P255">
        <v>1066.44</v>
      </c>
      <c r="Q255">
        <v>3199.32</v>
      </c>
    </row>
    <row r="256" spans="1:17" x14ac:dyDescent="0.25">
      <c r="A256" t="s">
        <v>262</v>
      </c>
      <c r="B256" t="str">
        <f>MID(Table1[[#This Row],[Order_ID]],2,5)</f>
        <v>RD125</v>
      </c>
      <c r="C256" s="1">
        <v>45389</v>
      </c>
      <c r="D256" t="s">
        <v>511</v>
      </c>
      <c r="E256" t="s">
        <v>516</v>
      </c>
      <c r="F256" t="str">
        <f>LOWER(Table1[[#This Row],[City]])</f>
        <v>chennai</v>
      </c>
      <c r="G256" t="str">
        <f>UPPER(Table1[[#This Row],[City]])</f>
        <v>CHENNAI</v>
      </c>
      <c r="H256" t="str">
        <f>PROPER(Table1[[#This Row],[City]])</f>
        <v>Chennai</v>
      </c>
      <c r="I256" t="str">
        <f t="shared" si="9"/>
        <v>MegaMart _ Chennai</v>
      </c>
      <c r="J256" t="s">
        <v>524</v>
      </c>
      <c r="K256">
        <f t="shared" si="10"/>
        <v>4</v>
      </c>
      <c r="L256" t="str">
        <f>LEFT(Table1[[#This Row],[Category]],3)</f>
        <v>Toy</v>
      </c>
      <c r="M256">
        <v>3</v>
      </c>
      <c r="N256" s="4" t="str">
        <f t="shared" si="11"/>
        <v>normal order</v>
      </c>
      <c r="O256">
        <f>SQRT(Table1[[#This Row],[Quantity]])</f>
        <v>1.7320508075688772</v>
      </c>
      <c r="P256">
        <v>856.44</v>
      </c>
      <c r="Q256">
        <v>2569.3200000000002</v>
      </c>
    </row>
    <row r="257" spans="1:17" x14ac:dyDescent="0.25">
      <c r="A257" t="s">
        <v>263</v>
      </c>
      <c r="B257" t="str">
        <f>MID(Table1[[#This Row],[Order_ID]],2,5)</f>
        <v>RD125</v>
      </c>
      <c r="C257" s="1">
        <v>45340</v>
      </c>
      <c r="D257" t="s">
        <v>512</v>
      </c>
      <c r="E257" t="s">
        <v>515</v>
      </c>
      <c r="F257" t="str">
        <f>LOWER(Table1[[#This Row],[City]])</f>
        <v>kolkata</v>
      </c>
      <c r="G257" t="str">
        <f>UPPER(Table1[[#This Row],[City]])</f>
        <v>KOLKATA</v>
      </c>
      <c r="H257" t="str">
        <f>PROPER(Table1[[#This Row],[City]])</f>
        <v>Kolkata</v>
      </c>
      <c r="I257" t="str">
        <f t="shared" si="9"/>
        <v>Trendz _ Kolkata</v>
      </c>
      <c r="J257" t="s">
        <v>523</v>
      </c>
      <c r="K257">
        <f t="shared" si="10"/>
        <v>14</v>
      </c>
      <c r="L257" t="str">
        <f>LEFT(Table1[[#This Row],[Category]],3)</f>
        <v>Hom</v>
      </c>
      <c r="M257">
        <v>10</v>
      </c>
      <c r="N257" s="4" t="str">
        <f t="shared" si="11"/>
        <v>normal order</v>
      </c>
      <c r="O257">
        <f>SQRT(Table1[[#This Row],[Quantity]])</f>
        <v>3.1622776601683795</v>
      </c>
      <c r="P257">
        <v>586.54999999999995</v>
      </c>
      <c r="Q257">
        <v>5865.5</v>
      </c>
    </row>
    <row r="258" spans="1:17" x14ac:dyDescent="0.25">
      <c r="A258" t="s">
        <v>264</v>
      </c>
      <c r="B258" t="str">
        <f>MID(Table1[[#This Row],[Order_ID]],2,5)</f>
        <v>RD125</v>
      </c>
      <c r="C258" s="1">
        <v>45341</v>
      </c>
      <c r="D258" t="s">
        <v>512</v>
      </c>
      <c r="E258" t="s">
        <v>516</v>
      </c>
      <c r="F258" t="str">
        <f>LOWER(Table1[[#This Row],[City]])</f>
        <v>chennai</v>
      </c>
      <c r="G258" t="str">
        <f>UPPER(Table1[[#This Row],[City]])</f>
        <v>CHENNAI</v>
      </c>
      <c r="H258" t="str">
        <f>PROPER(Table1[[#This Row],[City]])</f>
        <v>Chennai</v>
      </c>
      <c r="I258" t="str">
        <f t="shared" ref="I258:I321" si="12">CONCATENATE(D258," _ ",E258)</f>
        <v>Trendz _ Chennai</v>
      </c>
      <c r="J258" t="s">
        <v>522</v>
      </c>
      <c r="K258">
        <f t="shared" ref="K258:K321" si="13">LEN(J258)</f>
        <v>5</v>
      </c>
      <c r="L258" t="str">
        <f>LEFT(Table1[[#This Row],[Category]],3)</f>
        <v>Boo</v>
      </c>
      <c r="M258">
        <v>13</v>
      </c>
      <c r="N258" s="4" t="str">
        <f t="shared" si="11"/>
        <v>bulk order</v>
      </c>
      <c r="O258">
        <f>SQRT(Table1[[#This Row],[Quantity]])</f>
        <v>3.6055512754639891</v>
      </c>
      <c r="P258">
        <v>1135.5999999999999</v>
      </c>
      <c r="Q258">
        <v>14762.8</v>
      </c>
    </row>
    <row r="259" spans="1:17" x14ac:dyDescent="0.25">
      <c r="A259" t="s">
        <v>265</v>
      </c>
      <c r="B259" t="str">
        <f>MID(Table1[[#This Row],[Order_ID]],2,5)</f>
        <v>RD125</v>
      </c>
      <c r="C259" s="1">
        <v>45629</v>
      </c>
      <c r="D259" t="s">
        <v>511</v>
      </c>
      <c r="E259" t="s">
        <v>514</v>
      </c>
      <c r="F259" t="str">
        <f>LOWER(Table1[[#This Row],[City]])</f>
        <v>delhi</v>
      </c>
      <c r="G259" t="str">
        <f>UPPER(Table1[[#This Row],[City]])</f>
        <v>DELHI</v>
      </c>
      <c r="H259" t="str">
        <f>PROPER(Table1[[#This Row],[City]])</f>
        <v>Delhi</v>
      </c>
      <c r="I259" t="str">
        <f t="shared" si="12"/>
        <v>MegaMart _ Delhi</v>
      </c>
      <c r="J259" t="s">
        <v>525</v>
      </c>
      <c r="K259">
        <f t="shared" si="13"/>
        <v>9</v>
      </c>
      <c r="L259" t="str">
        <f>LEFT(Table1[[#This Row],[Category]],3)</f>
        <v>Gro</v>
      </c>
      <c r="M259">
        <v>16</v>
      </c>
      <c r="N259" s="4" t="str">
        <f t="shared" ref="N259:N322" si="14">IF(M259&gt;10,"bulk order","normal order")</f>
        <v>bulk order</v>
      </c>
      <c r="O259">
        <f>SQRT(Table1[[#This Row],[Quantity]])</f>
        <v>4</v>
      </c>
      <c r="P259">
        <v>1203.75</v>
      </c>
      <c r="Q259">
        <v>19260</v>
      </c>
    </row>
    <row r="260" spans="1:17" x14ac:dyDescent="0.25">
      <c r="A260" t="s">
        <v>266</v>
      </c>
      <c r="B260" t="str">
        <f>MID(Table1[[#This Row],[Order_ID]],2,5)</f>
        <v>RD125</v>
      </c>
      <c r="C260" s="1">
        <v>45512</v>
      </c>
      <c r="D260" t="s">
        <v>512</v>
      </c>
      <c r="E260" t="s">
        <v>519</v>
      </c>
      <c r="F260" t="str">
        <f>LOWER(Table1[[#This Row],[City]])</f>
        <v>mumbai</v>
      </c>
      <c r="G260" t="str">
        <f>UPPER(Table1[[#This Row],[City]])</f>
        <v>MUMBAI</v>
      </c>
      <c r="H260" t="str">
        <f>PROPER(Table1[[#This Row],[City]])</f>
        <v>Mumbai</v>
      </c>
      <c r="I260" t="str">
        <f t="shared" si="12"/>
        <v>Trendz _ Mumbai</v>
      </c>
      <c r="J260" t="s">
        <v>520</v>
      </c>
      <c r="K260">
        <f t="shared" si="13"/>
        <v>11</v>
      </c>
      <c r="L260" t="str">
        <f>LEFT(Table1[[#This Row],[Category]],3)</f>
        <v>Ele</v>
      </c>
      <c r="M260">
        <v>17</v>
      </c>
      <c r="N260" s="4" t="str">
        <f t="shared" si="14"/>
        <v>bulk order</v>
      </c>
      <c r="O260">
        <f>SQRT(Table1[[#This Row],[Quantity]])</f>
        <v>4.1231056256176606</v>
      </c>
      <c r="P260">
        <v>1483.66</v>
      </c>
      <c r="Q260">
        <v>25222.22</v>
      </c>
    </row>
    <row r="261" spans="1:17" x14ac:dyDescent="0.25">
      <c r="A261" t="s">
        <v>267</v>
      </c>
      <c r="B261" t="str">
        <f>MID(Table1[[#This Row],[Order_ID]],2,5)</f>
        <v>RD125</v>
      </c>
      <c r="C261" s="1">
        <v>45473</v>
      </c>
      <c r="D261" t="s">
        <v>508</v>
      </c>
      <c r="E261" t="s">
        <v>516</v>
      </c>
      <c r="F261" t="str">
        <f>LOWER(Table1[[#This Row],[City]])</f>
        <v>chennai</v>
      </c>
      <c r="G261" t="str">
        <f>UPPER(Table1[[#This Row],[City]])</f>
        <v>CHENNAI</v>
      </c>
      <c r="H261" t="str">
        <f>PROPER(Table1[[#This Row],[City]])</f>
        <v>Chennai</v>
      </c>
      <c r="I261" t="str">
        <f t="shared" si="12"/>
        <v>ValueShop _ Chennai</v>
      </c>
      <c r="J261" t="s">
        <v>523</v>
      </c>
      <c r="K261">
        <f t="shared" si="13"/>
        <v>14</v>
      </c>
      <c r="L261" t="str">
        <f>LEFT(Table1[[#This Row],[Category]],3)</f>
        <v>Hom</v>
      </c>
      <c r="M261">
        <v>14</v>
      </c>
      <c r="N261" s="4" t="str">
        <f t="shared" si="14"/>
        <v>bulk order</v>
      </c>
      <c r="O261">
        <f>SQRT(Table1[[#This Row],[Quantity]])</f>
        <v>3.7416573867739413</v>
      </c>
      <c r="P261">
        <v>391.51</v>
      </c>
      <c r="Q261">
        <v>5481.1399999999994</v>
      </c>
    </row>
    <row r="262" spans="1:17" x14ac:dyDescent="0.25">
      <c r="A262" t="s">
        <v>268</v>
      </c>
      <c r="B262" t="str">
        <f>MID(Table1[[#This Row],[Order_ID]],2,5)</f>
        <v>RD126</v>
      </c>
      <c r="C262" s="1">
        <v>45508</v>
      </c>
      <c r="D262" t="s">
        <v>512</v>
      </c>
      <c r="E262" t="s">
        <v>517</v>
      </c>
      <c r="F262" t="str">
        <f>LOWER(Table1[[#This Row],[City]])</f>
        <v>hyderabad</v>
      </c>
      <c r="G262" t="str">
        <f>UPPER(Table1[[#This Row],[City]])</f>
        <v>HYDERABAD</v>
      </c>
      <c r="H262" t="str">
        <f>PROPER(Table1[[#This Row],[City]])</f>
        <v>Hyderabad</v>
      </c>
      <c r="I262" t="str">
        <f t="shared" si="12"/>
        <v>Trendz _ Hyderabad</v>
      </c>
      <c r="J262" t="s">
        <v>520</v>
      </c>
      <c r="K262">
        <f t="shared" si="13"/>
        <v>11</v>
      </c>
      <c r="L262" t="str">
        <f>LEFT(Table1[[#This Row],[Category]],3)</f>
        <v>Ele</v>
      </c>
      <c r="M262">
        <v>14</v>
      </c>
      <c r="N262" s="4" t="str">
        <f t="shared" si="14"/>
        <v>bulk order</v>
      </c>
      <c r="O262">
        <f>SQRT(Table1[[#This Row],[Quantity]])</f>
        <v>3.7416573867739413</v>
      </c>
      <c r="P262">
        <v>1373.56</v>
      </c>
      <c r="Q262">
        <v>19229.84</v>
      </c>
    </row>
    <row r="263" spans="1:17" x14ac:dyDescent="0.25">
      <c r="A263" t="s">
        <v>269</v>
      </c>
      <c r="B263" t="str">
        <f>MID(Table1[[#This Row],[Order_ID]],2,5)</f>
        <v>RD126</v>
      </c>
      <c r="C263" s="1">
        <v>45502</v>
      </c>
      <c r="D263" t="s">
        <v>509</v>
      </c>
      <c r="E263" t="s">
        <v>513</v>
      </c>
      <c r="F263" t="str">
        <f>LOWER(Table1[[#This Row],[City]])</f>
        <v>bangalore</v>
      </c>
      <c r="G263" t="str">
        <f>UPPER(Table1[[#This Row],[City]])</f>
        <v>BANGALORE</v>
      </c>
      <c r="H263" t="str">
        <f>PROPER(Table1[[#This Row],[City]])</f>
        <v>Bangalore</v>
      </c>
      <c r="I263" t="str">
        <f t="shared" si="12"/>
        <v>CityStore _ Bangalore</v>
      </c>
      <c r="J263" t="s">
        <v>521</v>
      </c>
      <c r="K263">
        <f t="shared" si="13"/>
        <v>8</v>
      </c>
      <c r="L263" t="str">
        <f>LEFT(Table1[[#This Row],[Category]],3)</f>
        <v>Clo</v>
      </c>
      <c r="M263">
        <v>19</v>
      </c>
      <c r="N263" s="4" t="str">
        <f t="shared" si="14"/>
        <v>bulk order</v>
      </c>
      <c r="O263">
        <f>SQRT(Table1[[#This Row],[Quantity]])</f>
        <v>4.358898943540674</v>
      </c>
      <c r="P263">
        <v>1133.9100000000001</v>
      </c>
      <c r="Q263">
        <v>21544.29</v>
      </c>
    </row>
    <row r="264" spans="1:17" x14ac:dyDescent="0.25">
      <c r="A264" t="s">
        <v>270</v>
      </c>
      <c r="B264" t="str">
        <f>MID(Table1[[#This Row],[Order_ID]],2,5)</f>
        <v>RD126</v>
      </c>
      <c r="C264" s="1">
        <v>45531</v>
      </c>
      <c r="D264" t="s">
        <v>512</v>
      </c>
      <c r="E264" t="s">
        <v>517</v>
      </c>
      <c r="F264" t="str">
        <f>LOWER(Table1[[#This Row],[City]])</f>
        <v>hyderabad</v>
      </c>
      <c r="G264" t="str">
        <f>UPPER(Table1[[#This Row],[City]])</f>
        <v>HYDERABAD</v>
      </c>
      <c r="H264" t="str">
        <f>PROPER(Table1[[#This Row],[City]])</f>
        <v>Hyderabad</v>
      </c>
      <c r="I264" t="str">
        <f t="shared" si="12"/>
        <v>Trendz _ Hyderabad</v>
      </c>
      <c r="J264" t="s">
        <v>523</v>
      </c>
      <c r="K264">
        <f t="shared" si="13"/>
        <v>14</v>
      </c>
      <c r="L264" t="str">
        <f>LEFT(Table1[[#This Row],[Category]],3)</f>
        <v>Hom</v>
      </c>
      <c r="M264">
        <v>3</v>
      </c>
      <c r="N264" s="4" t="str">
        <f t="shared" si="14"/>
        <v>normal order</v>
      </c>
      <c r="O264">
        <f>SQRT(Table1[[#This Row],[Quantity]])</f>
        <v>1.7320508075688772</v>
      </c>
      <c r="P264">
        <v>141.41999999999999</v>
      </c>
      <c r="Q264">
        <v>424.26</v>
      </c>
    </row>
    <row r="265" spans="1:17" x14ac:dyDescent="0.25">
      <c r="A265" t="s">
        <v>271</v>
      </c>
      <c r="B265" t="str">
        <f>MID(Table1[[#This Row],[Order_ID]],2,5)</f>
        <v>RD126</v>
      </c>
      <c r="C265" s="1">
        <v>45319</v>
      </c>
      <c r="D265" t="s">
        <v>509</v>
      </c>
      <c r="E265" t="s">
        <v>513</v>
      </c>
      <c r="F265" t="str">
        <f>LOWER(Table1[[#This Row],[City]])</f>
        <v>bangalore</v>
      </c>
      <c r="G265" t="str">
        <f>UPPER(Table1[[#This Row],[City]])</f>
        <v>BANGALORE</v>
      </c>
      <c r="H265" t="str">
        <f>PROPER(Table1[[#This Row],[City]])</f>
        <v>Bangalore</v>
      </c>
      <c r="I265" t="str">
        <f t="shared" si="12"/>
        <v>CityStore _ Bangalore</v>
      </c>
      <c r="J265" t="s">
        <v>524</v>
      </c>
      <c r="K265">
        <f t="shared" si="13"/>
        <v>4</v>
      </c>
      <c r="L265" t="str">
        <f>LEFT(Table1[[#This Row],[Category]],3)</f>
        <v>Toy</v>
      </c>
      <c r="M265">
        <v>5</v>
      </c>
      <c r="N265" s="4" t="str">
        <f t="shared" si="14"/>
        <v>normal order</v>
      </c>
      <c r="O265">
        <f>SQRT(Table1[[#This Row],[Quantity]])</f>
        <v>2.2360679774997898</v>
      </c>
      <c r="P265">
        <v>721.61</v>
      </c>
      <c r="Q265">
        <v>3608.05</v>
      </c>
    </row>
    <row r="266" spans="1:17" x14ac:dyDescent="0.25">
      <c r="A266" t="s">
        <v>272</v>
      </c>
      <c r="B266" t="str">
        <f>MID(Table1[[#This Row],[Order_ID]],2,5)</f>
        <v>RD126</v>
      </c>
      <c r="C266" s="1">
        <v>45636</v>
      </c>
      <c r="D266" t="s">
        <v>510</v>
      </c>
      <c r="E266" t="s">
        <v>518</v>
      </c>
      <c r="F266" t="str">
        <f>LOWER(Table1[[#This Row],[City]])</f>
        <v>pune</v>
      </c>
      <c r="G266" t="str">
        <f>UPPER(Table1[[#This Row],[City]])</f>
        <v>PUNE</v>
      </c>
      <c r="H266" t="str">
        <f>PROPER(Table1[[#This Row],[City]])</f>
        <v>Pune</v>
      </c>
      <c r="I266" t="str">
        <f t="shared" si="12"/>
        <v>QuickBuy _ Pune</v>
      </c>
      <c r="J266" t="s">
        <v>523</v>
      </c>
      <c r="K266">
        <f t="shared" si="13"/>
        <v>14</v>
      </c>
      <c r="L266" t="str">
        <f>LEFT(Table1[[#This Row],[Category]],3)</f>
        <v>Hom</v>
      </c>
      <c r="M266">
        <v>11</v>
      </c>
      <c r="N266" s="4" t="str">
        <f t="shared" si="14"/>
        <v>bulk order</v>
      </c>
      <c r="O266">
        <f>SQRT(Table1[[#This Row],[Quantity]])</f>
        <v>3.3166247903553998</v>
      </c>
      <c r="P266">
        <v>1304.47</v>
      </c>
      <c r="Q266">
        <v>14349.17</v>
      </c>
    </row>
    <row r="267" spans="1:17" x14ac:dyDescent="0.25">
      <c r="A267" t="s">
        <v>273</v>
      </c>
      <c r="B267" t="str">
        <f>MID(Table1[[#This Row],[Order_ID]],2,5)</f>
        <v>RD126</v>
      </c>
      <c r="C267" s="1">
        <v>45626</v>
      </c>
      <c r="D267" t="s">
        <v>508</v>
      </c>
      <c r="E267" t="s">
        <v>513</v>
      </c>
      <c r="F267" t="str">
        <f>LOWER(Table1[[#This Row],[City]])</f>
        <v>bangalore</v>
      </c>
      <c r="G267" t="str">
        <f>UPPER(Table1[[#This Row],[City]])</f>
        <v>BANGALORE</v>
      </c>
      <c r="H267" t="str">
        <f>PROPER(Table1[[#This Row],[City]])</f>
        <v>Bangalore</v>
      </c>
      <c r="I267" t="str">
        <f t="shared" si="12"/>
        <v>ValueShop _ Bangalore</v>
      </c>
      <c r="J267" t="s">
        <v>524</v>
      </c>
      <c r="K267">
        <f t="shared" si="13"/>
        <v>4</v>
      </c>
      <c r="L267" t="str">
        <f>LEFT(Table1[[#This Row],[Category]],3)</f>
        <v>Toy</v>
      </c>
      <c r="M267">
        <v>3</v>
      </c>
      <c r="N267" s="4" t="str">
        <f t="shared" si="14"/>
        <v>normal order</v>
      </c>
      <c r="O267">
        <f>SQRT(Table1[[#This Row],[Quantity]])</f>
        <v>1.7320508075688772</v>
      </c>
      <c r="P267">
        <v>793.25</v>
      </c>
      <c r="Q267">
        <v>2379.75</v>
      </c>
    </row>
    <row r="268" spans="1:17" x14ac:dyDescent="0.25">
      <c r="A268" t="s">
        <v>274</v>
      </c>
      <c r="B268" t="str">
        <f>MID(Table1[[#This Row],[Order_ID]],2,5)</f>
        <v>RD126</v>
      </c>
      <c r="C268" s="1">
        <v>45622</v>
      </c>
      <c r="D268" t="s">
        <v>510</v>
      </c>
      <c r="E268" t="s">
        <v>514</v>
      </c>
      <c r="F268" t="str">
        <f>LOWER(Table1[[#This Row],[City]])</f>
        <v>delhi</v>
      </c>
      <c r="G268" t="str">
        <f>UPPER(Table1[[#This Row],[City]])</f>
        <v>DELHI</v>
      </c>
      <c r="H268" t="str">
        <f>PROPER(Table1[[#This Row],[City]])</f>
        <v>Delhi</v>
      </c>
      <c r="I268" t="str">
        <f t="shared" si="12"/>
        <v>QuickBuy _ Delhi</v>
      </c>
      <c r="J268" t="s">
        <v>520</v>
      </c>
      <c r="K268">
        <f t="shared" si="13"/>
        <v>11</v>
      </c>
      <c r="L268" t="str">
        <f>LEFT(Table1[[#This Row],[Category]],3)</f>
        <v>Ele</v>
      </c>
      <c r="M268">
        <v>15</v>
      </c>
      <c r="N268" s="4" t="str">
        <f t="shared" si="14"/>
        <v>bulk order</v>
      </c>
      <c r="O268">
        <f>SQRT(Table1[[#This Row],[Quantity]])</f>
        <v>3.872983346207417</v>
      </c>
      <c r="P268">
        <v>1072.7</v>
      </c>
      <c r="Q268">
        <v>16090.5</v>
      </c>
    </row>
    <row r="269" spans="1:17" x14ac:dyDescent="0.25">
      <c r="A269" t="s">
        <v>275</v>
      </c>
      <c r="B269" t="str">
        <f>MID(Table1[[#This Row],[Order_ID]],2,5)</f>
        <v>RD126</v>
      </c>
      <c r="C269" s="1">
        <v>45342</v>
      </c>
      <c r="D269" t="s">
        <v>510</v>
      </c>
      <c r="E269" t="s">
        <v>515</v>
      </c>
      <c r="F269" t="str">
        <f>LOWER(Table1[[#This Row],[City]])</f>
        <v>kolkata</v>
      </c>
      <c r="G269" t="str">
        <f>UPPER(Table1[[#This Row],[City]])</f>
        <v>KOLKATA</v>
      </c>
      <c r="H269" t="str">
        <f>PROPER(Table1[[#This Row],[City]])</f>
        <v>Kolkata</v>
      </c>
      <c r="I269" t="str">
        <f t="shared" si="12"/>
        <v>QuickBuy _ Kolkata</v>
      </c>
      <c r="J269" t="s">
        <v>523</v>
      </c>
      <c r="K269">
        <f t="shared" si="13"/>
        <v>14</v>
      </c>
      <c r="L269" t="str">
        <f>LEFT(Table1[[#This Row],[Category]],3)</f>
        <v>Hom</v>
      </c>
      <c r="M269">
        <v>15</v>
      </c>
      <c r="N269" s="4" t="str">
        <f t="shared" si="14"/>
        <v>bulk order</v>
      </c>
      <c r="O269">
        <f>SQRT(Table1[[#This Row],[Quantity]])</f>
        <v>3.872983346207417</v>
      </c>
      <c r="P269">
        <v>1407.8</v>
      </c>
      <c r="Q269">
        <v>21117</v>
      </c>
    </row>
    <row r="270" spans="1:17" x14ac:dyDescent="0.25">
      <c r="A270" t="s">
        <v>276</v>
      </c>
      <c r="B270" t="str">
        <f>MID(Table1[[#This Row],[Order_ID]],2,5)</f>
        <v>RD126</v>
      </c>
      <c r="C270" s="1">
        <v>45323</v>
      </c>
      <c r="D270" t="s">
        <v>512</v>
      </c>
      <c r="E270" t="s">
        <v>518</v>
      </c>
      <c r="F270" t="str">
        <f>LOWER(Table1[[#This Row],[City]])</f>
        <v>pune</v>
      </c>
      <c r="G270" t="str">
        <f>UPPER(Table1[[#This Row],[City]])</f>
        <v>PUNE</v>
      </c>
      <c r="H270" t="str">
        <f>PROPER(Table1[[#This Row],[City]])</f>
        <v>Pune</v>
      </c>
      <c r="I270" t="str">
        <f t="shared" si="12"/>
        <v>Trendz _ Pune</v>
      </c>
      <c r="J270" t="s">
        <v>525</v>
      </c>
      <c r="K270">
        <f t="shared" si="13"/>
        <v>9</v>
      </c>
      <c r="L270" t="str">
        <f>LEFT(Table1[[#This Row],[Category]],3)</f>
        <v>Gro</v>
      </c>
      <c r="M270">
        <v>17</v>
      </c>
      <c r="N270" s="4" t="str">
        <f t="shared" si="14"/>
        <v>bulk order</v>
      </c>
      <c r="O270">
        <f>SQRT(Table1[[#This Row],[Quantity]])</f>
        <v>4.1231056256176606</v>
      </c>
      <c r="P270">
        <v>846.11</v>
      </c>
      <c r="Q270">
        <v>14383.87</v>
      </c>
    </row>
    <row r="271" spans="1:17" x14ac:dyDescent="0.25">
      <c r="A271" t="s">
        <v>277</v>
      </c>
      <c r="B271" t="str">
        <f>MID(Table1[[#This Row],[Order_ID]],2,5)</f>
        <v>RD126</v>
      </c>
      <c r="C271" s="1">
        <v>45498</v>
      </c>
      <c r="D271" t="s">
        <v>512</v>
      </c>
      <c r="E271" t="s">
        <v>516</v>
      </c>
      <c r="F271" t="str">
        <f>LOWER(Table1[[#This Row],[City]])</f>
        <v>chennai</v>
      </c>
      <c r="G271" t="str">
        <f>UPPER(Table1[[#This Row],[City]])</f>
        <v>CHENNAI</v>
      </c>
      <c r="H271" t="str">
        <f>PROPER(Table1[[#This Row],[City]])</f>
        <v>Chennai</v>
      </c>
      <c r="I271" t="str">
        <f t="shared" si="12"/>
        <v>Trendz _ Chennai</v>
      </c>
      <c r="J271" t="s">
        <v>522</v>
      </c>
      <c r="K271">
        <f t="shared" si="13"/>
        <v>5</v>
      </c>
      <c r="L271" t="str">
        <f>LEFT(Table1[[#This Row],[Category]],3)</f>
        <v>Boo</v>
      </c>
      <c r="M271">
        <v>12</v>
      </c>
      <c r="N271" s="4" t="str">
        <f t="shared" si="14"/>
        <v>bulk order</v>
      </c>
      <c r="O271">
        <f>SQRT(Table1[[#This Row],[Quantity]])</f>
        <v>3.4641016151377544</v>
      </c>
      <c r="P271">
        <v>634.78</v>
      </c>
      <c r="Q271">
        <v>7617.36</v>
      </c>
    </row>
    <row r="272" spans="1:17" x14ac:dyDescent="0.25">
      <c r="A272" t="s">
        <v>278</v>
      </c>
      <c r="B272" t="str">
        <f>MID(Table1[[#This Row],[Order_ID]],2,5)</f>
        <v>RD127</v>
      </c>
      <c r="C272" s="1">
        <v>45465</v>
      </c>
      <c r="D272" t="s">
        <v>512</v>
      </c>
      <c r="E272" t="s">
        <v>513</v>
      </c>
      <c r="F272" t="str">
        <f>LOWER(Table1[[#This Row],[City]])</f>
        <v>bangalore</v>
      </c>
      <c r="G272" t="str">
        <f>UPPER(Table1[[#This Row],[City]])</f>
        <v>BANGALORE</v>
      </c>
      <c r="H272" t="str">
        <f>PROPER(Table1[[#This Row],[City]])</f>
        <v>Bangalore</v>
      </c>
      <c r="I272" t="str">
        <f t="shared" si="12"/>
        <v>Trendz _ Bangalore</v>
      </c>
      <c r="J272" t="s">
        <v>525</v>
      </c>
      <c r="K272">
        <f t="shared" si="13"/>
        <v>9</v>
      </c>
      <c r="L272" t="str">
        <f>LEFT(Table1[[#This Row],[Category]],3)</f>
        <v>Gro</v>
      </c>
      <c r="M272">
        <v>5</v>
      </c>
      <c r="N272" s="4" t="str">
        <f t="shared" si="14"/>
        <v>normal order</v>
      </c>
      <c r="O272">
        <f>SQRT(Table1[[#This Row],[Quantity]])</f>
        <v>2.2360679774997898</v>
      </c>
      <c r="P272">
        <v>408.56</v>
      </c>
      <c r="Q272">
        <v>2042.8</v>
      </c>
    </row>
    <row r="273" spans="1:17" x14ac:dyDescent="0.25">
      <c r="A273" t="s">
        <v>279</v>
      </c>
      <c r="B273" t="str">
        <f>MID(Table1[[#This Row],[Order_ID]],2,5)</f>
        <v>RD127</v>
      </c>
      <c r="C273" s="1">
        <v>45347</v>
      </c>
      <c r="D273" t="s">
        <v>510</v>
      </c>
      <c r="E273" t="s">
        <v>514</v>
      </c>
      <c r="F273" t="str">
        <f>LOWER(Table1[[#This Row],[City]])</f>
        <v>delhi</v>
      </c>
      <c r="G273" t="str">
        <f>UPPER(Table1[[#This Row],[City]])</f>
        <v>DELHI</v>
      </c>
      <c r="H273" t="str">
        <f>PROPER(Table1[[#This Row],[City]])</f>
        <v>Delhi</v>
      </c>
      <c r="I273" t="str">
        <f t="shared" si="12"/>
        <v>QuickBuy _ Delhi</v>
      </c>
      <c r="J273" t="s">
        <v>521</v>
      </c>
      <c r="K273">
        <f t="shared" si="13"/>
        <v>8</v>
      </c>
      <c r="L273" t="str">
        <f>LEFT(Table1[[#This Row],[Category]],3)</f>
        <v>Clo</v>
      </c>
      <c r="M273">
        <v>18</v>
      </c>
      <c r="N273" s="4" t="str">
        <f t="shared" si="14"/>
        <v>bulk order</v>
      </c>
      <c r="O273">
        <f>SQRT(Table1[[#This Row],[Quantity]])</f>
        <v>4.2426406871192848</v>
      </c>
      <c r="P273">
        <v>1098.96</v>
      </c>
      <c r="Q273">
        <v>19781.28</v>
      </c>
    </row>
    <row r="274" spans="1:17" x14ac:dyDescent="0.25">
      <c r="A274" t="s">
        <v>280</v>
      </c>
      <c r="B274" t="str">
        <f>MID(Table1[[#This Row],[Order_ID]],2,5)</f>
        <v>RD127</v>
      </c>
      <c r="C274" s="1">
        <v>45419</v>
      </c>
      <c r="D274" t="s">
        <v>508</v>
      </c>
      <c r="E274" t="s">
        <v>517</v>
      </c>
      <c r="F274" t="str">
        <f>LOWER(Table1[[#This Row],[City]])</f>
        <v>hyderabad</v>
      </c>
      <c r="G274" t="str">
        <f>UPPER(Table1[[#This Row],[City]])</f>
        <v>HYDERABAD</v>
      </c>
      <c r="H274" t="str">
        <f>PROPER(Table1[[#This Row],[City]])</f>
        <v>Hyderabad</v>
      </c>
      <c r="I274" t="str">
        <f t="shared" si="12"/>
        <v>ValueShop _ Hyderabad</v>
      </c>
      <c r="J274" t="s">
        <v>525</v>
      </c>
      <c r="K274">
        <f t="shared" si="13"/>
        <v>9</v>
      </c>
      <c r="L274" t="str">
        <f>LEFT(Table1[[#This Row],[Category]],3)</f>
        <v>Gro</v>
      </c>
      <c r="M274">
        <v>19</v>
      </c>
      <c r="N274" s="4" t="str">
        <f t="shared" si="14"/>
        <v>bulk order</v>
      </c>
      <c r="O274">
        <f>SQRT(Table1[[#This Row],[Quantity]])</f>
        <v>4.358898943540674</v>
      </c>
      <c r="P274">
        <v>519.89</v>
      </c>
      <c r="Q274">
        <v>9877.91</v>
      </c>
    </row>
    <row r="275" spans="1:17" x14ac:dyDescent="0.25">
      <c r="A275" t="s">
        <v>281</v>
      </c>
      <c r="B275" t="str">
        <f>MID(Table1[[#This Row],[Order_ID]],2,5)</f>
        <v>RD127</v>
      </c>
      <c r="C275" s="1">
        <v>45390</v>
      </c>
      <c r="D275" t="s">
        <v>508</v>
      </c>
      <c r="E275" t="s">
        <v>515</v>
      </c>
      <c r="F275" t="str">
        <f>LOWER(Table1[[#This Row],[City]])</f>
        <v>kolkata</v>
      </c>
      <c r="G275" t="str">
        <f>UPPER(Table1[[#This Row],[City]])</f>
        <v>KOLKATA</v>
      </c>
      <c r="H275" t="str">
        <f>PROPER(Table1[[#This Row],[City]])</f>
        <v>Kolkata</v>
      </c>
      <c r="I275" t="str">
        <f t="shared" si="12"/>
        <v>ValueShop _ Kolkata</v>
      </c>
      <c r="J275" t="s">
        <v>521</v>
      </c>
      <c r="K275">
        <f t="shared" si="13"/>
        <v>8</v>
      </c>
      <c r="L275" t="str">
        <f>LEFT(Table1[[#This Row],[Category]],3)</f>
        <v>Clo</v>
      </c>
      <c r="M275">
        <v>6</v>
      </c>
      <c r="N275" s="4" t="str">
        <f t="shared" si="14"/>
        <v>normal order</v>
      </c>
      <c r="O275">
        <f>SQRT(Table1[[#This Row],[Quantity]])</f>
        <v>2.4494897427831779</v>
      </c>
      <c r="P275">
        <v>489.42</v>
      </c>
      <c r="Q275">
        <v>2936.52</v>
      </c>
    </row>
    <row r="276" spans="1:17" x14ac:dyDescent="0.25">
      <c r="A276" t="s">
        <v>282</v>
      </c>
      <c r="B276" t="str">
        <f>MID(Table1[[#This Row],[Order_ID]],2,5)</f>
        <v>RD127</v>
      </c>
      <c r="C276" s="1">
        <v>45389</v>
      </c>
      <c r="D276" t="s">
        <v>509</v>
      </c>
      <c r="E276" t="s">
        <v>518</v>
      </c>
      <c r="F276" t="str">
        <f>LOWER(Table1[[#This Row],[City]])</f>
        <v>pune</v>
      </c>
      <c r="G276" t="str">
        <f>UPPER(Table1[[#This Row],[City]])</f>
        <v>PUNE</v>
      </c>
      <c r="H276" t="str">
        <f>PROPER(Table1[[#This Row],[City]])</f>
        <v>Pune</v>
      </c>
      <c r="I276" t="str">
        <f t="shared" si="12"/>
        <v>CityStore _ Pune</v>
      </c>
      <c r="J276" t="s">
        <v>520</v>
      </c>
      <c r="K276">
        <f t="shared" si="13"/>
        <v>11</v>
      </c>
      <c r="L276" t="str">
        <f>LEFT(Table1[[#This Row],[Category]],3)</f>
        <v>Ele</v>
      </c>
      <c r="M276">
        <v>5</v>
      </c>
      <c r="N276" s="4" t="str">
        <f t="shared" si="14"/>
        <v>normal order</v>
      </c>
      <c r="O276">
        <f>SQRT(Table1[[#This Row],[Quantity]])</f>
        <v>2.2360679774997898</v>
      </c>
      <c r="P276">
        <v>1722.21</v>
      </c>
      <c r="Q276">
        <v>8611.0499999999993</v>
      </c>
    </row>
    <row r="277" spans="1:17" x14ac:dyDescent="0.25">
      <c r="A277" t="s">
        <v>283</v>
      </c>
      <c r="B277" t="str">
        <f>MID(Table1[[#This Row],[Order_ID]],2,5)</f>
        <v>RD127</v>
      </c>
      <c r="C277" s="1">
        <v>45566</v>
      </c>
      <c r="D277" t="s">
        <v>511</v>
      </c>
      <c r="E277" t="s">
        <v>515</v>
      </c>
      <c r="F277" t="str">
        <f>LOWER(Table1[[#This Row],[City]])</f>
        <v>kolkata</v>
      </c>
      <c r="G277" t="str">
        <f>UPPER(Table1[[#This Row],[City]])</f>
        <v>KOLKATA</v>
      </c>
      <c r="H277" t="str">
        <f>PROPER(Table1[[#This Row],[City]])</f>
        <v>Kolkata</v>
      </c>
      <c r="I277" t="str">
        <f t="shared" si="12"/>
        <v>MegaMart _ Kolkata</v>
      </c>
      <c r="J277" t="s">
        <v>524</v>
      </c>
      <c r="K277">
        <f t="shared" si="13"/>
        <v>4</v>
      </c>
      <c r="L277" t="str">
        <f>LEFT(Table1[[#This Row],[Category]],3)</f>
        <v>Toy</v>
      </c>
      <c r="M277">
        <v>14</v>
      </c>
      <c r="N277" s="4" t="str">
        <f t="shared" si="14"/>
        <v>bulk order</v>
      </c>
      <c r="O277">
        <f>SQRT(Table1[[#This Row],[Quantity]])</f>
        <v>3.7416573867739413</v>
      </c>
      <c r="P277">
        <v>331.49</v>
      </c>
      <c r="Q277">
        <v>4640.8600000000006</v>
      </c>
    </row>
    <row r="278" spans="1:17" x14ac:dyDescent="0.25">
      <c r="A278" t="s">
        <v>284</v>
      </c>
      <c r="B278" t="str">
        <f>MID(Table1[[#This Row],[Order_ID]],2,5)</f>
        <v>RD127</v>
      </c>
      <c r="C278" s="1">
        <v>45521</v>
      </c>
      <c r="D278" t="s">
        <v>508</v>
      </c>
      <c r="E278" t="s">
        <v>518</v>
      </c>
      <c r="F278" t="str">
        <f>LOWER(Table1[[#This Row],[City]])</f>
        <v>pune</v>
      </c>
      <c r="G278" t="str">
        <f>UPPER(Table1[[#This Row],[City]])</f>
        <v>PUNE</v>
      </c>
      <c r="H278" t="str">
        <f>PROPER(Table1[[#This Row],[City]])</f>
        <v>Pune</v>
      </c>
      <c r="I278" t="str">
        <f t="shared" si="12"/>
        <v>ValueShop _ Pune</v>
      </c>
      <c r="J278" t="s">
        <v>522</v>
      </c>
      <c r="K278">
        <f t="shared" si="13"/>
        <v>5</v>
      </c>
      <c r="L278" t="str">
        <f>LEFT(Table1[[#This Row],[Category]],3)</f>
        <v>Boo</v>
      </c>
      <c r="M278">
        <v>17</v>
      </c>
      <c r="N278" s="4" t="str">
        <f t="shared" si="14"/>
        <v>bulk order</v>
      </c>
      <c r="O278">
        <f>SQRT(Table1[[#This Row],[Quantity]])</f>
        <v>4.1231056256176606</v>
      </c>
      <c r="P278">
        <v>952.9</v>
      </c>
      <c r="Q278">
        <v>16199.3</v>
      </c>
    </row>
    <row r="279" spans="1:17" x14ac:dyDescent="0.25">
      <c r="A279" t="s">
        <v>285</v>
      </c>
      <c r="B279" t="str">
        <f>MID(Table1[[#This Row],[Order_ID]],2,5)</f>
        <v>RD127</v>
      </c>
      <c r="C279" s="1">
        <v>45363</v>
      </c>
      <c r="D279" t="s">
        <v>512</v>
      </c>
      <c r="E279" t="s">
        <v>514</v>
      </c>
      <c r="F279" t="str">
        <f>LOWER(Table1[[#This Row],[City]])</f>
        <v>delhi</v>
      </c>
      <c r="G279" t="str">
        <f>UPPER(Table1[[#This Row],[City]])</f>
        <v>DELHI</v>
      </c>
      <c r="H279" t="str">
        <f>PROPER(Table1[[#This Row],[City]])</f>
        <v>Delhi</v>
      </c>
      <c r="I279" t="str">
        <f t="shared" si="12"/>
        <v>Trendz _ Delhi</v>
      </c>
      <c r="J279" t="s">
        <v>520</v>
      </c>
      <c r="K279">
        <f t="shared" si="13"/>
        <v>11</v>
      </c>
      <c r="L279" t="str">
        <f>LEFT(Table1[[#This Row],[Category]],3)</f>
        <v>Ele</v>
      </c>
      <c r="M279">
        <v>2</v>
      </c>
      <c r="N279" s="4" t="str">
        <f t="shared" si="14"/>
        <v>normal order</v>
      </c>
      <c r="O279">
        <f>SQRT(Table1[[#This Row],[Quantity]])</f>
        <v>1.4142135623730951</v>
      </c>
      <c r="P279">
        <v>162.37</v>
      </c>
      <c r="Q279">
        <v>324.74</v>
      </c>
    </row>
    <row r="280" spans="1:17" x14ac:dyDescent="0.25">
      <c r="A280" t="s">
        <v>286</v>
      </c>
      <c r="B280" t="str">
        <f>MID(Table1[[#This Row],[Order_ID]],2,5)</f>
        <v>RD127</v>
      </c>
      <c r="C280" s="1">
        <v>45508</v>
      </c>
      <c r="D280" t="s">
        <v>509</v>
      </c>
      <c r="E280" t="s">
        <v>517</v>
      </c>
      <c r="F280" t="str">
        <f>LOWER(Table1[[#This Row],[City]])</f>
        <v>hyderabad</v>
      </c>
      <c r="G280" t="str">
        <f>UPPER(Table1[[#This Row],[City]])</f>
        <v>HYDERABAD</v>
      </c>
      <c r="H280" t="str">
        <f>PROPER(Table1[[#This Row],[City]])</f>
        <v>Hyderabad</v>
      </c>
      <c r="I280" t="str">
        <f t="shared" si="12"/>
        <v>CityStore _ Hyderabad</v>
      </c>
      <c r="J280" t="s">
        <v>524</v>
      </c>
      <c r="K280">
        <f t="shared" si="13"/>
        <v>4</v>
      </c>
      <c r="L280" t="str">
        <f>LEFT(Table1[[#This Row],[Category]],3)</f>
        <v>Toy</v>
      </c>
      <c r="M280">
        <v>4</v>
      </c>
      <c r="N280" s="4" t="str">
        <f t="shared" si="14"/>
        <v>normal order</v>
      </c>
      <c r="O280">
        <f>SQRT(Table1[[#This Row],[Quantity]])</f>
        <v>2</v>
      </c>
      <c r="P280">
        <v>854.72</v>
      </c>
      <c r="Q280">
        <v>3418.88</v>
      </c>
    </row>
    <row r="281" spans="1:17" x14ac:dyDescent="0.25">
      <c r="A281" t="s">
        <v>287</v>
      </c>
      <c r="B281" t="str">
        <f>MID(Table1[[#This Row],[Order_ID]],2,5)</f>
        <v>RD127</v>
      </c>
      <c r="C281" s="1">
        <v>45385</v>
      </c>
      <c r="D281" t="s">
        <v>512</v>
      </c>
      <c r="E281" t="s">
        <v>518</v>
      </c>
      <c r="F281" t="str">
        <f>LOWER(Table1[[#This Row],[City]])</f>
        <v>pune</v>
      </c>
      <c r="G281" t="str">
        <f>UPPER(Table1[[#This Row],[City]])</f>
        <v>PUNE</v>
      </c>
      <c r="H281" t="str">
        <f>PROPER(Table1[[#This Row],[City]])</f>
        <v>Pune</v>
      </c>
      <c r="I281" t="str">
        <f t="shared" si="12"/>
        <v>Trendz _ Pune</v>
      </c>
      <c r="J281" t="s">
        <v>524</v>
      </c>
      <c r="K281">
        <f t="shared" si="13"/>
        <v>4</v>
      </c>
      <c r="L281" t="str">
        <f>LEFT(Table1[[#This Row],[Category]],3)</f>
        <v>Toy</v>
      </c>
      <c r="M281">
        <v>17</v>
      </c>
      <c r="N281" s="4" t="str">
        <f t="shared" si="14"/>
        <v>bulk order</v>
      </c>
      <c r="O281">
        <f>SQRT(Table1[[#This Row],[Quantity]])</f>
        <v>4.1231056256176606</v>
      </c>
      <c r="P281">
        <v>862.19</v>
      </c>
      <c r="Q281">
        <v>14657.23</v>
      </c>
    </row>
    <row r="282" spans="1:17" x14ac:dyDescent="0.25">
      <c r="A282" t="s">
        <v>288</v>
      </c>
      <c r="B282" t="str">
        <f>MID(Table1[[#This Row],[Order_ID]],2,5)</f>
        <v>RD128</v>
      </c>
      <c r="C282" s="1">
        <v>45434</v>
      </c>
      <c r="D282" t="s">
        <v>510</v>
      </c>
      <c r="E282" t="s">
        <v>516</v>
      </c>
      <c r="F282" t="str">
        <f>LOWER(Table1[[#This Row],[City]])</f>
        <v>chennai</v>
      </c>
      <c r="G282" t="str">
        <f>UPPER(Table1[[#This Row],[City]])</f>
        <v>CHENNAI</v>
      </c>
      <c r="H282" t="str">
        <f>PROPER(Table1[[#This Row],[City]])</f>
        <v>Chennai</v>
      </c>
      <c r="I282" t="str">
        <f t="shared" si="12"/>
        <v>QuickBuy _ Chennai</v>
      </c>
      <c r="J282" t="s">
        <v>521</v>
      </c>
      <c r="K282">
        <f t="shared" si="13"/>
        <v>8</v>
      </c>
      <c r="L282" t="str">
        <f>LEFT(Table1[[#This Row],[Category]],3)</f>
        <v>Clo</v>
      </c>
      <c r="M282">
        <v>5</v>
      </c>
      <c r="N282" s="4" t="str">
        <f t="shared" si="14"/>
        <v>normal order</v>
      </c>
      <c r="O282">
        <f>SQRT(Table1[[#This Row],[Quantity]])</f>
        <v>2.2360679774997898</v>
      </c>
      <c r="P282">
        <v>1083.48</v>
      </c>
      <c r="Q282">
        <v>5417.4</v>
      </c>
    </row>
    <row r="283" spans="1:17" x14ac:dyDescent="0.25">
      <c r="A283" t="s">
        <v>289</v>
      </c>
      <c r="B283" t="str">
        <f>MID(Table1[[#This Row],[Order_ID]],2,5)</f>
        <v>RD128</v>
      </c>
      <c r="C283" s="1">
        <v>45528</v>
      </c>
      <c r="D283" t="s">
        <v>510</v>
      </c>
      <c r="E283" t="s">
        <v>515</v>
      </c>
      <c r="F283" t="str">
        <f>LOWER(Table1[[#This Row],[City]])</f>
        <v>kolkata</v>
      </c>
      <c r="G283" t="str">
        <f>UPPER(Table1[[#This Row],[City]])</f>
        <v>KOLKATA</v>
      </c>
      <c r="H283" t="str">
        <f>PROPER(Table1[[#This Row],[City]])</f>
        <v>Kolkata</v>
      </c>
      <c r="I283" t="str">
        <f t="shared" si="12"/>
        <v>QuickBuy _ Kolkata</v>
      </c>
      <c r="J283" t="s">
        <v>525</v>
      </c>
      <c r="K283">
        <f t="shared" si="13"/>
        <v>9</v>
      </c>
      <c r="L283" t="str">
        <f>LEFT(Table1[[#This Row],[Category]],3)</f>
        <v>Gro</v>
      </c>
      <c r="M283">
        <v>10</v>
      </c>
      <c r="N283" s="4" t="str">
        <f t="shared" si="14"/>
        <v>normal order</v>
      </c>
      <c r="O283">
        <f>SQRT(Table1[[#This Row],[Quantity]])</f>
        <v>3.1622776601683795</v>
      </c>
      <c r="P283">
        <v>807.42</v>
      </c>
      <c r="Q283">
        <v>8074.2</v>
      </c>
    </row>
    <row r="284" spans="1:17" x14ac:dyDescent="0.25">
      <c r="A284" t="s">
        <v>290</v>
      </c>
      <c r="B284" t="str">
        <f>MID(Table1[[#This Row],[Order_ID]],2,5)</f>
        <v>RD128</v>
      </c>
      <c r="C284" s="1">
        <v>45419</v>
      </c>
      <c r="D284" t="s">
        <v>512</v>
      </c>
      <c r="E284" t="s">
        <v>513</v>
      </c>
      <c r="F284" t="str">
        <f>LOWER(Table1[[#This Row],[City]])</f>
        <v>bangalore</v>
      </c>
      <c r="G284" t="str">
        <f>UPPER(Table1[[#This Row],[City]])</f>
        <v>BANGALORE</v>
      </c>
      <c r="H284" t="str">
        <f>PROPER(Table1[[#This Row],[City]])</f>
        <v>Bangalore</v>
      </c>
      <c r="I284" t="str">
        <f t="shared" si="12"/>
        <v>Trendz _ Bangalore</v>
      </c>
      <c r="J284" t="s">
        <v>525</v>
      </c>
      <c r="K284">
        <f t="shared" si="13"/>
        <v>9</v>
      </c>
      <c r="L284" t="str">
        <f>LEFT(Table1[[#This Row],[Category]],3)</f>
        <v>Gro</v>
      </c>
      <c r="M284">
        <v>6</v>
      </c>
      <c r="N284" s="4" t="str">
        <f t="shared" si="14"/>
        <v>normal order</v>
      </c>
      <c r="O284">
        <f>SQRT(Table1[[#This Row],[Quantity]])</f>
        <v>2.4494897427831779</v>
      </c>
      <c r="P284">
        <v>547.24</v>
      </c>
      <c r="Q284">
        <v>3283.44</v>
      </c>
    </row>
    <row r="285" spans="1:17" x14ac:dyDescent="0.25">
      <c r="A285" t="s">
        <v>291</v>
      </c>
      <c r="B285" t="str">
        <f>MID(Table1[[#This Row],[Order_ID]],2,5)</f>
        <v>RD128</v>
      </c>
      <c r="C285" s="1">
        <v>45330</v>
      </c>
      <c r="D285" t="s">
        <v>508</v>
      </c>
      <c r="E285" t="s">
        <v>515</v>
      </c>
      <c r="F285" t="str">
        <f>LOWER(Table1[[#This Row],[City]])</f>
        <v>kolkata</v>
      </c>
      <c r="G285" t="str">
        <f>UPPER(Table1[[#This Row],[City]])</f>
        <v>KOLKATA</v>
      </c>
      <c r="H285" t="str">
        <f>PROPER(Table1[[#This Row],[City]])</f>
        <v>Kolkata</v>
      </c>
      <c r="I285" t="str">
        <f t="shared" si="12"/>
        <v>ValueShop _ Kolkata</v>
      </c>
      <c r="J285" t="s">
        <v>522</v>
      </c>
      <c r="K285">
        <f t="shared" si="13"/>
        <v>5</v>
      </c>
      <c r="L285" t="str">
        <f>LEFT(Table1[[#This Row],[Category]],3)</f>
        <v>Boo</v>
      </c>
      <c r="M285">
        <v>6</v>
      </c>
      <c r="N285" s="4" t="str">
        <f t="shared" si="14"/>
        <v>normal order</v>
      </c>
      <c r="O285">
        <f>SQRT(Table1[[#This Row],[Quantity]])</f>
        <v>2.4494897427831779</v>
      </c>
      <c r="P285">
        <v>694.01</v>
      </c>
      <c r="Q285">
        <v>4164.0599999999986</v>
      </c>
    </row>
    <row r="286" spans="1:17" x14ac:dyDescent="0.25">
      <c r="A286" t="s">
        <v>292</v>
      </c>
      <c r="B286" t="str">
        <f>MID(Table1[[#This Row],[Order_ID]],2,5)</f>
        <v>RD128</v>
      </c>
      <c r="C286" s="1">
        <v>45518</v>
      </c>
      <c r="D286" t="s">
        <v>511</v>
      </c>
      <c r="E286" t="s">
        <v>515</v>
      </c>
      <c r="F286" t="str">
        <f>LOWER(Table1[[#This Row],[City]])</f>
        <v>kolkata</v>
      </c>
      <c r="G286" t="str">
        <f>UPPER(Table1[[#This Row],[City]])</f>
        <v>KOLKATA</v>
      </c>
      <c r="H286" t="str">
        <f>PROPER(Table1[[#This Row],[City]])</f>
        <v>Kolkata</v>
      </c>
      <c r="I286" t="str">
        <f t="shared" si="12"/>
        <v>MegaMart _ Kolkata</v>
      </c>
      <c r="J286" t="s">
        <v>522</v>
      </c>
      <c r="K286">
        <f t="shared" si="13"/>
        <v>5</v>
      </c>
      <c r="L286" t="str">
        <f>LEFT(Table1[[#This Row],[Category]],3)</f>
        <v>Boo</v>
      </c>
      <c r="M286">
        <v>11</v>
      </c>
      <c r="N286" s="4" t="str">
        <f t="shared" si="14"/>
        <v>bulk order</v>
      </c>
      <c r="O286">
        <f>SQRT(Table1[[#This Row],[Quantity]])</f>
        <v>3.3166247903553998</v>
      </c>
      <c r="P286">
        <v>204.19</v>
      </c>
      <c r="Q286">
        <v>2246.09</v>
      </c>
    </row>
    <row r="287" spans="1:17" x14ac:dyDescent="0.25">
      <c r="A287" t="s">
        <v>293</v>
      </c>
      <c r="B287" t="str">
        <f>MID(Table1[[#This Row],[Order_ID]],2,5)</f>
        <v>RD128</v>
      </c>
      <c r="C287" s="1">
        <v>45573</v>
      </c>
      <c r="D287" t="s">
        <v>512</v>
      </c>
      <c r="E287" t="s">
        <v>519</v>
      </c>
      <c r="F287" t="str">
        <f>LOWER(Table1[[#This Row],[City]])</f>
        <v>mumbai</v>
      </c>
      <c r="G287" t="str">
        <f>UPPER(Table1[[#This Row],[City]])</f>
        <v>MUMBAI</v>
      </c>
      <c r="H287" t="str">
        <f>PROPER(Table1[[#This Row],[City]])</f>
        <v>Mumbai</v>
      </c>
      <c r="I287" t="str">
        <f t="shared" si="12"/>
        <v>Trendz _ Mumbai</v>
      </c>
      <c r="J287" t="s">
        <v>521</v>
      </c>
      <c r="K287">
        <f t="shared" si="13"/>
        <v>8</v>
      </c>
      <c r="L287" t="str">
        <f>LEFT(Table1[[#This Row],[Category]],3)</f>
        <v>Clo</v>
      </c>
      <c r="M287">
        <v>8</v>
      </c>
      <c r="N287" s="4" t="str">
        <f t="shared" si="14"/>
        <v>normal order</v>
      </c>
      <c r="O287">
        <f>SQRT(Table1[[#This Row],[Quantity]])</f>
        <v>2.8284271247461903</v>
      </c>
      <c r="P287">
        <v>927.08</v>
      </c>
      <c r="Q287">
        <v>7416.64</v>
      </c>
    </row>
    <row r="288" spans="1:17" x14ac:dyDescent="0.25">
      <c r="A288" t="s">
        <v>294</v>
      </c>
      <c r="B288" t="str">
        <f>MID(Table1[[#This Row],[Order_ID]],2,5)</f>
        <v>RD128</v>
      </c>
      <c r="C288" s="1">
        <v>45342</v>
      </c>
      <c r="D288" t="s">
        <v>508</v>
      </c>
      <c r="E288" t="s">
        <v>517</v>
      </c>
      <c r="F288" t="str">
        <f>LOWER(Table1[[#This Row],[City]])</f>
        <v>hyderabad</v>
      </c>
      <c r="G288" t="str">
        <f>UPPER(Table1[[#This Row],[City]])</f>
        <v>HYDERABAD</v>
      </c>
      <c r="H288" t="str">
        <f>PROPER(Table1[[#This Row],[City]])</f>
        <v>Hyderabad</v>
      </c>
      <c r="I288" t="str">
        <f t="shared" si="12"/>
        <v>ValueShop _ Hyderabad</v>
      </c>
      <c r="J288" t="s">
        <v>521</v>
      </c>
      <c r="K288">
        <f t="shared" si="13"/>
        <v>8</v>
      </c>
      <c r="L288" t="str">
        <f>LEFT(Table1[[#This Row],[Category]],3)</f>
        <v>Clo</v>
      </c>
      <c r="M288">
        <v>12</v>
      </c>
      <c r="N288" s="4" t="str">
        <f t="shared" si="14"/>
        <v>bulk order</v>
      </c>
      <c r="O288">
        <f>SQRT(Table1[[#This Row],[Quantity]])</f>
        <v>3.4641016151377544</v>
      </c>
      <c r="P288">
        <v>773.6</v>
      </c>
      <c r="Q288">
        <v>9283.2000000000007</v>
      </c>
    </row>
    <row r="289" spans="1:17" x14ac:dyDescent="0.25">
      <c r="A289" t="s">
        <v>295</v>
      </c>
      <c r="B289" t="str">
        <f>MID(Table1[[#This Row],[Order_ID]],2,5)</f>
        <v>RD128</v>
      </c>
      <c r="C289" s="1">
        <v>45317</v>
      </c>
      <c r="D289" t="s">
        <v>509</v>
      </c>
      <c r="E289" t="s">
        <v>515</v>
      </c>
      <c r="F289" t="str">
        <f>LOWER(Table1[[#This Row],[City]])</f>
        <v>kolkata</v>
      </c>
      <c r="G289" t="str">
        <f>UPPER(Table1[[#This Row],[City]])</f>
        <v>KOLKATA</v>
      </c>
      <c r="H289" t="str">
        <f>PROPER(Table1[[#This Row],[City]])</f>
        <v>Kolkata</v>
      </c>
      <c r="I289" t="str">
        <f t="shared" si="12"/>
        <v>CityStore _ Kolkata</v>
      </c>
      <c r="J289" t="s">
        <v>520</v>
      </c>
      <c r="K289">
        <f t="shared" si="13"/>
        <v>11</v>
      </c>
      <c r="L289" t="str">
        <f>LEFT(Table1[[#This Row],[Category]],3)</f>
        <v>Ele</v>
      </c>
      <c r="M289">
        <v>17</v>
      </c>
      <c r="N289" s="4" t="str">
        <f t="shared" si="14"/>
        <v>bulk order</v>
      </c>
      <c r="O289">
        <f>SQRT(Table1[[#This Row],[Quantity]])</f>
        <v>4.1231056256176606</v>
      </c>
      <c r="P289">
        <v>1094.49</v>
      </c>
      <c r="Q289">
        <v>18606.330000000002</v>
      </c>
    </row>
    <row r="290" spans="1:17" x14ac:dyDescent="0.25">
      <c r="A290" t="s">
        <v>296</v>
      </c>
      <c r="B290" t="str">
        <f>MID(Table1[[#This Row],[Order_ID]],2,5)</f>
        <v>RD128</v>
      </c>
      <c r="C290" s="1">
        <v>45625</v>
      </c>
      <c r="D290" t="s">
        <v>512</v>
      </c>
      <c r="E290" t="s">
        <v>513</v>
      </c>
      <c r="F290" t="str">
        <f>LOWER(Table1[[#This Row],[City]])</f>
        <v>bangalore</v>
      </c>
      <c r="G290" t="str">
        <f>UPPER(Table1[[#This Row],[City]])</f>
        <v>BANGALORE</v>
      </c>
      <c r="H290" t="str">
        <f>PROPER(Table1[[#This Row],[City]])</f>
        <v>Bangalore</v>
      </c>
      <c r="I290" t="str">
        <f t="shared" si="12"/>
        <v>Trendz _ Bangalore</v>
      </c>
      <c r="J290" t="s">
        <v>521</v>
      </c>
      <c r="K290">
        <f t="shared" si="13"/>
        <v>8</v>
      </c>
      <c r="L290" t="str">
        <f>LEFT(Table1[[#This Row],[Category]],3)</f>
        <v>Clo</v>
      </c>
      <c r="M290">
        <v>10</v>
      </c>
      <c r="N290" s="4" t="str">
        <f t="shared" si="14"/>
        <v>normal order</v>
      </c>
      <c r="O290">
        <f>SQRT(Table1[[#This Row],[Quantity]])</f>
        <v>3.1622776601683795</v>
      </c>
      <c r="P290">
        <v>1667.34</v>
      </c>
      <c r="Q290">
        <v>16673.400000000001</v>
      </c>
    </row>
    <row r="291" spans="1:17" x14ac:dyDescent="0.25">
      <c r="A291" t="s">
        <v>297</v>
      </c>
      <c r="B291" t="str">
        <f>MID(Table1[[#This Row],[Order_ID]],2,5)</f>
        <v>RD128</v>
      </c>
      <c r="C291" s="1">
        <v>45568</v>
      </c>
      <c r="D291" t="s">
        <v>509</v>
      </c>
      <c r="E291" t="s">
        <v>519</v>
      </c>
      <c r="F291" t="str">
        <f>LOWER(Table1[[#This Row],[City]])</f>
        <v>mumbai</v>
      </c>
      <c r="G291" t="str">
        <f>UPPER(Table1[[#This Row],[City]])</f>
        <v>MUMBAI</v>
      </c>
      <c r="H291" t="str">
        <f>PROPER(Table1[[#This Row],[City]])</f>
        <v>Mumbai</v>
      </c>
      <c r="I291" t="str">
        <f t="shared" si="12"/>
        <v>CityStore _ Mumbai</v>
      </c>
      <c r="J291" t="s">
        <v>525</v>
      </c>
      <c r="K291">
        <f t="shared" si="13"/>
        <v>9</v>
      </c>
      <c r="L291" t="str">
        <f>LEFT(Table1[[#This Row],[Category]],3)</f>
        <v>Gro</v>
      </c>
      <c r="M291">
        <v>3</v>
      </c>
      <c r="N291" s="4" t="str">
        <f t="shared" si="14"/>
        <v>normal order</v>
      </c>
      <c r="O291">
        <f>SQRT(Table1[[#This Row],[Quantity]])</f>
        <v>1.7320508075688772</v>
      </c>
      <c r="P291">
        <v>150.5</v>
      </c>
      <c r="Q291">
        <v>451.5</v>
      </c>
    </row>
    <row r="292" spans="1:17" x14ac:dyDescent="0.25">
      <c r="A292" t="s">
        <v>298</v>
      </c>
      <c r="B292" t="str">
        <f>MID(Table1[[#This Row],[Order_ID]],2,5)</f>
        <v>RD129</v>
      </c>
      <c r="C292" s="1">
        <v>45299</v>
      </c>
      <c r="D292" t="s">
        <v>508</v>
      </c>
      <c r="E292" t="s">
        <v>518</v>
      </c>
      <c r="F292" t="str">
        <f>LOWER(Table1[[#This Row],[City]])</f>
        <v>pune</v>
      </c>
      <c r="G292" t="str">
        <f>UPPER(Table1[[#This Row],[City]])</f>
        <v>PUNE</v>
      </c>
      <c r="H292" t="str">
        <f>PROPER(Table1[[#This Row],[City]])</f>
        <v>Pune</v>
      </c>
      <c r="I292" t="str">
        <f t="shared" si="12"/>
        <v>ValueShop _ Pune</v>
      </c>
      <c r="J292" t="s">
        <v>521</v>
      </c>
      <c r="K292">
        <f t="shared" si="13"/>
        <v>8</v>
      </c>
      <c r="L292" t="str">
        <f>LEFT(Table1[[#This Row],[Category]],3)</f>
        <v>Clo</v>
      </c>
      <c r="M292">
        <v>9</v>
      </c>
      <c r="N292" s="4" t="str">
        <f t="shared" si="14"/>
        <v>normal order</v>
      </c>
      <c r="O292">
        <f>SQRT(Table1[[#This Row],[Quantity]])</f>
        <v>3</v>
      </c>
      <c r="P292">
        <v>785.48</v>
      </c>
      <c r="Q292">
        <v>7069.32</v>
      </c>
    </row>
    <row r="293" spans="1:17" x14ac:dyDescent="0.25">
      <c r="A293" t="s">
        <v>299</v>
      </c>
      <c r="B293" t="str">
        <f>MID(Table1[[#This Row],[Order_ID]],2,5)</f>
        <v>RD129</v>
      </c>
      <c r="C293" s="1">
        <v>45339</v>
      </c>
      <c r="D293" t="s">
        <v>508</v>
      </c>
      <c r="E293" t="s">
        <v>519</v>
      </c>
      <c r="F293" t="str">
        <f>LOWER(Table1[[#This Row],[City]])</f>
        <v>mumbai</v>
      </c>
      <c r="G293" t="str">
        <f>UPPER(Table1[[#This Row],[City]])</f>
        <v>MUMBAI</v>
      </c>
      <c r="H293" t="str">
        <f>PROPER(Table1[[#This Row],[City]])</f>
        <v>Mumbai</v>
      </c>
      <c r="I293" t="str">
        <f t="shared" si="12"/>
        <v>ValueShop _ Mumbai</v>
      </c>
      <c r="J293" t="s">
        <v>521</v>
      </c>
      <c r="K293">
        <f t="shared" si="13"/>
        <v>8</v>
      </c>
      <c r="L293" t="str">
        <f>LEFT(Table1[[#This Row],[Category]],3)</f>
        <v>Clo</v>
      </c>
      <c r="M293">
        <v>7</v>
      </c>
      <c r="N293" s="4" t="str">
        <f t="shared" si="14"/>
        <v>normal order</v>
      </c>
      <c r="O293">
        <f>SQRT(Table1[[#This Row],[Quantity]])</f>
        <v>2.6457513110645907</v>
      </c>
      <c r="P293">
        <v>1229.69</v>
      </c>
      <c r="Q293">
        <v>8607.83</v>
      </c>
    </row>
    <row r="294" spans="1:17" x14ac:dyDescent="0.25">
      <c r="A294" t="s">
        <v>300</v>
      </c>
      <c r="B294" t="str">
        <f>MID(Table1[[#This Row],[Order_ID]],2,5)</f>
        <v>RD129</v>
      </c>
      <c r="C294" s="1">
        <v>45413</v>
      </c>
      <c r="D294" t="s">
        <v>508</v>
      </c>
      <c r="E294" t="s">
        <v>517</v>
      </c>
      <c r="F294" t="str">
        <f>LOWER(Table1[[#This Row],[City]])</f>
        <v>hyderabad</v>
      </c>
      <c r="G294" t="str">
        <f>UPPER(Table1[[#This Row],[City]])</f>
        <v>HYDERABAD</v>
      </c>
      <c r="H294" t="str">
        <f>PROPER(Table1[[#This Row],[City]])</f>
        <v>Hyderabad</v>
      </c>
      <c r="I294" t="str">
        <f t="shared" si="12"/>
        <v>ValueShop _ Hyderabad</v>
      </c>
      <c r="J294" t="s">
        <v>524</v>
      </c>
      <c r="K294">
        <f t="shared" si="13"/>
        <v>4</v>
      </c>
      <c r="L294" t="str">
        <f>LEFT(Table1[[#This Row],[Category]],3)</f>
        <v>Toy</v>
      </c>
      <c r="M294">
        <v>18</v>
      </c>
      <c r="N294" s="4" t="str">
        <f t="shared" si="14"/>
        <v>bulk order</v>
      </c>
      <c r="O294">
        <f>SQRT(Table1[[#This Row],[Quantity]])</f>
        <v>4.2426406871192848</v>
      </c>
      <c r="P294">
        <v>127.12</v>
      </c>
      <c r="Q294">
        <v>2288.16</v>
      </c>
    </row>
    <row r="295" spans="1:17" x14ac:dyDescent="0.25">
      <c r="A295" t="s">
        <v>301</v>
      </c>
      <c r="B295" t="str">
        <f>MID(Table1[[#This Row],[Order_ID]],2,5)</f>
        <v>RD129</v>
      </c>
      <c r="C295" s="1">
        <v>45377</v>
      </c>
      <c r="D295" t="s">
        <v>508</v>
      </c>
      <c r="E295" t="s">
        <v>513</v>
      </c>
      <c r="F295" t="str">
        <f>LOWER(Table1[[#This Row],[City]])</f>
        <v>bangalore</v>
      </c>
      <c r="G295" t="str">
        <f>UPPER(Table1[[#This Row],[City]])</f>
        <v>BANGALORE</v>
      </c>
      <c r="H295" t="str">
        <f>PROPER(Table1[[#This Row],[City]])</f>
        <v>Bangalore</v>
      </c>
      <c r="I295" t="str">
        <f t="shared" si="12"/>
        <v>ValueShop _ Bangalore</v>
      </c>
      <c r="J295" t="s">
        <v>521</v>
      </c>
      <c r="K295">
        <f t="shared" si="13"/>
        <v>8</v>
      </c>
      <c r="L295" t="str">
        <f>LEFT(Table1[[#This Row],[Category]],3)</f>
        <v>Clo</v>
      </c>
      <c r="M295">
        <v>9</v>
      </c>
      <c r="N295" s="4" t="str">
        <f t="shared" si="14"/>
        <v>normal order</v>
      </c>
      <c r="O295">
        <f>SQRT(Table1[[#This Row],[Quantity]])</f>
        <v>3</v>
      </c>
      <c r="P295">
        <v>191.93</v>
      </c>
      <c r="Q295">
        <v>1727.37</v>
      </c>
    </row>
    <row r="296" spans="1:17" x14ac:dyDescent="0.25">
      <c r="A296" t="s">
        <v>302</v>
      </c>
      <c r="B296" t="str">
        <f>MID(Table1[[#This Row],[Order_ID]],2,5)</f>
        <v>RD129</v>
      </c>
      <c r="C296" s="1">
        <v>45500</v>
      </c>
      <c r="D296" t="s">
        <v>510</v>
      </c>
      <c r="E296" t="s">
        <v>518</v>
      </c>
      <c r="F296" t="str">
        <f>LOWER(Table1[[#This Row],[City]])</f>
        <v>pune</v>
      </c>
      <c r="G296" t="str">
        <f>UPPER(Table1[[#This Row],[City]])</f>
        <v>PUNE</v>
      </c>
      <c r="H296" t="str">
        <f>PROPER(Table1[[#This Row],[City]])</f>
        <v>Pune</v>
      </c>
      <c r="I296" t="str">
        <f t="shared" si="12"/>
        <v>QuickBuy _ Pune</v>
      </c>
      <c r="J296" t="s">
        <v>522</v>
      </c>
      <c r="K296">
        <f t="shared" si="13"/>
        <v>5</v>
      </c>
      <c r="L296" t="str">
        <f>LEFT(Table1[[#This Row],[Category]],3)</f>
        <v>Boo</v>
      </c>
      <c r="M296">
        <v>5</v>
      </c>
      <c r="N296" s="4" t="str">
        <f t="shared" si="14"/>
        <v>normal order</v>
      </c>
      <c r="O296">
        <f>SQRT(Table1[[#This Row],[Quantity]])</f>
        <v>2.2360679774997898</v>
      </c>
      <c r="P296">
        <v>1619.07</v>
      </c>
      <c r="Q296">
        <v>8095.3499999999995</v>
      </c>
    </row>
    <row r="297" spans="1:17" x14ac:dyDescent="0.25">
      <c r="A297" t="s">
        <v>303</v>
      </c>
      <c r="B297" t="str">
        <f>MID(Table1[[#This Row],[Order_ID]],2,5)</f>
        <v>RD129</v>
      </c>
      <c r="C297" s="1">
        <v>45540</v>
      </c>
      <c r="D297" t="s">
        <v>508</v>
      </c>
      <c r="E297" t="s">
        <v>515</v>
      </c>
      <c r="F297" t="str">
        <f>LOWER(Table1[[#This Row],[City]])</f>
        <v>kolkata</v>
      </c>
      <c r="G297" t="str">
        <f>UPPER(Table1[[#This Row],[City]])</f>
        <v>KOLKATA</v>
      </c>
      <c r="H297" t="str">
        <f>PROPER(Table1[[#This Row],[City]])</f>
        <v>Kolkata</v>
      </c>
      <c r="I297" t="str">
        <f t="shared" si="12"/>
        <v>ValueShop _ Kolkata</v>
      </c>
      <c r="J297" t="s">
        <v>520</v>
      </c>
      <c r="K297">
        <f t="shared" si="13"/>
        <v>11</v>
      </c>
      <c r="L297" t="str">
        <f>LEFT(Table1[[#This Row],[Category]],3)</f>
        <v>Ele</v>
      </c>
      <c r="M297">
        <v>10</v>
      </c>
      <c r="N297" s="4" t="str">
        <f t="shared" si="14"/>
        <v>normal order</v>
      </c>
      <c r="O297">
        <f>SQRT(Table1[[#This Row],[Quantity]])</f>
        <v>3.1622776601683795</v>
      </c>
      <c r="P297">
        <v>1195.79</v>
      </c>
      <c r="Q297">
        <v>11957.9</v>
      </c>
    </row>
    <row r="298" spans="1:17" x14ac:dyDescent="0.25">
      <c r="A298" t="s">
        <v>304</v>
      </c>
      <c r="B298" t="str">
        <f>MID(Table1[[#This Row],[Order_ID]],2,5)</f>
        <v>RD129</v>
      </c>
      <c r="C298" s="1">
        <v>45538</v>
      </c>
      <c r="D298" t="s">
        <v>510</v>
      </c>
      <c r="E298" t="s">
        <v>518</v>
      </c>
      <c r="F298" t="str">
        <f>LOWER(Table1[[#This Row],[City]])</f>
        <v>pune</v>
      </c>
      <c r="G298" t="str">
        <f>UPPER(Table1[[#This Row],[City]])</f>
        <v>PUNE</v>
      </c>
      <c r="H298" t="str">
        <f>PROPER(Table1[[#This Row],[City]])</f>
        <v>Pune</v>
      </c>
      <c r="I298" t="str">
        <f t="shared" si="12"/>
        <v>QuickBuy _ Pune</v>
      </c>
      <c r="J298" t="s">
        <v>521</v>
      </c>
      <c r="K298">
        <f t="shared" si="13"/>
        <v>8</v>
      </c>
      <c r="L298" t="str">
        <f>LEFT(Table1[[#This Row],[Category]],3)</f>
        <v>Clo</v>
      </c>
      <c r="M298">
        <v>20</v>
      </c>
      <c r="N298" s="4" t="str">
        <f t="shared" si="14"/>
        <v>bulk order</v>
      </c>
      <c r="O298">
        <f>SQRT(Table1[[#This Row],[Quantity]])</f>
        <v>4.4721359549995796</v>
      </c>
      <c r="P298">
        <v>1359.33</v>
      </c>
      <c r="Q298">
        <v>27186.6</v>
      </c>
    </row>
    <row r="299" spans="1:17" x14ac:dyDescent="0.25">
      <c r="A299" t="s">
        <v>305</v>
      </c>
      <c r="B299" t="str">
        <f>MID(Table1[[#This Row],[Order_ID]],2,5)</f>
        <v>RD129</v>
      </c>
      <c r="C299" s="1">
        <v>45401</v>
      </c>
      <c r="D299" t="s">
        <v>511</v>
      </c>
      <c r="E299" t="s">
        <v>515</v>
      </c>
      <c r="F299" t="str">
        <f>LOWER(Table1[[#This Row],[City]])</f>
        <v>kolkata</v>
      </c>
      <c r="G299" t="str">
        <f>UPPER(Table1[[#This Row],[City]])</f>
        <v>KOLKATA</v>
      </c>
      <c r="H299" t="str">
        <f>PROPER(Table1[[#This Row],[City]])</f>
        <v>Kolkata</v>
      </c>
      <c r="I299" t="str">
        <f t="shared" si="12"/>
        <v>MegaMart _ Kolkata</v>
      </c>
      <c r="J299" t="s">
        <v>522</v>
      </c>
      <c r="K299">
        <f t="shared" si="13"/>
        <v>5</v>
      </c>
      <c r="L299" t="str">
        <f>LEFT(Table1[[#This Row],[Category]],3)</f>
        <v>Boo</v>
      </c>
      <c r="M299">
        <v>18</v>
      </c>
      <c r="N299" s="4" t="str">
        <f t="shared" si="14"/>
        <v>bulk order</v>
      </c>
      <c r="O299">
        <f>SQRT(Table1[[#This Row],[Quantity]])</f>
        <v>4.2426406871192848</v>
      </c>
      <c r="P299">
        <v>473.18</v>
      </c>
      <c r="Q299">
        <v>8517.24</v>
      </c>
    </row>
    <row r="300" spans="1:17" x14ac:dyDescent="0.25">
      <c r="A300" t="s">
        <v>306</v>
      </c>
      <c r="B300" t="str">
        <f>MID(Table1[[#This Row],[Order_ID]],2,5)</f>
        <v>RD129</v>
      </c>
      <c r="C300" s="1">
        <v>45497</v>
      </c>
      <c r="D300" t="s">
        <v>510</v>
      </c>
      <c r="E300" t="s">
        <v>518</v>
      </c>
      <c r="F300" t="str">
        <f>LOWER(Table1[[#This Row],[City]])</f>
        <v>pune</v>
      </c>
      <c r="G300" t="str">
        <f>UPPER(Table1[[#This Row],[City]])</f>
        <v>PUNE</v>
      </c>
      <c r="H300" t="str">
        <f>PROPER(Table1[[#This Row],[City]])</f>
        <v>Pune</v>
      </c>
      <c r="I300" t="str">
        <f t="shared" si="12"/>
        <v>QuickBuy _ Pune</v>
      </c>
      <c r="J300" t="s">
        <v>523</v>
      </c>
      <c r="K300">
        <f t="shared" si="13"/>
        <v>14</v>
      </c>
      <c r="L300" t="str">
        <f>LEFT(Table1[[#This Row],[Category]],3)</f>
        <v>Hom</v>
      </c>
      <c r="M300">
        <v>3</v>
      </c>
      <c r="N300" s="4" t="str">
        <f t="shared" si="14"/>
        <v>normal order</v>
      </c>
      <c r="O300">
        <f>SQRT(Table1[[#This Row],[Quantity]])</f>
        <v>1.7320508075688772</v>
      </c>
      <c r="P300">
        <v>457.33</v>
      </c>
      <c r="Q300">
        <v>1371.99</v>
      </c>
    </row>
    <row r="301" spans="1:17" x14ac:dyDescent="0.25">
      <c r="A301" t="s">
        <v>307</v>
      </c>
      <c r="B301" t="str">
        <f>MID(Table1[[#This Row],[Order_ID]],2,5)</f>
        <v>RD129</v>
      </c>
      <c r="C301" s="1">
        <v>45322</v>
      </c>
      <c r="D301" t="s">
        <v>509</v>
      </c>
      <c r="E301" t="s">
        <v>518</v>
      </c>
      <c r="F301" t="str">
        <f>LOWER(Table1[[#This Row],[City]])</f>
        <v>pune</v>
      </c>
      <c r="G301" t="str">
        <f>UPPER(Table1[[#This Row],[City]])</f>
        <v>PUNE</v>
      </c>
      <c r="H301" t="str">
        <f>PROPER(Table1[[#This Row],[City]])</f>
        <v>Pune</v>
      </c>
      <c r="I301" t="str">
        <f t="shared" si="12"/>
        <v>CityStore _ Pune</v>
      </c>
      <c r="J301" t="s">
        <v>523</v>
      </c>
      <c r="K301">
        <f t="shared" si="13"/>
        <v>14</v>
      </c>
      <c r="L301" t="str">
        <f>LEFT(Table1[[#This Row],[Category]],3)</f>
        <v>Hom</v>
      </c>
      <c r="M301">
        <v>17</v>
      </c>
      <c r="N301" s="4" t="str">
        <f t="shared" si="14"/>
        <v>bulk order</v>
      </c>
      <c r="O301">
        <f>SQRT(Table1[[#This Row],[Quantity]])</f>
        <v>4.1231056256176606</v>
      </c>
      <c r="P301">
        <v>1818.71</v>
      </c>
      <c r="Q301">
        <v>30918.07</v>
      </c>
    </row>
    <row r="302" spans="1:17" x14ac:dyDescent="0.25">
      <c r="A302" t="s">
        <v>308</v>
      </c>
      <c r="B302" t="str">
        <f>MID(Table1[[#This Row],[Order_ID]],2,5)</f>
        <v>RD130</v>
      </c>
      <c r="C302" s="1">
        <v>45376</v>
      </c>
      <c r="D302" t="s">
        <v>511</v>
      </c>
      <c r="E302" t="s">
        <v>515</v>
      </c>
      <c r="F302" t="str">
        <f>LOWER(Table1[[#This Row],[City]])</f>
        <v>kolkata</v>
      </c>
      <c r="G302" t="str">
        <f>UPPER(Table1[[#This Row],[City]])</f>
        <v>KOLKATA</v>
      </c>
      <c r="H302" t="str">
        <f>PROPER(Table1[[#This Row],[City]])</f>
        <v>Kolkata</v>
      </c>
      <c r="I302" t="str">
        <f t="shared" si="12"/>
        <v>MegaMart _ Kolkata</v>
      </c>
      <c r="J302" t="s">
        <v>524</v>
      </c>
      <c r="K302">
        <f t="shared" si="13"/>
        <v>4</v>
      </c>
      <c r="L302" t="str">
        <f>LEFT(Table1[[#This Row],[Category]],3)</f>
        <v>Toy</v>
      </c>
      <c r="M302">
        <v>6</v>
      </c>
      <c r="N302" s="4" t="str">
        <f t="shared" si="14"/>
        <v>normal order</v>
      </c>
      <c r="O302">
        <f>SQRT(Table1[[#This Row],[Quantity]])</f>
        <v>2.4494897427831779</v>
      </c>
      <c r="P302">
        <v>641.22</v>
      </c>
      <c r="Q302">
        <v>3847.32</v>
      </c>
    </row>
    <row r="303" spans="1:17" x14ac:dyDescent="0.25">
      <c r="A303" t="s">
        <v>309</v>
      </c>
      <c r="B303" t="str">
        <f>MID(Table1[[#This Row],[Order_ID]],2,5)</f>
        <v>RD130</v>
      </c>
      <c r="C303" s="1">
        <v>45486</v>
      </c>
      <c r="D303" t="s">
        <v>509</v>
      </c>
      <c r="E303" t="s">
        <v>519</v>
      </c>
      <c r="F303" t="str">
        <f>LOWER(Table1[[#This Row],[City]])</f>
        <v>mumbai</v>
      </c>
      <c r="G303" t="str">
        <f>UPPER(Table1[[#This Row],[City]])</f>
        <v>MUMBAI</v>
      </c>
      <c r="H303" t="str">
        <f>PROPER(Table1[[#This Row],[City]])</f>
        <v>Mumbai</v>
      </c>
      <c r="I303" t="str">
        <f t="shared" si="12"/>
        <v>CityStore _ Mumbai</v>
      </c>
      <c r="J303" t="s">
        <v>524</v>
      </c>
      <c r="K303">
        <f t="shared" si="13"/>
        <v>4</v>
      </c>
      <c r="L303" t="str">
        <f>LEFT(Table1[[#This Row],[Category]],3)</f>
        <v>Toy</v>
      </c>
      <c r="M303">
        <v>19</v>
      </c>
      <c r="N303" s="4" t="str">
        <f t="shared" si="14"/>
        <v>bulk order</v>
      </c>
      <c r="O303">
        <f>SQRT(Table1[[#This Row],[Quantity]])</f>
        <v>4.358898943540674</v>
      </c>
      <c r="P303">
        <v>1822.54</v>
      </c>
      <c r="Q303">
        <v>34628.26</v>
      </c>
    </row>
    <row r="304" spans="1:17" x14ac:dyDescent="0.25">
      <c r="A304" t="s">
        <v>310</v>
      </c>
      <c r="B304" t="str">
        <f>MID(Table1[[#This Row],[Order_ID]],2,5)</f>
        <v>RD130</v>
      </c>
      <c r="C304" s="1">
        <v>45293</v>
      </c>
      <c r="D304" t="s">
        <v>512</v>
      </c>
      <c r="E304" t="s">
        <v>518</v>
      </c>
      <c r="F304" t="str">
        <f>LOWER(Table1[[#This Row],[City]])</f>
        <v>pune</v>
      </c>
      <c r="G304" t="str">
        <f>UPPER(Table1[[#This Row],[City]])</f>
        <v>PUNE</v>
      </c>
      <c r="H304" t="str">
        <f>PROPER(Table1[[#This Row],[City]])</f>
        <v>Pune</v>
      </c>
      <c r="I304" t="str">
        <f t="shared" si="12"/>
        <v>Trendz _ Pune</v>
      </c>
      <c r="J304" t="s">
        <v>523</v>
      </c>
      <c r="K304">
        <f t="shared" si="13"/>
        <v>14</v>
      </c>
      <c r="L304" t="str">
        <f>LEFT(Table1[[#This Row],[Category]],3)</f>
        <v>Hom</v>
      </c>
      <c r="M304">
        <v>19</v>
      </c>
      <c r="N304" s="4" t="str">
        <f t="shared" si="14"/>
        <v>bulk order</v>
      </c>
      <c r="O304">
        <f>SQRT(Table1[[#This Row],[Quantity]])</f>
        <v>4.358898943540674</v>
      </c>
      <c r="P304">
        <v>463.03</v>
      </c>
      <c r="Q304">
        <v>8797.57</v>
      </c>
    </row>
    <row r="305" spans="1:17" x14ac:dyDescent="0.25">
      <c r="A305" t="s">
        <v>311</v>
      </c>
      <c r="B305" t="str">
        <f>MID(Table1[[#This Row],[Order_ID]],2,5)</f>
        <v>RD130</v>
      </c>
      <c r="C305" s="1">
        <v>45491</v>
      </c>
      <c r="D305" t="s">
        <v>512</v>
      </c>
      <c r="E305" t="s">
        <v>514</v>
      </c>
      <c r="F305" t="str">
        <f>LOWER(Table1[[#This Row],[City]])</f>
        <v>delhi</v>
      </c>
      <c r="G305" t="str">
        <f>UPPER(Table1[[#This Row],[City]])</f>
        <v>DELHI</v>
      </c>
      <c r="H305" t="str">
        <f>PROPER(Table1[[#This Row],[City]])</f>
        <v>Delhi</v>
      </c>
      <c r="I305" t="str">
        <f t="shared" si="12"/>
        <v>Trendz _ Delhi</v>
      </c>
      <c r="J305" t="s">
        <v>522</v>
      </c>
      <c r="K305">
        <f t="shared" si="13"/>
        <v>5</v>
      </c>
      <c r="L305" t="str">
        <f>LEFT(Table1[[#This Row],[Category]],3)</f>
        <v>Boo</v>
      </c>
      <c r="M305">
        <v>5</v>
      </c>
      <c r="N305" s="4" t="str">
        <f t="shared" si="14"/>
        <v>normal order</v>
      </c>
      <c r="O305">
        <f>SQRT(Table1[[#This Row],[Quantity]])</f>
        <v>2.2360679774997898</v>
      </c>
      <c r="P305">
        <v>420.55</v>
      </c>
      <c r="Q305">
        <v>2102.75</v>
      </c>
    </row>
    <row r="306" spans="1:17" x14ac:dyDescent="0.25">
      <c r="A306" t="s">
        <v>312</v>
      </c>
      <c r="B306" t="str">
        <f>MID(Table1[[#This Row],[Order_ID]],2,5)</f>
        <v>RD130</v>
      </c>
      <c r="C306" s="1">
        <v>45427</v>
      </c>
      <c r="D306" t="s">
        <v>510</v>
      </c>
      <c r="E306" t="s">
        <v>518</v>
      </c>
      <c r="F306" t="str">
        <f>LOWER(Table1[[#This Row],[City]])</f>
        <v>pune</v>
      </c>
      <c r="G306" t="str">
        <f>UPPER(Table1[[#This Row],[City]])</f>
        <v>PUNE</v>
      </c>
      <c r="H306" t="str">
        <f>PROPER(Table1[[#This Row],[City]])</f>
        <v>Pune</v>
      </c>
      <c r="I306" t="str">
        <f t="shared" si="12"/>
        <v>QuickBuy _ Pune</v>
      </c>
      <c r="J306" t="s">
        <v>524</v>
      </c>
      <c r="K306">
        <f t="shared" si="13"/>
        <v>4</v>
      </c>
      <c r="L306" t="str">
        <f>LEFT(Table1[[#This Row],[Category]],3)</f>
        <v>Toy</v>
      </c>
      <c r="M306">
        <v>6</v>
      </c>
      <c r="N306" s="4" t="str">
        <f t="shared" si="14"/>
        <v>normal order</v>
      </c>
      <c r="O306">
        <f>SQRT(Table1[[#This Row],[Quantity]])</f>
        <v>2.4494897427831779</v>
      </c>
      <c r="P306">
        <v>1495.88</v>
      </c>
      <c r="Q306">
        <v>8975.2800000000007</v>
      </c>
    </row>
    <row r="307" spans="1:17" x14ac:dyDescent="0.25">
      <c r="A307" t="s">
        <v>313</v>
      </c>
      <c r="B307" t="str">
        <f>MID(Table1[[#This Row],[Order_ID]],2,5)</f>
        <v>RD130</v>
      </c>
      <c r="C307" s="1">
        <v>45524</v>
      </c>
      <c r="D307" t="s">
        <v>509</v>
      </c>
      <c r="E307" t="s">
        <v>518</v>
      </c>
      <c r="F307" t="str">
        <f>LOWER(Table1[[#This Row],[City]])</f>
        <v>pune</v>
      </c>
      <c r="G307" t="str">
        <f>UPPER(Table1[[#This Row],[City]])</f>
        <v>PUNE</v>
      </c>
      <c r="H307" t="str">
        <f>PROPER(Table1[[#This Row],[City]])</f>
        <v>Pune</v>
      </c>
      <c r="I307" t="str">
        <f t="shared" si="12"/>
        <v>CityStore _ Pune</v>
      </c>
      <c r="J307" t="s">
        <v>522</v>
      </c>
      <c r="K307">
        <f t="shared" si="13"/>
        <v>5</v>
      </c>
      <c r="L307" t="str">
        <f>LEFT(Table1[[#This Row],[Category]],3)</f>
        <v>Boo</v>
      </c>
      <c r="M307">
        <v>20</v>
      </c>
      <c r="N307" s="4" t="str">
        <f t="shared" si="14"/>
        <v>bulk order</v>
      </c>
      <c r="O307">
        <f>SQRT(Table1[[#This Row],[Quantity]])</f>
        <v>4.4721359549995796</v>
      </c>
      <c r="P307">
        <v>1506.41</v>
      </c>
      <c r="Q307">
        <v>30128.2</v>
      </c>
    </row>
    <row r="308" spans="1:17" x14ac:dyDescent="0.25">
      <c r="A308" t="s">
        <v>314</v>
      </c>
      <c r="B308" t="str">
        <f>MID(Table1[[#This Row],[Order_ID]],2,5)</f>
        <v>RD130</v>
      </c>
      <c r="C308" s="1">
        <v>45438</v>
      </c>
      <c r="D308" t="s">
        <v>512</v>
      </c>
      <c r="E308" t="s">
        <v>514</v>
      </c>
      <c r="F308" t="str">
        <f>LOWER(Table1[[#This Row],[City]])</f>
        <v>delhi</v>
      </c>
      <c r="G308" t="str">
        <f>UPPER(Table1[[#This Row],[City]])</f>
        <v>DELHI</v>
      </c>
      <c r="H308" t="str">
        <f>PROPER(Table1[[#This Row],[City]])</f>
        <v>Delhi</v>
      </c>
      <c r="I308" t="str">
        <f t="shared" si="12"/>
        <v>Trendz _ Delhi</v>
      </c>
      <c r="J308" t="s">
        <v>522</v>
      </c>
      <c r="K308">
        <f t="shared" si="13"/>
        <v>5</v>
      </c>
      <c r="L308" t="str">
        <f>LEFT(Table1[[#This Row],[Category]],3)</f>
        <v>Boo</v>
      </c>
      <c r="M308">
        <v>20</v>
      </c>
      <c r="N308" s="4" t="str">
        <f t="shared" si="14"/>
        <v>bulk order</v>
      </c>
      <c r="O308">
        <f>SQRT(Table1[[#This Row],[Quantity]])</f>
        <v>4.4721359549995796</v>
      </c>
      <c r="P308">
        <v>1520.94</v>
      </c>
      <c r="Q308">
        <v>30418.799999999999</v>
      </c>
    </row>
    <row r="309" spans="1:17" x14ac:dyDescent="0.25">
      <c r="A309" t="s">
        <v>315</v>
      </c>
      <c r="B309" t="str">
        <f>MID(Table1[[#This Row],[Order_ID]],2,5)</f>
        <v>RD130</v>
      </c>
      <c r="C309" s="1">
        <v>45508</v>
      </c>
      <c r="D309" t="s">
        <v>512</v>
      </c>
      <c r="E309" t="s">
        <v>513</v>
      </c>
      <c r="F309" t="str">
        <f>LOWER(Table1[[#This Row],[City]])</f>
        <v>bangalore</v>
      </c>
      <c r="G309" t="str">
        <f>UPPER(Table1[[#This Row],[City]])</f>
        <v>BANGALORE</v>
      </c>
      <c r="H309" t="str">
        <f>PROPER(Table1[[#This Row],[City]])</f>
        <v>Bangalore</v>
      </c>
      <c r="I309" t="str">
        <f t="shared" si="12"/>
        <v>Trendz _ Bangalore</v>
      </c>
      <c r="J309" t="s">
        <v>524</v>
      </c>
      <c r="K309">
        <f t="shared" si="13"/>
        <v>4</v>
      </c>
      <c r="L309" t="str">
        <f>LEFT(Table1[[#This Row],[Category]],3)</f>
        <v>Toy</v>
      </c>
      <c r="M309">
        <v>11</v>
      </c>
      <c r="N309" s="4" t="str">
        <f t="shared" si="14"/>
        <v>bulk order</v>
      </c>
      <c r="O309">
        <f>SQRT(Table1[[#This Row],[Quantity]])</f>
        <v>3.3166247903553998</v>
      </c>
      <c r="P309">
        <v>1833.16</v>
      </c>
      <c r="Q309">
        <v>20164.759999999998</v>
      </c>
    </row>
    <row r="310" spans="1:17" x14ac:dyDescent="0.25">
      <c r="A310" t="s">
        <v>316</v>
      </c>
      <c r="B310" t="str">
        <f>MID(Table1[[#This Row],[Order_ID]],2,5)</f>
        <v>RD130</v>
      </c>
      <c r="C310" s="1">
        <v>45648</v>
      </c>
      <c r="D310" t="s">
        <v>512</v>
      </c>
      <c r="E310" t="s">
        <v>515</v>
      </c>
      <c r="F310" t="str">
        <f>LOWER(Table1[[#This Row],[City]])</f>
        <v>kolkata</v>
      </c>
      <c r="G310" t="str">
        <f>UPPER(Table1[[#This Row],[City]])</f>
        <v>KOLKATA</v>
      </c>
      <c r="H310" t="str">
        <f>PROPER(Table1[[#This Row],[City]])</f>
        <v>Kolkata</v>
      </c>
      <c r="I310" t="str">
        <f t="shared" si="12"/>
        <v>Trendz _ Kolkata</v>
      </c>
      <c r="J310" t="s">
        <v>525</v>
      </c>
      <c r="K310">
        <f t="shared" si="13"/>
        <v>9</v>
      </c>
      <c r="L310" t="str">
        <f>LEFT(Table1[[#This Row],[Category]],3)</f>
        <v>Gro</v>
      </c>
      <c r="M310">
        <v>19</v>
      </c>
      <c r="N310" s="4" t="str">
        <f t="shared" si="14"/>
        <v>bulk order</v>
      </c>
      <c r="O310">
        <f>SQRT(Table1[[#This Row],[Quantity]])</f>
        <v>4.358898943540674</v>
      </c>
      <c r="P310">
        <v>1406.47</v>
      </c>
      <c r="Q310">
        <v>26722.93</v>
      </c>
    </row>
    <row r="311" spans="1:17" x14ac:dyDescent="0.25">
      <c r="A311" t="s">
        <v>317</v>
      </c>
      <c r="B311" t="str">
        <f>MID(Table1[[#This Row],[Order_ID]],2,5)</f>
        <v>RD130</v>
      </c>
      <c r="C311" s="1">
        <v>45576</v>
      </c>
      <c r="D311" t="s">
        <v>511</v>
      </c>
      <c r="E311" t="s">
        <v>516</v>
      </c>
      <c r="F311" t="str">
        <f>LOWER(Table1[[#This Row],[City]])</f>
        <v>chennai</v>
      </c>
      <c r="G311" t="str">
        <f>UPPER(Table1[[#This Row],[City]])</f>
        <v>CHENNAI</v>
      </c>
      <c r="H311" t="str">
        <f>PROPER(Table1[[#This Row],[City]])</f>
        <v>Chennai</v>
      </c>
      <c r="I311" t="str">
        <f t="shared" si="12"/>
        <v>MegaMart _ Chennai</v>
      </c>
      <c r="J311" t="s">
        <v>522</v>
      </c>
      <c r="K311">
        <f t="shared" si="13"/>
        <v>5</v>
      </c>
      <c r="L311" t="str">
        <f>LEFT(Table1[[#This Row],[Category]],3)</f>
        <v>Boo</v>
      </c>
      <c r="M311">
        <v>2</v>
      </c>
      <c r="N311" s="4" t="str">
        <f t="shared" si="14"/>
        <v>normal order</v>
      </c>
      <c r="O311">
        <f>SQRT(Table1[[#This Row],[Quantity]])</f>
        <v>1.4142135623730951</v>
      </c>
      <c r="P311">
        <v>1422.35</v>
      </c>
      <c r="Q311">
        <v>2844.7</v>
      </c>
    </row>
    <row r="312" spans="1:17" x14ac:dyDescent="0.25">
      <c r="A312" t="s">
        <v>318</v>
      </c>
      <c r="B312" t="str">
        <f>MID(Table1[[#This Row],[Order_ID]],2,5)</f>
        <v>RD131</v>
      </c>
      <c r="C312" s="1">
        <v>45630</v>
      </c>
      <c r="D312" t="s">
        <v>511</v>
      </c>
      <c r="E312" t="s">
        <v>514</v>
      </c>
      <c r="F312" t="str">
        <f>LOWER(Table1[[#This Row],[City]])</f>
        <v>delhi</v>
      </c>
      <c r="G312" t="str">
        <f>UPPER(Table1[[#This Row],[City]])</f>
        <v>DELHI</v>
      </c>
      <c r="H312" t="str">
        <f>PROPER(Table1[[#This Row],[City]])</f>
        <v>Delhi</v>
      </c>
      <c r="I312" t="str">
        <f t="shared" si="12"/>
        <v>MegaMart _ Delhi</v>
      </c>
      <c r="J312" t="s">
        <v>525</v>
      </c>
      <c r="K312">
        <f t="shared" si="13"/>
        <v>9</v>
      </c>
      <c r="L312" t="str">
        <f>LEFT(Table1[[#This Row],[Category]],3)</f>
        <v>Gro</v>
      </c>
      <c r="M312">
        <v>1</v>
      </c>
      <c r="N312" s="4" t="str">
        <f t="shared" si="14"/>
        <v>normal order</v>
      </c>
      <c r="O312">
        <f>SQRT(Table1[[#This Row],[Quantity]])</f>
        <v>1</v>
      </c>
      <c r="P312">
        <v>823.43</v>
      </c>
      <c r="Q312">
        <v>823.43</v>
      </c>
    </row>
    <row r="313" spans="1:17" x14ac:dyDescent="0.25">
      <c r="A313" t="s">
        <v>319</v>
      </c>
      <c r="B313" t="str">
        <f>MID(Table1[[#This Row],[Order_ID]],2,5)</f>
        <v>RD131</v>
      </c>
      <c r="C313" s="1">
        <v>45541</v>
      </c>
      <c r="D313" t="s">
        <v>508</v>
      </c>
      <c r="E313" t="s">
        <v>517</v>
      </c>
      <c r="F313" t="str">
        <f>LOWER(Table1[[#This Row],[City]])</f>
        <v>hyderabad</v>
      </c>
      <c r="G313" t="str">
        <f>UPPER(Table1[[#This Row],[City]])</f>
        <v>HYDERABAD</v>
      </c>
      <c r="H313" t="str">
        <f>PROPER(Table1[[#This Row],[City]])</f>
        <v>Hyderabad</v>
      </c>
      <c r="I313" t="str">
        <f t="shared" si="12"/>
        <v>ValueShop _ Hyderabad</v>
      </c>
      <c r="J313" t="s">
        <v>521</v>
      </c>
      <c r="K313">
        <f t="shared" si="13"/>
        <v>8</v>
      </c>
      <c r="L313" t="str">
        <f>LEFT(Table1[[#This Row],[Category]],3)</f>
        <v>Clo</v>
      </c>
      <c r="M313">
        <v>3</v>
      </c>
      <c r="N313" s="4" t="str">
        <f t="shared" si="14"/>
        <v>normal order</v>
      </c>
      <c r="O313">
        <f>SQRT(Table1[[#This Row],[Quantity]])</f>
        <v>1.7320508075688772</v>
      </c>
      <c r="P313">
        <v>516.70000000000005</v>
      </c>
      <c r="Q313">
        <v>1550.1</v>
      </c>
    </row>
    <row r="314" spans="1:17" x14ac:dyDescent="0.25">
      <c r="A314" t="s">
        <v>320</v>
      </c>
      <c r="B314" t="str">
        <f>MID(Table1[[#This Row],[Order_ID]],2,5)</f>
        <v>RD131</v>
      </c>
      <c r="C314" s="1">
        <v>45371</v>
      </c>
      <c r="D314" t="s">
        <v>509</v>
      </c>
      <c r="E314" t="s">
        <v>513</v>
      </c>
      <c r="F314" t="str">
        <f>LOWER(Table1[[#This Row],[City]])</f>
        <v>bangalore</v>
      </c>
      <c r="G314" t="str">
        <f>UPPER(Table1[[#This Row],[City]])</f>
        <v>BANGALORE</v>
      </c>
      <c r="H314" t="str">
        <f>PROPER(Table1[[#This Row],[City]])</f>
        <v>Bangalore</v>
      </c>
      <c r="I314" t="str">
        <f t="shared" si="12"/>
        <v>CityStore _ Bangalore</v>
      </c>
      <c r="J314" t="s">
        <v>523</v>
      </c>
      <c r="K314">
        <f t="shared" si="13"/>
        <v>14</v>
      </c>
      <c r="L314" t="str">
        <f>LEFT(Table1[[#This Row],[Category]],3)</f>
        <v>Hom</v>
      </c>
      <c r="M314">
        <v>2</v>
      </c>
      <c r="N314" s="4" t="str">
        <f t="shared" si="14"/>
        <v>normal order</v>
      </c>
      <c r="O314">
        <f>SQRT(Table1[[#This Row],[Quantity]])</f>
        <v>1.4142135623730951</v>
      </c>
      <c r="P314">
        <v>677.15</v>
      </c>
      <c r="Q314">
        <v>1354.3</v>
      </c>
    </row>
    <row r="315" spans="1:17" x14ac:dyDescent="0.25">
      <c r="A315" t="s">
        <v>321</v>
      </c>
      <c r="B315" t="str">
        <f>MID(Table1[[#This Row],[Order_ID]],2,5)</f>
        <v>RD131</v>
      </c>
      <c r="C315" s="1">
        <v>45389</v>
      </c>
      <c r="D315" t="s">
        <v>512</v>
      </c>
      <c r="E315" t="s">
        <v>518</v>
      </c>
      <c r="F315" t="str">
        <f>LOWER(Table1[[#This Row],[City]])</f>
        <v>pune</v>
      </c>
      <c r="G315" t="str">
        <f>UPPER(Table1[[#This Row],[City]])</f>
        <v>PUNE</v>
      </c>
      <c r="H315" t="str">
        <f>PROPER(Table1[[#This Row],[City]])</f>
        <v>Pune</v>
      </c>
      <c r="I315" t="str">
        <f t="shared" si="12"/>
        <v>Trendz _ Pune</v>
      </c>
      <c r="J315" t="s">
        <v>520</v>
      </c>
      <c r="K315">
        <f t="shared" si="13"/>
        <v>11</v>
      </c>
      <c r="L315" t="str">
        <f>LEFT(Table1[[#This Row],[Category]],3)</f>
        <v>Ele</v>
      </c>
      <c r="M315">
        <v>19</v>
      </c>
      <c r="N315" s="4" t="str">
        <f t="shared" si="14"/>
        <v>bulk order</v>
      </c>
      <c r="O315">
        <f>SQRT(Table1[[#This Row],[Quantity]])</f>
        <v>4.358898943540674</v>
      </c>
      <c r="P315">
        <v>601.97</v>
      </c>
      <c r="Q315">
        <v>11437.43</v>
      </c>
    </row>
    <row r="316" spans="1:17" x14ac:dyDescent="0.25">
      <c r="A316" t="s">
        <v>322</v>
      </c>
      <c r="B316" t="str">
        <f>MID(Table1[[#This Row],[Order_ID]],2,5)</f>
        <v>RD131</v>
      </c>
      <c r="C316" s="1">
        <v>45443</v>
      </c>
      <c r="D316" t="s">
        <v>509</v>
      </c>
      <c r="E316" t="s">
        <v>519</v>
      </c>
      <c r="F316" t="str">
        <f>LOWER(Table1[[#This Row],[City]])</f>
        <v>mumbai</v>
      </c>
      <c r="G316" t="str">
        <f>UPPER(Table1[[#This Row],[City]])</f>
        <v>MUMBAI</v>
      </c>
      <c r="H316" t="str">
        <f>PROPER(Table1[[#This Row],[City]])</f>
        <v>Mumbai</v>
      </c>
      <c r="I316" t="str">
        <f t="shared" si="12"/>
        <v>CityStore _ Mumbai</v>
      </c>
      <c r="J316" t="s">
        <v>523</v>
      </c>
      <c r="K316">
        <f t="shared" si="13"/>
        <v>14</v>
      </c>
      <c r="L316" t="str">
        <f>LEFT(Table1[[#This Row],[Category]],3)</f>
        <v>Hom</v>
      </c>
      <c r="M316">
        <v>9</v>
      </c>
      <c r="N316" s="4" t="str">
        <f t="shared" si="14"/>
        <v>normal order</v>
      </c>
      <c r="O316">
        <f>SQRT(Table1[[#This Row],[Quantity]])</f>
        <v>3</v>
      </c>
      <c r="P316">
        <v>959.19</v>
      </c>
      <c r="Q316">
        <v>8632.7100000000009</v>
      </c>
    </row>
    <row r="317" spans="1:17" x14ac:dyDescent="0.25">
      <c r="A317" t="s">
        <v>323</v>
      </c>
      <c r="B317" t="str">
        <f>MID(Table1[[#This Row],[Order_ID]],2,5)</f>
        <v>RD131</v>
      </c>
      <c r="C317" s="1">
        <v>45403</v>
      </c>
      <c r="D317" t="s">
        <v>508</v>
      </c>
      <c r="E317" t="s">
        <v>514</v>
      </c>
      <c r="F317" t="str">
        <f>LOWER(Table1[[#This Row],[City]])</f>
        <v>delhi</v>
      </c>
      <c r="G317" t="str">
        <f>UPPER(Table1[[#This Row],[City]])</f>
        <v>DELHI</v>
      </c>
      <c r="H317" t="str">
        <f>PROPER(Table1[[#This Row],[City]])</f>
        <v>Delhi</v>
      </c>
      <c r="I317" t="str">
        <f t="shared" si="12"/>
        <v>ValueShop _ Delhi</v>
      </c>
      <c r="J317" t="s">
        <v>523</v>
      </c>
      <c r="K317">
        <f t="shared" si="13"/>
        <v>14</v>
      </c>
      <c r="L317" t="str">
        <f>LEFT(Table1[[#This Row],[Category]],3)</f>
        <v>Hom</v>
      </c>
      <c r="M317">
        <v>7</v>
      </c>
      <c r="N317" s="4" t="str">
        <f t="shared" si="14"/>
        <v>normal order</v>
      </c>
      <c r="O317">
        <f>SQRT(Table1[[#This Row],[Quantity]])</f>
        <v>2.6457513110645907</v>
      </c>
      <c r="P317">
        <v>1315.01</v>
      </c>
      <c r="Q317">
        <v>9205.07</v>
      </c>
    </row>
    <row r="318" spans="1:17" x14ac:dyDescent="0.25">
      <c r="A318" t="s">
        <v>324</v>
      </c>
      <c r="B318" t="str">
        <f>MID(Table1[[#This Row],[Order_ID]],2,5)</f>
        <v>RD131</v>
      </c>
      <c r="C318" s="1">
        <v>45321</v>
      </c>
      <c r="D318" t="s">
        <v>510</v>
      </c>
      <c r="E318" t="s">
        <v>513</v>
      </c>
      <c r="F318" t="str">
        <f>LOWER(Table1[[#This Row],[City]])</f>
        <v>bangalore</v>
      </c>
      <c r="G318" t="str">
        <f>UPPER(Table1[[#This Row],[City]])</f>
        <v>BANGALORE</v>
      </c>
      <c r="H318" t="str">
        <f>PROPER(Table1[[#This Row],[City]])</f>
        <v>Bangalore</v>
      </c>
      <c r="I318" t="str">
        <f t="shared" si="12"/>
        <v>QuickBuy _ Bangalore</v>
      </c>
      <c r="J318" t="s">
        <v>522</v>
      </c>
      <c r="K318">
        <f t="shared" si="13"/>
        <v>5</v>
      </c>
      <c r="L318" t="str">
        <f>LEFT(Table1[[#This Row],[Category]],3)</f>
        <v>Boo</v>
      </c>
      <c r="M318">
        <v>19</v>
      </c>
      <c r="N318" s="4" t="str">
        <f t="shared" si="14"/>
        <v>bulk order</v>
      </c>
      <c r="O318">
        <f>SQRT(Table1[[#This Row],[Quantity]])</f>
        <v>4.358898943540674</v>
      </c>
      <c r="P318">
        <v>651.41999999999996</v>
      </c>
      <c r="Q318">
        <v>12376.98</v>
      </c>
    </row>
    <row r="319" spans="1:17" x14ac:dyDescent="0.25">
      <c r="A319" t="s">
        <v>325</v>
      </c>
      <c r="B319" t="str">
        <f>MID(Table1[[#This Row],[Order_ID]],2,5)</f>
        <v>RD131</v>
      </c>
      <c r="C319" s="1">
        <v>45588</v>
      </c>
      <c r="D319" t="s">
        <v>508</v>
      </c>
      <c r="E319" t="s">
        <v>513</v>
      </c>
      <c r="F319" t="str">
        <f>LOWER(Table1[[#This Row],[City]])</f>
        <v>bangalore</v>
      </c>
      <c r="G319" t="str">
        <f>UPPER(Table1[[#This Row],[City]])</f>
        <v>BANGALORE</v>
      </c>
      <c r="H319" t="str">
        <f>PROPER(Table1[[#This Row],[City]])</f>
        <v>Bangalore</v>
      </c>
      <c r="I319" t="str">
        <f t="shared" si="12"/>
        <v>ValueShop _ Bangalore</v>
      </c>
      <c r="J319" t="s">
        <v>525</v>
      </c>
      <c r="K319">
        <f t="shared" si="13"/>
        <v>9</v>
      </c>
      <c r="L319" t="str">
        <f>LEFT(Table1[[#This Row],[Category]],3)</f>
        <v>Gro</v>
      </c>
      <c r="M319">
        <v>14</v>
      </c>
      <c r="N319" s="4" t="str">
        <f t="shared" si="14"/>
        <v>bulk order</v>
      </c>
      <c r="O319">
        <f>SQRT(Table1[[#This Row],[Quantity]])</f>
        <v>3.7416573867739413</v>
      </c>
      <c r="P319">
        <v>751.31</v>
      </c>
      <c r="Q319">
        <v>10518.34</v>
      </c>
    </row>
    <row r="320" spans="1:17" x14ac:dyDescent="0.25">
      <c r="A320" t="s">
        <v>326</v>
      </c>
      <c r="B320" t="str">
        <f>MID(Table1[[#This Row],[Order_ID]],2,5)</f>
        <v>RD131</v>
      </c>
      <c r="C320" s="1">
        <v>45569</v>
      </c>
      <c r="D320" t="s">
        <v>512</v>
      </c>
      <c r="E320" t="s">
        <v>518</v>
      </c>
      <c r="F320" t="str">
        <f>LOWER(Table1[[#This Row],[City]])</f>
        <v>pune</v>
      </c>
      <c r="G320" t="str">
        <f>UPPER(Table1[[#This Row],[City]])</f>
        <v>PUNE</v>
      </c>
      <c r="H320" t="str">
        <f>PROPER(Table1[[#This Row],[City]])</f>
        <v>Pune</v>
      </c>
      <c r="I320" t="str">
        <f t="shared" si="12"/>
        <v>Trendz _ Pune</v>
      </c>
      <c r="J320" t="s">
        <v>525</v>
      </c>
      <c r="K320">
        <f t="shared" si="13"/>
        <v>9</v>
      </c>
      <c r="L320" t="str">
        <f>LEFT(Table1[[#This Row],[Category]],3)</f>
        <v>Gro</v>
      </c>
      <c r="M320">
        <v>20</v>
      </c>
      <c r="N320" s="4" t="str">
        <f t="shared" si="14"/>
        <v>bulk order</v>
      </c>
      <c r="O320">
        <f>SQRT(Table1[[#This Row],[Quantity]])</f>
        <v>4.4721359549995796</v>
      </c>
      <c r="P320">
        <v>1771.48</v>
      </c>
      <c r="Q320">
        <v>35429.599999999999</v>
      </c>
    </row>
    <row r="321" spans="1:17" x14ac:dyDescent="0.25">
      <c r="A321" t="s">
        <v>327</v>
      </c>
      <c r="B321" t="str">
        <f>MID(Table1[[#This Row],[Order_ID]],2,5)</f>
        <v>RD131</v>
      </c>
      <c r="C321" s="1">
        <v>45323</v>
      </c>
      <c r="D321" t="s">
        <v>510</v>
      </c>
      <c r="E321" t="s">
        <v>516</v>
      </c>
      <c r="F321" t="str">
        <f>LOWER(Table1[[#This Row],[City]])</f>
        <v>chennai</v>
      </c>
      <c r="G321" t="str">
        <f>UPPER(Table1[[#This Row],[City]])</f>
        <v>CHENNAI</v>
      </c>
      <c r="H321" t="str">
        <f>PROPER(Table1[[#This Row],[City]])</f>
        <v>Chennai</v>
      </c>
      <c r="I321" t="str">
        <f t="shared" si="12"/>
        <v>QuickBuy _ Chennai</v>
      </c>
      <c r="J321" t="s">
        <v>524</v>
      </c>
      <c r="K321">
        <f t="shared" si="13"/>
        <v>4</v>
      </c>
      <c r="L321" t="str">
        <f>LEFT(Table1[[#This Row],[Category]],3)</f>
        <v>Toy</v>
      </c>
      <c r="M321">
        <v>1</v>
      </c>
      <c r="N321" s="4" t="str">
        <f t="shared" si="14"/>
        <v>normal order</v>
      </c>
      <c r="O321">
        <f>SQRT(Table1[[#This Row],[Quantity]])</f>
        <v>1</v>
      </c>
      <c r="P321">
        <v>958.71</v>
      </c>
      <c r="Q321">
        <v>958.71</v>
      </c>
    </row>
    <row r="322" spans="1:17" x14ac:dyDescent="0.25">
      <c r="A322" t="s">
        <v>328</v>
      </c>
      <c r="B322" t="str">
        <f>MID(Table1[[#This Row],[Order_ID]],2,5)</f>
        <v>RD132</v>
      </c>
      <c r="C322" s="1">
        <v>45452</v>
      </c>
      <c r="D322" t="s">
        <v>510</v>
      </c>
      <c r="E322" t="s">
        <v>519</v>
      </c>
      <c r="F322" t="str">
        <f>LOWER(Table1[[#This Row],[City]])</f>
        <v>mumbai</v>
      </c>
      <c r="G322" t="str">
        <f>UPPER(Table1[[#This Row],[City]])</f>
        <v>MUMBAI</v>
      </c>
      <c r="H322" t="str">
        <f>PROPER(Table1[[#This Row],[City]])</f>
        <v>Mumbai</v>
      </c>
      <c r="I322" t="str">
        <f t="shared" ref="I322:I385" si="15">CONCATENATE(D322," _ ",E322)</f>
        <v>QuickBuy _ Mumbai</v>
      </c>
      <c r="J322" t="s">
        <v>520</v>
      </c>
      <c r="K322">
        <f t="shared" ref="K322:K385" si="16">LEN(J322)</f>
        <v>11</v>
      </c>
      <c r="L322" t="str">
        <f>LEFT(Table1[[#This Row],[Category]],3)</f>
        <v>Ele</v>
      </c>
      <c r="M322">
        <v>16</v>
      </c>
      <c r="N322" s="4" t="str">
        <f t="shared" si="14"/>
        <v>bulk order</v>
      </c>
      <c r="O322">
        <f>SQRT(Table1[[#This Row],[Quantity]])</f>
        <v>4</v>
      </c>
      <c r="P322">
        <v>1615.49</v>
      </c>
      <c r="Q322">
        <v>25847.84</v>
      </c>
    </row>
    <row r="323" spans="1:17" x14ac:dyDescent="0.25">
      <c r="A323" t="s">
        <v>329</v>
      </c>
      <c r="B323" t="str">
        <f>MID(Table1[[#This Row],[Order_ID]],2,5)</f>
        <v>RD132</v>
      </c>
      <c r="C323" s="1">
        <v>45321</v>
      </c>
      <c r="D323" t="s">
        <v>508</v>
      </c>
      <c r="E323" t="s">
        <v>519</v>
      </c>
      <c r="F323" t="str">
        <f>LOWER(Table1[[#This Row],[City]])</f>
        <v>mumbai</v>
      </c>
      <c r="G323" t="str">
        <f>UPPER(Table1[[#This Row],[City]])</f>
        <v>MUMBAI</v>
      </c>
      <c r="H323" t="str">
        <f>PROPER(Table1[[#This Row],[City]])</f>
        <v>Mumbai</v>
      </c>
      <c r="I323" t="str">
        <f t="shared" si="15"/>
        <v>ValueShop _ Mumbai</v>
      </c>
      <c r="J323" t="s">
        <v>525</v>
      </c>
      <c r="K323">
        <f t="shared" si="16"/>
        <v>9</v>
      </c>
      <c r="L323" t="str">
        <f>LEFT(Table1[[#This Row],[Category]],3)</f>
        <v>Gro</v>
      </c>
      <c r="M323">
        <v>18</v>
      </c>
      <c r="N323" s="4" t="str">
        <f t="shared" ref="N323:N386" si="17">IF(M323&gt;10,"bulk order","normal order")</f>
        <v>bulk order</v>
      </c>
      <c r="O323">
        <f>SQRT(Table1[[#This Row],[Quantity]])</f>
        <v>4.2426406871192848</v>
      </c>
      <c r="P323">
        <v>1458.71</v>
      </c>
      <c r="Q323">
        <v>26256.78</v>
      </c>
    </row>
    <row r="324" spans="1:17" x14ac:dyDescent="0.25">
      <c r="A324" t="s">
        <v>330</v>
      </c>
      <c r="B324" t="str">
        <f>MID(Table1[[#This Row],[Order_ID]],2,5)</f>
        <v>RD132</v>
      </c>
      <c r="C324" s="1">
        <v>45317</v>
      </c>
      <c r="D324" t="s">
        <v>512</v>
      </c>
      <c r="E324" t="s">
        <v>519</v>
      </c>
      <c r="F324" t="str">
        <f>LOWER(Table1[[#This Row],[City]])</f>
        <v>mumbai</v>
      </c>
      <c r="G324" t="str">
        <f>UPPER(Table1[[#This Row],[City]])</f>
        <v>MUMBAI</v>
      </c>
      <c r="H324" t="str">
        <f>PROPER(Table1[[#This Row],[City]])</f>
        <v>Mumbai</v>
      </c>
      <c r="I324" t="str">
        <f t="shared" si="15"/>
        <v>Trendz _ Mumbai</v>
      </c>
      <c r="J324" t="s">
        <v>524</v>
      </c>
      <c r="K324">
        <f t="shared" si="16"/>
        <v>4</v>
      </c>
      <c r="L324" t="str">
        <f>LEFT(Table1[[#This Row],[Category]],3)</f>
        <v>Toy</v>
      </c>
      <c r="M324">
        <v>10</v>
      </c>
      <c r="N324" s="4" t="str">
        <f t="shared" si="17"/>
        <v>normal order</v>
      </c>
      <c r="O324">
        <f>SQRT(Table1[[#This Row],[Quantity]])</f>
        <v>3.1622776601683795</v>
      </c>
      <c r="P324">
        <v>1535.18</v>
      </c>
      <c r="Q324">
        <v>15351.8</v>
      </c>
    </row>
    <row r="325" spans="1:17" x14ac:dyDescent="0.25">
      <c r="A325" t="s">
        <v>331</v>
      </c>
      <c r="B325" t="str">
        <f>MID(Table1[[#This Row],[Order_ID]],2,5)</f>
        <v>RD132</v>
      </c>
      <c r="C325" s="1">
        <v>45591</v>
      </c>
      <c r="D325" t="s">
        <v>510</v>
      </c>
      <c r="E325" t="s">
        <v>515</v>
      </c>
      <c r="F325" t="str">
        <f>LOWER(Table1[[#This Row],[City]])</f>
        <v>kolkata</v>
      </c>
      <c r="G325" t="str">
        <f>UPPER(Table1[[#This Row],[City]])</f>
        <v>KOLKATA</v>
      </c>
      <c r="H325" t="str">
        <f>PROPER(Table1[[#This Row],[City]])</f>
        <v>Kolkata</v>
      </c>
      <c r="I325" t="str">
        <f t="shared" si="15"/>
        <v>QuickBuy _ Kolkata</v>
      </c>
      <c r="J325" t="s">
        <v>520</v>
      </c>
      <c r="K325">
        <f t="shared" si="16"/>
        <v>11</v>
      </c>
      <c r="L325" t="str">
        <f>LEFT(Table1[[#This Row],[Category]],3)</f>
        <v>Ele</v>
      </c>
      <c r="M325">
        <v>10</v>
      </c>
      <c r="N325" s="4" t="str">
        <f t="shared" si="17"/>
        <v>normal order</v>
      </c>
      <c r="O325">
        <f>SQRT(Table1[[#This Row],[Quantity]])</f>
        <v>3.1622776601683795</v>
      </c>
      <c r="P325">
        <v>674.45</v>
      </c>
      <c r="Q325">
        <v>6744.5</v>
      </c>
    </row>
    <row r="326" spans="1:17" x14ac:dyDescent="0.25">
      <c r="A326" t="s">
        <v>332</v>
      </c>
      <c r="B326" t="str">
        <f>MID(Table1[[#This Row],[Order_ID]],2,5)</f>
        <v>RD132</v>
      </c>
      <c r="C326" s="1">
        <v>45536</v>
      </c>
      <c r="D326" t="s">
        <v>508</v>
      </c>
      <c r="E326" t="s">
        <v>517</v>
      </c>
      <c r="F326" t="str">
        <f>LOWER(Table1[[#This Row],[City]])</f>
        <v>hyderabad</v>
      </c>
      <c r="G326" t="str">
        <f>UPPER(Table1[[#This Row],[City]])</f>
        <v>HYDERABAD</v>
      </c>
      <c r="H326" t="str">
        <f>PROPER(Table1[[#This Row],[City]])</f>
        <v>Hyderabad</v>
      </c>
      <c r="I326" t="str">
        <f t="shared" si="15"/>
        <v>ValueShop _ Hyderabad</v>
      </c>
      <c r="J326" t="s">
        <v>525</v>
      </c>
      <c r="K326">
        <f t="shared" si="16"/>
        <v>9</v>
      </c>
      <c r="L326" t="str">
        <f>LEFT(Table1[[#This Row],[Category]],3)</f>
        <v>Gro</v>
      </c>
      <c r="M326">
        <v>16</v>
      </c>
      <c r="N326" s="4" t="str">
        <f t="shared" si="17"/>
        <v>bulk order</v>
      </c>
      <c r="O326">
        <f>SQRT(Table1[[#This Row],[Quantity]])</f>
        <v>4</v>
      </c>
      <c r="P326">
        <v>446.1</v>
      </c>
      <c r="Q326">
        <v>7137.6</v>
      </c>
    </row>
    <row r="327" spans="1:17" x14ac:dyDescent="0.25">
      <c r="A327" t="s">
        <v>333</v>
      </c>
      <c r="B327" t="str">
        <f>MID(Table1[[#This Row],[Order_ID]],2,5)</f>
        <v>RD132</v>
      </c>
      <c r="C327" s="1">
        <v>45549</v>
      </c>
      <c r="D327" t="s">
        <v>508</v>
      </c>
      <c r="E327" t="s">
        <v>513</v>
      </c>
      <c r="F327" t="str">
        <f>LOWER(Table1[[#This Row],[City]])</f>
        <v>bangalore</v>
      </c>
      <c r="G327" t="str">
        <f>UPPER(Table1[[#This Row],[City]])</f>
        <v>BANGALORE</v>
      </c>
      <c r="H327" t="str">
        <f>PROPER(Table1[[#This Row],[City]])</f>
        <v>Bangalore</v>
      </c>
      <c r="I327" t="str">
        <f t="shared" si="15"/>
        <v>ValueShop _ Bangalore</v>
      </c>
      <c r="J327" t="s">
        <v>523</v>
      </c>
      <c r="K327">
        <f t="shared" si="16"/>
        <v>14</v>
      </c>
      <c r="L327" t="str">
        <f>LEFT(Table1[[#This Row],[Category]],3)</f>
        <v>Hom</v>
      </c>
      <c r="M327">
        <v>8</v>
      </c>
      <c r="N327" s="4" t="str">
        <f t="shared" si="17"/>
        <v>normal order</v>
      </c>
      <c r="O327">
        <f>SQRT(Table1[[#This Row],[Quantity]])</f>
        <v>2.8284271247461903</v>
      </c>
      <c r="P327">
        <v>660.2</v>
      </c>
      <c r="Q327">
        <v>5281.6</v>
      </c>
    </row>
    <row r="328" spans="1:17" x14ac:dyDescent="0.25">
      <c r="A328" t="s">
        <v>334</v>
      </c>
      <c r="B328" t="str">
        <f>MID(Table1[[#This Row],[Order_ID]],2,5)</f>
        <v>RD132</v>
      </c>
      <c r="C328" s="1">
        <v>45563</v>
      </c>
      <c r="D328" t="s">
        <v>512</v>
      </c>
      <c r="E328" t="s">
        <v>517</v>
      </c>
      <c r="F328" t="str">
        <f>LOWER(Table1[[#This Row],[City]])</f>
        <v>hyderabad</v>
      </c>
      <c r="G328" t="str">
        <f>UPPER(Table1[[#This Row],[City]])</f>
        <v>HYDERABAD</v>
      </c>
      <c r="H328" t="str">
        <f>PROPER(Table1[[#This Row],[City]])</f>
        <v>Hyderabad</v>
      </c>
      <c r="I328" t="str">
        <f t="shared" si="15"/>
        <v>Trendz _ Hyderabad</v>
      </c>
      <c r="J328" t="s">
        <v>523</v>
      </c>
      <c r="K328">
        <f t="shared" si="16"/>
        <v>14</v>
      </c>
      <c r="L328" t="str">
        <f>LEFT(Table1[[#This Row],[Category]],3)</f>
        <v>Hom</v>
      </c>
      <c r="M328">
        <v>13</v>
      </c>
      <c r="N328" s="4" t="str">
        <f t="shared" si="17"/>
        <v>bulk order</v>
      </c>
      <c r="O328">
        <f>SQRT(Table1[[#This Row],[Quantity]])</f>
        <v>3.6055512754639891</v>
      </c>
      <c r="P328">
        <v>139.15</v>
      </c>
      <c r="Q328">
        <v>1808.95</v>
      </c>
    </row>
    <row r="329" spans="1:17" x14ac:dyDescent="0.25">
      <c r="A329" t="s">
        <v>335</v>
      </c>
      <c r="B329" t="str">
        <f>MID(Table1[[#This Row],[Order_ID]],2,5)</f>
        <v>RD132</v>
      </c>
      <c r="C329" s="1">
        <v>45372</v>
      </c>
      <c r="D329" t="s">
        <v>508</v>
      </c>
      <c r="E329" t="s">
        <v>517</v>
      </c>
      <c r="F329" t="str">
        <f>LOWER(Table1[[#This Row],[City]])</f>
        <v>hyderabad</v>
      </c>
      <c r="G329" t="str">
        <f>UPPER(Table1[[#This Row],[City]])</f>
        <v>HYDERABAD</v>
      </c>
      <c r="H329" t="str">
        <f>PROPER(Table1[[#This Row],[City]])</f>
        <v>Hyderabad</v>
      </c>
      <c r="I329" t="str">
        <f t="shared" si="15"/>
        <v>ValueShop _ Hyderabad</v>
      </c>
      <c r="J329" t="s">
        <v>520</v>
      </c>
      <c r="K329">
        <f t="shared" si="16"/>
        <v>11</v>
      </c>
      <c r="L329" t="str">
        <f>LEFT(Table1[[#This Row],[Category]],3)</f>
        <v>Ele</v>
      </c>
      <c r="M329">
        <v>10</v>
      </c>
      <c r="N329" s="4" t="str">
        <f t="shared" si="17"/>
        <v>normal order</v>
      </c>
      <c r="O329">
        <f>SQRT(Table1[[#This Row],[Quantity]])</f>
        <v>3.1622776601683795</v>
      </c>
      <c r="P329">
        <v>1734.97</v>
      </c>
      <c r="Q329">
        <v>17349.7</v>
      </c>
    </row>
    <row r="330" spans="1:17" x14ac:dyDescent="0.25">
      <c r="A330" t="s">
        <v>336</v>
      </c>
      <c r="B330" t="str">
        <f>MID(Table1[[#This Row],[Order_ID]],2,5)</f>
        <v>RD132</v>
      </c>
      <c r="C330" s="1">
        <v>45321</v>
      </c>
      <c r="D330" t="s">
        <v>508</v>
      </c>
      <c r="E330" t="s">
        <v>513</v>
      </c>
      <c r="F330" t="str">
        <f>LOWER(Table1[[#This Row],[City]])</f>
        <v>bangalore</v>
      </c>
      <c r="G330" t="str">
        <f>UPPER(Table1[[#This Row],[City]])</f>
        <v>BANGALORE</v>
      </c>
      <c r="H330" t="str">
        <f>PROPER(Table1[[#This Row],[City]])</f>
        <v>Bangalore</v>
      </c>
      <c r="I330" t="str">
        <f t="shared" si="15"/>
        <v>ValueShop _ Bangalore</v>
      </c>
      <c r="J330" t="s">
        <v>520</v>
      </c>
      <c r="K330">
        <f t="shared" si="16"/>
        <v>11</v>
      </c>
      <c r="L330" t="str">
        <f>LEFT(Table1[[#This Row],[Category]],3)</f>
        <v>Ele</v>
      </c>
      <c r="M330">
        <v>15</v>
      </c>
      <c r="N330" s="4" t="str">
        <f t="shared" si="17"/>
        <v>bulk order</v>
      </c>
      <c r="O330">
        <f>SQRT(Table1[[#This Row],[Quantity]])</f>
        <v>3.872983346207417</v>
      </c>
      <c r="P330">
        <v>1495.44</v>
      </c>
      <c r="Q330">
        <v>22431.599999999999</v>
      </c>
    </row>
    <row r="331" spans="1:17" x14ac:dyDescent="0.25">
      <c r="A331" t="s">
        <v>337</v>
      </c>
      <c r="B331" t="str">
        <f>MID(Table1[[#This Row],[Order_ID]],2,5)</f>
        <v>RD132</v>
      </c>
      <c r="C331" s="1">
        <v>45552</v>
      </c>
      <c r="D331" t="s">
        <v>508</v>
      </c>
      <c r="E331" t="s">
        <v>515</v>
      </c>
      <c r="F331" t="str">
        <f>LOWER(Table1[[#This Row],[City]])</f>
        <v>kolkata</v>
      </c>
      <c r="G331" t="str">
        <f>UPPER(Table1[[#This Row],[City]])</f>
        <v>KOLKATA</v>
      </c>
      <c r="H331" t="str">
        <f>PROPER(Table1[[#This Row],[City]])</f>
        <v>Kolkata</v>
      </c>
      <c r="I331" t="str">
        <f t="shared" si="15"/>
        <v>ValueShop _ Kolkata</v>
      </c>
      <c r="J331" t="s">
        <v>525</v>
      </c>
      <c r="K331">
        <f t="shared" si="16"/>
        <v>9</v>
      </c>
      <c r="L331" t="str">
        <f>LEFT(Table1[[#This Row],[Category]],3)</f>
        <v>Gro</v>
      </c>
      <c r="M331">
        <v>3</v>
      </c>
      <c r="N331" s="4" t="str">
        <f t="shared" si="17"/>
        <v>normal order</v>
      </c>
      <c r="O331">
        <f>SQRT(Table1[[#This Row],[Quantity]])</f>
        <v>1.7320508075688772</v>
      </c>
      <c r="P331">
        <v>81.63</v>
      </c>
      <c r="Q331">
        <v>244.89</v>
      </c>
    </row>
    <row r="332" spans="1:17" x14ac:dyDescent="0.25">
      <c r="A332" t="s">
        <v>338</v>
      </c>
      <c r="B332" t="str">
        <f>MID(Table1[[#This Row],[Order_ID]],2,5)</f>
        <v>RD133</v>
      </c>
      <c r="C332" s="1">
        <v>45333</v>
      </c>
      <c r="D332" t="s">
        <v>509</v>
      </c>
      <c r="E332" t="s">
        <v>519</v>
      </c>
      <c r="F332" t="str">
        <f>LOWER(Table1[[#This Row],[City]])</f>
        <v>mumbai</v>
      </c>
      <c r="G332" t="str">
        <f>UPPER(Table1[[#This Row],[City]])</f>
        <v>MUMBAI</v>
      </c>
      <c r="H332" t="str">
        <f>PROPER(Table1[[#This Row],[City]])</f>
        <v>Mumbai</v>
      </c>
      <c r="I332" t="str">
        <f t="shared" si="15"/>
        <v>CityStore _ Mumbai</v>
      </c>
      <c r="J332" t="s">
        <v>525</v>
      </c>
      <c r="K332">
        <f t="shared" si="16"/>
        <v>9</v>
      </c>
      <c r="L332" t="str">
        <f>LEFT(Table1[[#This Row],[Category]],3)</f>
        <v>Gro</v>
      </c>
      <c r="M332">
        <v>2</v>
      </c>
      <c r="N332" s="4" t="str">
        <f t="shared" si="17"/>
        <v>normal order</v>
      </c>
      <c r="O332">
        <f>SQRT(Table1[[#This Row],[Quantity]])</f>
        <v>1.4142135623730951</v>
      </c>
      <c r="P332">
        <v>1128.96</v>
      </c>
      <c r="Q332">
        <v>2257.92</v>
      </c>
    </row>
    <row r="333" spans="1:17" x14ac:dyDescent="0.25">
      <c r="A333" t="s">
        <v>339</v>
      </c>
      <c r="B333" t="str">
        <f>MID(Table1[[#This Row],[Order_ID]],2,5)</f>
        <v>RD133</v>
      </c>
      <c r="C333" s="1">
        <v>45387</v>
      </c>
      <c r="D333" t="s">
        <v>511</v>
      </c>
      <c r="E333" t="s">
        <v>513</v>
      </c>
      <c r="F333" t="str">
        <f>LOWER(Table1[[#This Row],[City]])</f>
        <v>bangalore</v>
      </c>
      <c r="G333" t="str">
        <f>UPPER(Table1[[#This Row],[City]])</f>
        <v>BANGALORE</v>
      </c>
      <c r="H333" t="str">
        <f>PROPER(Table1[[#This Row],[City]])</f>
        <v>Bangalore</v>
      </c>
      <c r="I333" t="str">
        <f t="shared" si="15"/>
        <v>MegaMart _ Bangalore</v>
      </c>
      <c r="J333" t="s">
        <v>520</v>
      </c>
      <c r="K333">
        <f t="shared" si="16"/>
        <v>11</v>
      </c>
      <c r="L333" t="str">
        <f>LEFT(Table1[[#This Row],[Category]],3)</f>
        <v>Ele</v>
      </c>
      <c r="M333">
        <v>6</v>
      </c>
      <c r="N333" s="4" t="str">
        <f t="shared" si="17"/>
        <v>normal order</v>
      </c>
      <c r="O333">
        <f>SQRT(Table1[[#This Row],[Quantity]])</f>
        <v>2.4494897427831779</v>
      </c>
      <c r="P333">
        <v>1188.8599999999999</v>
      </c>
      <c r="Q333">
        <v>7133.16</v>
      </c>
    </row>
    <row r="334" spans="1:17" x14ac:dyDescent="0.25">
      <c r="A334" t="s">
        <v>340</v>
      </c>
      <c r="B334" t="str">
        <f>MID(Table1[[#This Row],[Order_ID]],2,5)</f>
        <v>RD133</v>
      </c>
      <c r="C334" s="1">
        <v>45327</v>
      </c>
      <c r="D334" t="s">
        <v>509</v>
      </c>
      <c r="E334" t="s">
        <v>515</v>
      </c>
      <c r="F334" t="str">
        <f>LOWER(Table1[[#This Row],[City]])</f>
        <v>kolkata</v>
      </c>
      <c r="G334" t="str">
        <f>UPPER(Table1[[#This Row],[City]])</f>
        <v>KOLKATA</v>
      </c>
      <c r="H334" t="str">
        <f>PROPER(Table1[[#This Row],[City]])</f>
        <v>Kolkata</v>
      </c>
      <c r="I334" t="str">
        <f t="shared" si="15"/>
        <v>CityStore _ Kolkata</v>
      </c>
      <c r="J334" t="s">
        <v>522</v>
      </c>
      <c r="K334">
        <f t="shared" si="16"/>
        <v>5</v>
      </c>
      <c r="L334" t="str">
        <f>LEFT(Table1[[#This Row],[Category]],3)</f>
        <v>Boo</v>
      </c>
      <c r="M334">
        <v>15</v>
      </c>
      <c r="N334" s="4" t="str">
        <f t="shared" si="17"/>
        <v>bulk order</v>
      </c>
      <c r="O334">
        <f>SQRT(Table1[[#This Row],[Quantity]])</f>
        <v>3.872983346207417</v>
      </c>
      <c r="P334">
        <v>1454.02</v>
      </c>
      <c r="Q334">
        <v>21810.3</v>
      </c>
    </row>
    <row r="335" spans="1:17" x14ac:dyDescent="0.25">
      <c r="A335" t="s">
        <v>341</v>
      </c>
      <c r="B335" t="str">
        <f>MID(Table1[[#This Row],[Order_ID]],2,5)</f>
        <v>RD133</v>
      </c>
      <c r="C335" s="1">
        <v>45596</v>
      </c>
      <c r="D335" t="s">
        <v>508</v>
      </c>
      <c r="E335" t="s">
        <v>516</v>
      </c>
      <c r="F335" t="str">
        <f>LOWER(Table1[[#This Row],[City]])</f>
        <v>chennai</v>
      </c>
      <c r="G335" t="str">
        <f>UPPER(Table1[[#This Row],[City]])</f>
        <v>CHENNAI</v>
      </c>
      <c r="H335" t="str">
        <f>PROPER(Table1[[#This Row],[City]])</f>
        <v>Chennai</v>
      </c>
      <c r="I335" t="str">
        <f t="shared" si="15"/>
        <v>ValueShop _ Chennai</v>
      </c>
      <c r="J335" t="s">
        <v>520</v>
      </c>
      <c r="K335">
        <f t="shared" si="16"/>
        <v>11</v>
      </c>
      <c r="L335" t="str">
        <f>LEFT(Table1[[#This Row],[Category]],3)</f>
        <v>Ele</v>
      </c>
      <c r="M335">
        <v>14</v>
      </c>
      <c r="N335" s="4" t="str">
        <f t="shared" si="17"/>
        <v>bulk order</v>
      </c>
      <c r="O335">
        <f>SQRT(Table1[[#This Row],[Quantity]])</f>
        <v>3.7416573867739413</v>
      </c>
      <c r="P335">
        <v>625.62</v>
      </c>
      <c r="Q335">
        <v>8758.68</v>
      </c>
    </row>
    <row r="336" spans="1:17" x14ac:dyDescent="0.25">
      <c r="A336" t="s">
        <v>342</v>
      </c>
      <c r="B336" t="str">
        <f>MID(Table1[[#This Row],[Order_ID]],2,5)</f>
        <v>RD133</v>
      </c>
      <c r="C336" s="1">
        <v>45326</v>
      </c>
      <c r="D336" t="s">
        <v>511</v>
      </c>
      <c r="E336" t="s">
        <v>515</v>
      </c>
      <c r="F336" t="str">
        <f>LOWER(Table1[[#This Row],[City]])</f>
        <v>kolkata</v>
      </c>
      <c r="G336" t="str">
        <f>UPPER(Table1[[#This Row],[City]])</f>
        <v>KOLKATA</v>
      </c>
      <c r="H336" t="str">
        <f>PROPER(Table1[[#This Row],[City]])</f>
        <v>Kolkata</v>
      </c>
      <c r="I336" t="str">
        <f t="shared" si="15"/>
        <v>MegaMart _ Kolkata</v>
      </c>
      <c r="J336" t="s">
        <v>524</v>
      </c>
      <c r="K336">
        <f t="shared" si="16"/>
        <v>4</v>
      </c>
      <c r="L336" t="str">
        <f>LEFT(Table1[[#This Row],[Category]],3)</f>
        <v>Toy</v>
      </c>
      <c r="M336">
        <v>16</v>
      </c>
      <c r="N336" s="4" t="str">
        <f t="shared" si="17"/>
        <v>bulk order</v>
      </c>
      <c r="O336">
        <f>SQRT(Table1[[#This Row],[Quantity]])</f>
        <v>4</v>
      </c>
      <c r="P336">
        <v>432.57</v>
      </c>
      <c r="Q336">
        <v>6921.12</v>
      </c>
    </row>
    <row r="337" spans="1:17" x14ac:dyDescent="0.25">
      <c r="A337" t="s">
        <v>343</v>
      </c>
      <c r="B337" t="str">
        <f>MID(Table1[[#This Row],[Order_ID]],2,5)</f>
        <v>RD133</v>
      </c>
      <c r="C337" s="1">
        <v>45637</v>
      </c>
      <c r="D337" t="s">
        <v>510</v>
      </c>
      <c r="E337" t="s">
        <v>513</v>
      </c>
      <c r="F337" t="str">
        <f>LOWER(Table1[[#This Row],[City]])</f>
        <v>bangalore</v>
      </c>
      <c r="G337" t="str">
        <f>UPPER(Table1[[#This Row],[City]])</f>
        <v>BANGALORE</v>
      </c>
      <c r="H337" t="str">
        <f>PROPER(Table1[[#This Row],[City]])</f>
        <v>Bangalore</v>
      </c>
      <c r="I337" t="str">
        <f t="shared" si="15"/>
        <v>QuickBuy _ Bangalore</v>
      </c>
      <c r="J337" t="s">
        <v>524</v>
      </c>
      <c r="K337">
        <f t="shared" si="16"/>
        <v>4</v>
      </c>
      <c r="L337" t="str">
        <f>LEFT(Table1[[#This Row],[Category]],3)</f>
        <v>Toy</v>
      </c>
      <c r="M337">
        <v>15</v>
      </c>
      <c r="N337" s="4" t="str">
        <f t="shared" si="17"/>
        <v>bulk order</v>
      </c>
      <c r="O337">
        <f>SQRT(Table1[[#This Row],[Quantity]])</f>
        <v>3.872983346207417</v>
      </c>
      <c r="P337">
        <v>498.54</v>
      </c>
      <c r="Q337">
        <v>7478.1</v>
      </c>
    </row>
    <row r="338" spans="1:17" x14ac:dyDescent="0.25">
      <c r="A338" t="s">
        <v>344</v>
      </c>
      <c r="B338" t="str">
        <f>MID(Table1[[#This Row],[Order_ID]],2,5)</f>
        <v>RD133</v>
      </c>
      <c r="C338" s="1">
        <v>45412</v>
      </c>
      <c r="D338" t="s">
        <v>509</v>
      </c>
      <c r="E338" t="s">
        <v>518</v>
      </c>
      <c r="F338" t="str">
        <f>LOWER(Table1[[#This Row],[City]])</f>
        <v>pune</v>
      </c>
      <c r="G338" t="str">
        <f>UPPER(Table1[[#This Row],[City]])</f>
        <v>PUNE</v>
      </c>
      <c r="H338" t="str">
        <f>PROPER(Table1[[#This Row],[City]])</f>
        <v>Pune</v>
      </c>
      <c r="I338" t="str">
        <f t="shared" si="15"/>
        <v>CityStore _ Pune</v>
      </c>
      <c r="J338" t="s">
        <v>524</v>
      </c>
      <c r="K338">
        <f t="shared" si="16"/>
        <v>4</v>
      </c>
      <c r="L338" t="str">
        <f>LEFT(Table1[[#This Row],[Category]],3)</f>
        <v>Toy</v>
      </c>
      <c r="M338">
        <v>7</v>
      </c>
      <c r="N338" s="4" t="str">
        <f t="shared" si="17"/>
        <v>normal order</v>
      </c>
      <c r="O338">
        <f>SQRT(Table1[[#This Row],[Quantity]])</f>
        <v>2.6457513110645907</v>
      </c>
      <c r="P338">
        <v>1161.0899999999999</v>
      </c>
      <c r="Q338">
        <v>8127.6299999999992</v>
      </c>
    </row>
    <row r="339" spans="1:17" x14ac:dyDescent="0.25">
      <c r="A339" t="s">
        <v>345</v>
      </c>
      <c r="B339" t="str">
        <f>MID(Table1[[#This Row],[Order_ID]],2,5)</f>
        <v>RD133</v>
      </c>
      <c r="C339" s="1">
        <v>45498</v>
      </c>
      <c r="D339" t="s">
        <v>509</v>
      </c>
      <c r="E339" t="s">
        <v>515</v>
      </c>
      <c r="F339" t="str">
        <f>LOWER(Table1[[#This Row],[City]])</f>
        <v>kolkata</v>
      </c>
      <c r="G339" t="str">
        <f>UPPER(Table1[[#This Row],[City]])</f>
        <v>KOLKATA</v>
      </c>
      <c r="H339" t="str">
        <f>PROPER(Table1[[#This Row],[City]])</f>
        <v>Kolkata</v>
      </c>
      <c r="I339" t="str">
        <f t="shared" si="15"/>
        <v>CityStore _ Kolkata</v>
      </c>
      <c r="J339" t="s">
        <v>523</v>
      </c>
      <c r="K339">
        <f t="shared" si="16"/>
        <v>14</v>
      </c>
      <c r="L339" t="str">
        <f>LEFT(Table1[[#This Row],[Category]],3)</f>
        <v>Hom</v>
      </c>
      <c r="M339">
        <v>11</v>
      </c>
      <c r="N339" s="4" t="str">
        <f t="shared" si="17"/>
        <v>bulk order</v>
      </c>
      <c r="O339">
        <f>SQRT(Table1[[#This Row],[Quantity]])</f>
        <v>3.3166247903553998</v>
      </c>
      <c r="P339">
        <v>529.16999999999996</v>
      </c>
      <c r="Q339">
        <v>5820.87</v>
      </c>
    </row>
    <row r="340" spans="1:17" x14ac:dyDescent="0.25">
      <c r="A340" t="s">
        <v>346</v>
      </c>
      <c r="B340" t="str">
        <f>MID(Table1[[#This Row],[Order_ID]],2,5)</f>
        <v>RD133</v>
      </c>
      <c r="C340" s="1">
        <v>45353</v>
      </c>
      <c r="D340" t="s">
        <v>509</v>
      </c>
      <c r="E340" t="s">
        <v>513</v>
      </c>
      <c r="F340" t="str">
        <f>LOWER(Table1[[#This Row],[City]])</f>
        <v>bangalore</v>
      </c>
      <c r="G340" t="str">
        <f>UPPER(Table1[[#This Row],[City]])</f>
        <v>BANGALORE</v>
      </c>
      <c r="H340" t="str">
        <f>PROPER(Table1[[#This Row],[City]])</f>
        <v>Bangalore</v>
      </c>
      <c r="I340" t="str">
        <f t="shared" si="15"/>
        <v>CityStore _ Bangalore</v>
      </c>
      <c r="J340" t="s">
        <v>523</v>
      </c>
      <c r="K340">
        <f t="shared" si="16"/>
        <v>14</v>
      </c>
      <c r="L340" t="str">
        <f>LEFT(Table1[[#This Row],[Category]],3)</f>
        <v>Hom</v>
      </c>
      <c r="M340">
        <v>20</v>
      </c>
      <c r="N340" s="4" t="str">
        <f t="shared" si="17"/>
        <v>bulk order</v>
      </c>
      <c r="O340">
        <f>SQRT(Table1[[#This Row],[Quantity]])</f>
        <v>4.4721359549995796</v>
      </c>
      <c r="P340">
        <v>1123.75</v>
      </c>
      <c r="Q340">
        <v>22475</v>
      </c>
    </row>
    <row r="341" spans="1:17" x14ac:dyDescent="0.25">
      <c r="A341" t="s">
        <v>347</v>
      </c>
      <c r="B341" t="str">
        <f>MID(Table1[[#This Row],[Order_ID]],2,5)</f>
        <v>RD133</v>
      </c>
      <c r="C341" s="1">
        <v>45583</v>
      </c>
      <c r="D341" t="s">
        <v>512</v>
      </c>
      <c r="E341" t="s">
        <v>515</v>
      </c>
      <c r="F341" t="str">
        <f>LOWER(Table1[[#This Row],[City]])</f>
        <v>kolkata</v>
      </c>
      <c r="G341" t="str">
        <f>UPPER(Table1[[#This Row],[City]])</f>
        <v>KOLKATA</v>
      </c>
      <c r="H341" t="str">
        <f>PROPER(Table1[[#This Row],[City]])</f>
        <v>Kolkata</v>
      </c>
      <c r="I341" t="str">
        <f t="shared" si="15"/>
        <v>Trendz _ Kolkata</v>
      </c>
      <c r="J341" t="s">
        <v>524</v>
      </c>
      <c r="K341">
        <f t="shared" si="16"/>
        <v>4</v>
      </c>
      <c r="L341" t="str">
        <f>LEFT(Table1[[#This Row],[Category]],3)</f>
        <v>Toy</v>
      </c>
      <c r="M341">
        <v>5</v>
      </c>
      <c r="N341" s="4" t="str">
        <f t="shared" si="17"/>
        <v>normal order</v>
      </c>
      <c r="O341">
        <f>SQRT(Table1[[#This Row],[Quantity]])</f>
        <v>2.2360679774997898</v>
      </c>
      <c r="P341">
        <v>1889.76</v>
      </c>
      <c r="Q341">
        <v>9448.7999999999993</v>
      </c>
    </row>
    <row r="342" spans="1:17" x14ac:dyDescent="0.25">
      <c r="A342" t="s">
        <v>348</v>
      </c>
      <c r="B342" t="str">
        <f>MID(Table1[[#This Row],[Order_ID]],2,5)</f>
        <v>RD134</v>
      </c>
      <c r="C342" s="1">
        <v>45418</v>
      </c>
      <c r="D342" t="s">
        <v>508</v>
      </c>
      <c r="E342" t="s">
        <v>514</v>
      </c>
      <c r="F342" t="str">
        <f>LOWER(Table1[[#This Row],[City]])</f>
        <v>delhi</v>
      </c>
      <c r="G342" t="str">
        <f>UPPER(Table1[[#This Row],[City]])</f>
        <v>DELHI</v>
      </c>
      <c r="H342" t="str">
        <f>PROPER(Table1[[#This Row],[City]])</f>
        <v>Delhi</v>
      </c>
      <c r="I342" t="str">
        <f t="shared" si="15"/>
        <v>ValueShop _ Delhi</v>
      </c>
      <c r="J342" t="s">
        <v>524</v>
      </c>
      <c r="K342">
        <f t="shared" si="16"/>
        <v>4</v>
      </c>
      <c r="L342" t="str">
        <f>LEFT(Table1[[#This Row],[Category]],3)</f>
        <v>Toy</v>
      </c>
      <c r="M342">
        <v>11</v>
      </c>
      <c r="N342" s="4" t="str">
        <f t="shared" si="17"/>
        <v>bulk order</v>
      </c>
      <c r="O342">
        <f>SQRT(Table1[[#This Row],[Quantity]])</f>
        <v>3.3166247903553998</v>
      </c>
      <c r="P342">
        <v>708.25</v>
      </c>
      <c r="Q342">
        <v>7790.75</v>
      </c>
    </row>
    <row r="343" spans="1:17" x14ac:dyDescent="0.25">
      <c r="A343" t="s">
        <v>349</v>
      </c>
      <c r="B343" t="str">
        <f>MID(Table1[[#This Row],[Order_ID]],2,5)</f>
        <v>RD134</v>
      </c>
      <c r="C343" s="1">
        <v>45588</v>
      </c>
      <c r="D343" t="s">
        <v>510</v>
      </c>
      <c r="E343" t="s">
        <v>516</v>
      </c>
      <c r="F343" t="str">
        <f>LOWER(Table1[[#This Row],[City]])</f>
        <v>chennai</v>
      </c>
      <c r="G343" t="str">
        <f>UPPER(Table1[[#This Row],[City]])</f>
        <v>CHENNAI</v>
      </c>
      <c r="H343" t="str">
        <f>PROPER(Table1[[#This Row],[City]])</f>
        <v>Chennai</v>
      </c>
      <c r="I343" t="str">
        <f t="shared" si="15"/>
        <v>QuickBuy _ Chennai</v>
      </c>
      <c r="J343" t="s">
        <v>522</v>
      </c>
      <c r="K343">
        <f t="shared" si="16"/>
        <v>5</v>
      </c>
      <c r="L343" t="str">
        <f>LEFT(Table1[[#This Row],[Category]],3)</f>
        <v>Boo</v>
      </c>
      <c r="M343">
        <v>11</v>
      </c>
      <c r="N343" s="4" t="str">
        <f t="shared" si="17"/>
        <v>bulk order</v>
      </c>
      <c r="O343">
        <f>SQRT(Table1[[#This Row],[Quantity]])</f>
        <v>3.3166247903553998</v>
      </c>
      <c r="P343">
        <v>1538.55</v>
      </c>
      <c r="Q343">
        <v>16924.05</v>
      </c>
    </row>
    <row r="344" spans="1:17" x14ac:dyDescent="0.25">
      <c r="A344" t="s">
        <v>350</v>
      </c>
      <c r="B344" t="str">
        <f>MID(Table1[[#This Row],[Order_ID]],2,5)</f>
        <v>RD134</v>
      </c>
      <c r="C344" s="1">
        <v>45596</v>
      </c>
      <c r="D344" t="s">
        <v>510</v>
      </c>
      <c r="E344" t="s">
        <v>514</v>
      </c>
      <c r="F344" t="str">
        <f>LOWER(Table1[[#This Row],[City]])</f>
        <v>delhi</v>
      </c>
      <c r="G344" t="str">
        <f>UPPER(Table1[[#This Row],[City]])</f>
        <v>DELHI</v>
      </c>
      <c r="H344" t="str">
        <f>PROPER(Table1[[#This Row],[City]])</f>
        <v>Delhi</v>
      </c>
      <c r="I344" t="str">
        <f t="shared" si="15"/>
        <v>QuickBuy _ Delhi</v>
      </c>
      <c r="J344" t="s">
        <v>520</v>
      </c>
      <c r="K344">
        <f t="shared" si="16"/>
        <v>11</v>
      </c>
      <c r="L344" t="str">
        <f>LEFT(Table1[[#This Row],[Category]],3)</f>
        <v>Ele</v>
      </c>
      <c r="M344">
        <v>12</v>
      </c>
      <c r="N344" s="4" t="str">
        <f t="shared" si="17"/>
        <v>bulk order</v>
      </c>
      <c r="O344">
        <f>SQRT(Table1[[#This Row],[Quantity]])</f>
        <v>3.4641016151377544</v>
      </c>
      <c r="P344">
        <v>1002.81</v>
      </c>
      <c r="Q344">
        <v>12033.72</v>
      </c>
    </row>
    <row r="345" spans="1:17" x14ac:dyDescent="0.25">
      <c r="A345" t="s">
        <v>351</v>
      </c>
      <c r="B345" t="str">
        <f>MID(Table1[[#This Row],[Order_ID]],2,5)</f>
        <v>RD134</v>
      </c>
      <c r="C345" s="1">
        <v>45312</v>
      </c>
      <c r="D345" t="s">
        <v>510</v>
      </c>
      <c r="E345" t="s">
        <v>519</v>
      </c>
      <c r="F345" t="str">
        <f>LOWER(Table1[[#This Row],[City]])</f>
        <v>mumbai</v>
      </c>
      <c r="G345" t="str">
        <f>UPPER(Table1[[#This Row],[City]])</f>
        <v>MUMBAI</v>
      </c>
      <c r="H345" t="str">
        <f>PROPER(Table1[[#This Row],[City]])</f>
        <v>Mumbai</v>
      </c>
      <c r="I345" t="str">
        <f t="shared" si="15"/>
        <v>QuickBuy _ Mumbai</v>
      </c>
      <c r="J345" t="s">
        <v>523</v>
      </c>
      <c r="K345">
        <f t="shared" si="16"/>
        <v>14</v>
      </c>
      <c r="L345" t="str">
        <f>LEFT(Table1[[#This Row],[Category]],3)</f>
        <v>Hom</v>
      </c>
      <c r="M345">
        <v>13</v>
      </c>
      <c r="N345" s="4" t="str">
        <f t="shared" si="17"/>
        <v>bulk order</v>
      </c>
      <c r="O345">
        <f>SQRT(Table1[[#This Row],[Quantity]])</f>
        <v>3.6055512754639891</v>
      </c>
      <c r="P345">
        <v>1460.94</v>
      </c>
      <c r="Q345">
        <v>18992.22</v>
      </c>
    </row>
    <row r="346" spans="1:17" x14ac:dyDescent="0.25">
      <c r="A346" t="s">
        <v>352</v>
      </c>
      <c r="B346" t="str">
        <f>MID(Table1[[#This Row],[Order_ID]],2,5)</f>
        <v>RD134</v>
      </c>
      <c r="C346" s="1">
        <v>45609</v>
      </c>
      <c r="D346" t="s">
        <v>508</v>
      </c>
      <c r="E346" t="s">
        <v>515</v>
      </c>
      <c r="F346" t="str">
        <f>LOWER(Table1[[#This Row],[City]])</f>
        <v>kolkata</v>
      </c>
      <c r="G346" t="str">
        <f>UPPER(Table1[[#This Row],[City]])</f>
        <v>KOLKATA</v>
      </c>
      <c r="H346" t="str">
        <f>PROPER(Table1[[#This Row],[City]])</f>
        <v>Kolkata</v>
      </c>
      <c r="I346" t="str">
        <f t="shared" si="15"/>
        <v>ValueShop _ Kolkata</v>
      </c>
      <c r="J346" t="s">
        <v>524</v>
      </c>
      <c r="K346">
        <f t="shared" si="16"/>
        <v>4</v>
      </c>
      <c r="L346" t="str">
        <f>LEFT(Table1[[#This Row],[Category]],3)</f>
        <v>Toy</v>
      </c>
      <c r="M346">
        <v>5</v>
      </c>
      <c r="N346" s="4" t="str">
        <f t="shared" si="17"/>
        <v>normal order</v>
      </c>
      <c r="O346">
        <f>SQRT(Table1[[#This Row],[Quantity]])</f>
        <v>2.2360679774997898</v>
      </c>
      <c r="P346">
        <v>1492.21</v>
      </c>
      <c r="Q346">
        <v>7461.05</v>
      </c>
    </row>
    <row r="347" spans="1:17" x14ac:dyDescent="0.25">
      <c r="A347" t="s">
        <v>353</v>
      </c>
      <c r="B347" t="str">
        <f>MID(Table1[[#This Row],[Order_ID]],2,5)</f>
        <v>RD134</v>
      </c>
      <c r="C347" s="1">
        <v>45333</v>
      </c>
      <c r="D347" t="s">
        <v>511</v>
      </c>
      <c r="E347" t="s">
        <v>519</v>
      </c>
      <c r="F347" t="str">
        <f>LOWER(Table1[[#This Row],[City]])</f>
        <v>mumbai</v>
      </c>
      <c r="G347" t="str">
        <f>UPPER(Table1[[#This Row],[City]])</f>
        <v>MUMBAI</v>
      </c>
      <c r="H347" t="str">
        <f>PROPER(Table1[[#This Row],[City]])</f>
        <v>Mumbai</v>
      </c>
      <c r="I347" t="str">
        <f t="shared" si="15"/>
        <v>MegaMart _ Mumbai</v>
      </c>
      <c r="J347" t="s">
        <v>522</v>
      </c>
      <c r="K347">
        <f t="shared" si="16"/>
        <v>5</v>
      </c>
      <c r="L347" t="str">
        <f>LEFT(Table1[[#This Row],[Category]],3)</f>
        <v>Boo</v>
      </c>
      <c r="M347">
        <v>12</v>
      </c>
      <c r="N347" s="4" t="str">
        <f t="shared" si="17"/>
        <v>bulk order</v>
      </c>
      <c r="O347">
        <f>SQRT(Table1[[#This Row],[Quantity]])</f>
        <v>3.4641016151377544</v>
      </c>
      <c r="P347">
        <v>948.62</v>
      </c>
      <c r="Q347">
        <v>11383.44</v>
      </c>
    </row>
    <row r="348" spans="1:17" x14ac:dyDescent="0.25">
      <c r="A348" t="s">
        <v>354</v>
      </c>
      <c r="B348" t="str">
        <f>MID(Table1[[#This Row],[Order_ID]],2,5)</f>
        <v>RD134</v>
      </c>
      <c r="C348" s="1">
        <v>45506</v>
      </c>
      <c r="D348" t="s">
        <v>509</v>
      </c>
      <c r="E348" t="s">
        <v>515</v>
      </c>
      <c r="F348" t="str">
        <f>LOWER(Table1[[#This Row],[City]])</f>
        <v>kolkata</v>
      </c>
      <c r="G348" t="str">
        <f>UPPER(Table1[[#This Row],[City]])</f>
        <v>KOLKATA</v>
      </c>
      <c r="H348" t="str">
        <f>PROPER(Table1[[#This Row],[City]])</f>
        <v>Kolkata</v>
      </c>
      <c r="I348" t="str">
        <f t="shared" si="15"/>
        <v>CityStore _ Kolkata</v>
      </c>
      <c r="J348" t="s">
        <v>521</v>
      </c>
      <c r="K348">
        <f t="shared" si="16"/>
        <v>8</v>
      </c>
      <c r="L348" t="str">
        <f>LEFT(Table1[[#This Row],[Category]],3)</f>
        <v>Clo</v>
      </c>
      <c r="M348">
        <v>17</v>
      </c>
      <c r="N348" s="4" t="str">
        <f t="shared" si="17"/>
        <v>bulk order</v>
      </c>
      <c r="O348">
        <f>SQRT(Table1[[#This Row],[Quantity]])</f>
        <v>4.1231056256176606</v>
      </c>
      <c r="P348">
        <v>1478.91</v>
      </c>
      <c r="Q348">
        <v>25141.47</v>
      </c>
    </row>
    <row r="349" spans="1:17" x14ac:dyDescent="0.25">
      <c r="A349" t="s">
        <v>355</v>
      </c>
      <c r="B349" t="str">
        <f>MID(Table1[[#This Row],[Order_ID]],2,5)</f>
        <v>RD134</v>
      </c>
      <c r="C349" s="1">
        <v>45628</v>
      </c>
      <c r="D349" t="s">
        <v>508</v>
      </c>
      <c r="E349" t="s">
        <v>518</v>
      </c>
      <c r="F349" t="str">
        <f>LOWER(Table1[[#This Row],[City]])</f>
        <v>pune</v>
      </c>
      <c r="G349" t="str">
        <f>UPPER(Table1[[#This Row],[City]])</f>
        <v>PUNE</v>
      </c>
      <c r="H349" t="str">
        <f>PROPER(Table1[[#This Row],[City]])</f>
        <v>Pune</v>
      </c>
      <c r="I349" t="str">
        <f t="shared" si="15"/>
        <v>ValueShop _ Pune</v>
      </c>
      <c r="J349" t="s">
        <v>525</v>
      </c>
      <c r="K349">
        <f t="shared" si="16"/>
        <v>9</v>
      </c>
      <c r="L349" t="str">
        <f>LEFT(Table1[[#This Row],[Category]],3)</f>
        <v>Gro</v>
      </c>
      <c r="M349">
        <v>18</v>
      </c>
      <c r="N349" s="4" t="str">
        <f t="shared" si="17"/>
        <v>bulk order</v>
      </c>
      <c r="O349">
        <f>SQRT(Table1[[#This Row],[Quantity]])</f>
        <v>4.2426406871192848</v>
      </c>
      <c r="P349">
        <v>736.74</v>
      </c>
      <c r="Q349">
        <v>13261.32</v>
      </c>
    </row>
    <row r="350" spans="1:17" x14ac:dyDescent="0.25">
      <c r="A350" t="s">
        <v>356</v>
      </c>
      <c r="B350" t="str">
        <f>MID(Table1[[#This Row],[Order_ID]],2,5)</f>
        <v>RD134</v>
      </c>
      <c r="C350" s="1">
        <v>45590</v>
      </c>
      <c r="D350" t="s">
        <v>509</v>
      </c>
      <c r="E350" t="s">
        <v>518</v>
      </c>
      <c r="F350" t="str">
        <f>LOWER(Table1[[#This Row],[City]])</f>
        <v>pune</v>
      </c>
      <c r="G350" t="str">
        <f>UPPER(Table1[[#This Row],[City]])</f>
        <v>PUNE</v>
      </c>
      <c r="H350" t="str">
        <f>PROPER(Table1[[#This Row],[City]])</f>
        <v>Pune</v>
      </c>
      <c r="I350" t="str">
        <f t="shared" si="15"/>
        <v>CityStore _ Pune</v>
      </c>
      <c r="J350" t="s">
        <v>524</v>
      </c>
      <c r="K350">
        <f t="shared" si="16"/>
        <v>4</v>
      </c>
      <c r="L350" t="str">
        <f>LEFT(Table1[[#This Row],[Category]],3)</f>
        <v>Toy</v>
      </c>
      <c r="M350">
        <v>4</v>
      </c>
      <c r="N350" s="4" t="str">
        <f t="shared" si="17"/>
        <v>normal order</v>
      </c>
      <c r="O350">
        <f>SQRT(Table1[[#This Row],[Quantity]])</f>
        <v>2</v>
      </c>
      <c r="P350">
        <v>322.92</v>
      </c>
      <c r="Q350">
        <v>1291.68</v>
      </c>
    </row>
    <row r="351" spans="1:17" x14ac:dyDescent="0.25">
      <c r="A351" t="s">
        <v>357</v>
      </c>
      <c r="B351" t="str">
        <f>MID(Table1[[#This Row],[Order_ID]],2,5)</f>
        <v>RD134</v>
      </c>
      <c r="C351" s="1">
        <v>45581</v>
      </c>
      <c r="D351" t="s">
        <v>508</v>
      </c>
      <c r="E351" t="s">
        <v>518</v>
      </c>
      <c r="F351" t="str">
        <f>LOWER(Table1[[#This Row],[City]])</f>
        <v>pune</v>
      </c>
      <c r="G351" t="str">
        <f>UPPER(Table1[[#This Row],[City]])</f>
        <v>PUNE</v>
      </c>
      <c r="H351" t="str">
        <f>PROPER(Table1[[#This Row],[City]])</f>
        <v>Pune</v>
      </c>
      <c r="I351" t="str">
        <f t="shared" si="15"/>
        <v>ValueShop _ Pune</v>
      </c>
      <c r="J351" t="s">
        <v>523</v>
      </c>
      <c r="K351">
        <f t="shared" si="16"/>
        <v>14</v>
      </c>
      <c r="L351" t="str">
        <f>LEFT(Table1[[#This Row],[Category]],3)</f>
        <v>Hom</v>
      </c>
      <c r="M351">
        <v>11</v>
      </c>
      <c r="N351" s="4" t="str">
        <f t="shared" si="17"/>
        <v>bulk order</v>
      </c>
      <c r="O351">
        <f>SQRT(Table1[[#This Row],[Quantity]])</f>
        <v>3.3166247903553998</v>
      </c>
      <c r="P351">
        <v>1115.77</v>
      </c>
      <c r="Q351">
        <v>12273.47</v>
      </c>
    </row>
    <row r="352" spans="1:17" x14ac:dyDescent="0.25">
      <c r="A352" t="s">
        <v>358</v>
      </c>
      <c r="B352" t="str">
        <f>MID(Table1[[#This Row],[Order_ID]],2,5)</f>
        <v>RD135</v>
      </c>
      <c r="C352" s="1">
        <v>45559</v>
      </c>
      <c r="D352" t="s">
        <v>509</v>
      </c>
      <c r="E352" t="s">
        <v>516</v>
      </c>
      <c r="F352" t="str">
        <f>LOWER(Table1[[#This Row],[City]])</f>
        <v>chennai</v>
      </c>
      <c r="G352" t="str">
        <f>UPPER(Table1[[#This Row],[City]])</f>
        <v>CHENNAI</v>
      </c>
      <c r="H352" t="str">
        <f>PROPER(Table1[[#This Row],[City]])</f>
        <v>Chennai</v>
      </c>
      <c r="I352" t="str">
        <f t="shared" si="15"/>
        <v>CityStore _ Chennai</v>
      </c>
      <c r="J352" t="s">
        <v>524</v>
      </c>
      <c r="K352">
        <f t="shared" si="16"/>
        <v>4</v>
      </c>
      <c r="L352" t="str">
        <f>LEFT(Table1[[#This Row],[Category]],3)</f>
        <v>Toy</v>
      </c>
      <c r="M352">
        <v>8</v>
      </c>
      <c r="N352" s="4" t="str">
        <f t="shared" si="17"/>
        <v>normal order</v>
      </c>
      <c r="O352">
        <f>SQRT(Table1[[#This Row],[Quantity]])</f>
        <v>2.8284271247461903</v>
      </c>
      <c r="P352">
        <v>408.89</v>
      </c>
      <c r="Q352">
        <v>3271.12</v>
      </c>
    </row>
    <row r="353" spans="1:17" x14ac:dyDescent="0.25">
      <c r="A353" t="s">
        <v>359</v>
      </c>
      <c r="B353" t="str">
        <f>MID(Table1[[#This Row],[Order_ID]],2,5)</f>
        <v>RD135</v>
      </c>
      <c r="C353" s="1">
        <v>45453</v>
      </c>
      <c r="D353" t="s">
        <v>508</v>
      </c>
      <c r="E353" t="s">
        <v>515</v>
      </c>
      <c r="F353" t="str">
        <f>LOWER(Table1[[#This Row],[City]])</f>
        <v>kolkata</v>
      </c>
      <c r="G353" t="str">
        <f>UPPER(Table1[[#This Row],[City]])</f>
        <v>KOLKATA</v>
      </c>
      <c r="H353" t="str">
        <f>PROPER(Table1[[#This Row],[City]])</f>
        <v>Kolkata</v>
      </c>
      <c r="I353" t="str">
        <f t="shared" si="15"/>
        <v>ValueShop _ Kolkata</v>
      </c>
      <c r="J353" t="s">
        <v>521</v>
      </c>
      <c r="K353">
        <f t="shared" si="16"/>
        <v>8</v>
      </c>
      <c r="L353" t="str">
        <f>LEFT(Table1[[#This Row],[Category]],3)</f>
        <v>Clo</v>
      </c>
      <c r="M353">
        <v>15</v>
      </c>
      <c r="N353" s="4" t="str">
        <f t="shared" si="17"/>
        <v>bulk order</v>
      </c>
      <c r="O353">
        <f>SQRT(Table1[[#This Row],[Quantity]])</f>
        <v>3.872983346207417</v>
      </c>
      <c r="P353">
        <v>1784.26</v>
      </c>
      <c r="Q353">
        <v>26763.9</v>
      </c>
    </row>
    <row r="354" spans="1:17" x14ac:dyDescent="0.25">
      <c r="A354" t="s">
        <v>360</v>
      </c>
      <c r="B354" t="str">
        <f>MID(Table1[[#This Row],[Order_ID]],2,5)</f>
        <v>RD135</v>
      </c>
      <c r="C354" s="1">
        <v>45425</v>
      </c>
      <c r="D354" t="s">
        <v>511</v>
      </c>
      <c r="E354" t="s">
        <v>515</v>
      </c>
      <c r="F354" t="str">
        <f>LOWER(Table1[[#This Row],[City]])</f>
        <v>kolkata</v>
      </c>
      <c r="G354" t="str">
        <f>UPPER(Table1[[#This Row],[City]])</f>
        <v>KOLKATA</v>
      </c>
      <c r="H354" t="str">
        <f>PROPER(Table1[[#This Row],[City]])</f>
        <v>Kolkata</v>
      </c>
      <c r="I354" t="str">
        <f t="shared" si="15"/>
        <v>MegaMart _ Kolkata</v>
      </c>
      <c r="J354" t="s">
        <v>520</v>
      </c>
      <c r="K354">
        <f t="shared" si="16"/>
        <v>11</v>
      </c>
      <c r="L354" t="str">
        <f>LEFT(Table1[[#This Row],[Category]],3)</f>
        <v>Ele</v>
      </c>
      <c r="M354">
        <v>4</v>
      </c>
      <c r="N354" s="4" t="str">
        <f t="shared" si="17"/>
        <v>normal order</v>
      </c>
      <c r="O354">
        <f>SQRT(Table1[[#This Row],[Quantity]])</f>
        <v>2</v>
      </c>
      <c r="P354">
        <v>1981.13</v>
      </c>
      <c r="Q354">
        <v>7924.52</v>
      </c>
    </row>
    <row r="355" spans="1:17" x14ac:dyDescent="0.25">
      <c r="A355" t="s">
        <v>361</v>
      </c>
      <c r="B355" t="str">
        <f>MID(Table1[[#This Row],[Order_ID]],2,5)</f>
        <v>RD135</v>
      </c>
      <c r="C355" s="1">
        <v>45396</v>
      </c>
      <c r="D355" t="s">
        <v>510</v>
      </c>
      <c r="E355" t="s">
        <v>517</v>
      </c>
      <c r="F355" t="str">
        <f>LOWER(Table1[[#This Row],[City]])</f>
        <v>hyderabad</v>
      </c>
      <c r="G355" t="str">
        <f>UPPER(Table1[[#This Row],[City]])</f>
        <v>HYDERABAD</v>
      </c>
      <c r="H355" t="str">
        <f>PROPER(Table1[[#This Row],[City]])</f>
        <v>Hyderabad</v>
      </c>
      <c r="I355" t="str">
        <f t="shared" si="15"/>
        <v>QuickBuy _ Hyderabad</v>
      </c>
      <c r="J355" t="s">
        <v>523</v>
      </c>
      <c r="K355">
        <f t="shared" si="16"/>
        <v>14</v>
      </c>
      <c r="L355" t="str">
        <f>LEFT(Table1[[#This Row],[Category]],3)</f>
        <v>Hom</v>
      </c>
      <c r="M355">
        <v>9</v>
      </c>
      <c r="N355" s="4" t="str">
        <f t="shared" si="17"/>
        <v>normal order</v>
      </c>
      <c r="O355">
        <f>SQRT(Table1[[#This Row],[Quantity]])</f>
        <v>3</v>
      </c>
      <c r="P355">
        <v>1916.61</v>
      </c>
      <c r="Q355">
        <v>17249.490000000002</v>
      </c>
    </row>
    <row r="356" spans="1:17" x14ac:dyDescent="0.25">
      <c r="A356" t="s">
        <v>362</v>
      </c>
      <c r="B356" t="str">
        <f>MID(Table1[[#This Row],[Order_ID]],2,5)</f>
        <v>RD135</v>
      </c>
      <c r="C356" s="1">
        <v>45634</v>
      </c>
      <c r="D356" t="s">
        <v>509</v>
      </c>
      <c r="E356" t="s">
        <v>513</v>
      </c>
      <c r="F356" t="str">
        <f>LOWER(Table1[[#This Row],[City]])</f>
        <v>bangalore</v>
      </c>
      <c r="G356" t="str">
        <f>UPPER(Table1[[#This Row],[City]])</f>
        <v>BANGALORE</v>
      </c>
      <c r="H356" t="str">
        <f>PROPER(Table1[[#This Row],[City]])</f>
        <v>Bangalore</v>
      </c>
      <c r="I356" t="str">
        <f t="shared" si="15"/>
        <v>CityStore _ Bangalore</v>
      </c>
      <c r="J356" t="s">
        <v>520</v>
      </c>
      <c r="K356">
        <f t="shared" si="16"/>
        <v>11</v>
      </c>
      <c r="L356" t="str">
        <f>LEFT(Table1[[#This Row],[Category]],3)</f>
        <v>Ele</v>
      </c>
      <c r="M356">
        <v>15</v>
      </c>
      <c r="N356" s="4" t="str">
        <f t="shared" si="17"/>
        <v>bulk order</v>
      </c>
      <c r="O356">
        <f>SQRT(Table1[[#This Row],[Quantity]])</f>
        <v>3.872983346207417</v>
      </c>
      <c r="P356">
        <v>1071.69</v>
      </c>
      <c r="Q356">
        <v>16075.35</v>
      </c>
    </row>
    <row r="357" spans="1:17" x14ac:dyDescent="0.25">
      <c r="A357" t="s">
        <v>363</v>
      </c>
      <c r="B357" t="str">
        <f>MID(Table1[[#This Row],[Order_ID]],2,5)</f>
        <v>RD135</v>
      </c>
      <c r="C357" s="1">
        <v>45452</v>
      </c>
      <c r="D357" t="s">
        <v>508</v>
      </c>
      <c r="E357" t="s">
        <v>514</v>
      </c>
      <c r="F357" t="str">
        <f>LOWER(Table1[[#This Row],[City]])</f>
        <v>delhi</v>
      </c>
      <c r="G357" t="str">
        <f>UPPER(Table1[[#This Row],[City]])</f>
        <v>DELHI</v>
      </c>
      <c r="H357" t="str">
        <f>PROPER(Table1[[#This Row],[City]])</f>
        <v>Delhi</v>
      </c>
      <c r="I357" t="str">
        <f t="shared" si="15"/>
        <v>ValueShop _ Delhi</v>
      </c>
      <c r="J357" t="s">
        <v>525</v>
      </c>
      <c r="K357">
        <f t="shared" si="16"/>
        <v>9</v>
      </c>
      <c r="L357" t="str">
        <f>LEFT(Table1[[#This Row],[Category]],3)</f>
        <v>Gro</v>
      </c>
      <c r="M357">
        <v>8</v>
      </c>
      <c r="N357" s="4" t="str">
        <f t="shared" si="17"/>
        <v>normal order</v>
      </c>
      <c r="O357">
        <f>SQRT(Table1[[#This Row],[Quantity]])</f>
        <v>2.8284271247461903</v>
      </c>
      <c r="P357">
        <v>1686.18</v>
      </c>
      <c r="Q357">
        <v>13489.44</v>
      </c>
    </row>
    <row r="358" spans="1:17" x14ac:dyDescent="0.25">
      <c r="A358" t="s">
        <v>364</v>
      </c>
      <c r="B358" t="str">
        <f>MID(Table1[[#This Row],[Order_ID]],2,5)</f>
        <v>RD135</v>
      </c>
      <c r="C358" s="1">
        <v>45414</v>
      </c>
      <c r="D358" t="s">
        <v>511</v>
      </c>
      <c r="E358" t="s">
        <v>515</v>
      </c>
      <c r="F358" t="str">
        <f>LOWER(Table1[[#This Row],[City]])</f>
        <v>kolkata</v>
      </c>
      <c r="G358" t="str">
        <f>UPPER(Table1[[#This Row],[City]])</f>
        <v>KOLKATA</v>
      </c>
      <c r="H358" t="str">
        <f>PROPER(Table1[[#This Row],[City]])</f>
        <v>Kolkata</v>
      </c>
      <c r="I358" t="str">
        <f t="shared" si="15"/>
        <v>MegaMart _ Kolkata</v>
      </c>
      <c r="J358" t="s">
        <v>522</v>
      </c>
      <c r="K358">
        <f t="shared" si="16"/>
        <v>5</v>
      </c>
      <c r="L358" t="str">
        <f>LEFT(Table1[[#This Row],[Category]],3)</f>
        <v>Boo</v>
      </c>
      <c r="M358">
        <v>5</v>
      </c>
      <c r="N358" s="4" t="str">
        <f t="shared" si="17"/>
        <v>normal order</v>
      </c>
      <c r="O358">
        <f>SQRT(Table1[[#This Row],[Quantity]])</f>
        <v>2.2360679774997898</v>
      </c>
      <c r="P358">
        <v>194.94</v>
      </c>
      <c r="Q358">
        <v>974.7</v>
      </c>
    </row>
    <row r="359" spans="1:17" x14ac:dyDescent="0.25">
      <c r="A359" t="s">
        <v>365</v>
      </c>
      <c r="B359" t="str">
        <f>MID(Table1[[#This Row],[Order_ID]],2,5)</f>
        <v>RD135</v>
      </c>
      <c r="C359" s="1">
        <v>45427</v>
      </c>
      <c r="D359" t="s">
        <v>511</v>
      </c>
      <c r="E359" t="s">
        <v>516</v>
      </c>
      <c r="F359" t="str">
        <f>LOWER(Table1[[#This Row],[City]])</f>
        <v>chennai</v>
      </c>
      <c r="G359" t="str">
        <f>UPPER(Table1[[#This Row],[City]])</f>
        <v>CHENNAI</v>
      </c>
      <c r="H359" t="str">
        <f>PROPER(Table1[[#This Row],[City]])</f>
        <v>Chennai</v>
      </c>
      <c r="I359" t="str">
        <f t="shared" si="15"/>
        <v>MegaMart _ Chennai</v>
      </c>
      <c r="J359" t="s">
        <v>520</v>
      </c>
      <c r="K359">
        <f t="shared" si="16"/>
        <v>11</v>
      </c>
      <c r="L359" t="str">
        <f>LEFT(Table1[[#This Row],[Category]],3)</f>
        <v>Ele</v>
      </c>
      <c r="M359">
        <v>4</v>
      </c>
      <c r="N359" s="4" t="str">
        <f t="shared" si="17"/>
        <v>normal order</v>
      </c>
      <c r="O359">
        <f>SQRT(Table1[[#This Row],[Quantity]])</f>
        <v>2</v>
      </c>
      <c r="P359">
        <v>1645.09</v>
      </c>
      <c r="Q359">
        <v>6580.36</v>
      </c>
    </row>
    <row r="360" spans="1:17" x14ac:dyDescent="0.25">
      <c r="A360" t="s">
        <v>366</v>
      </c>
      <c r="B360" t="str">
        <f>MID(Table1[[#This Row],[Order_ID]],2,5)</f>
        <v>RD135</v>
      </c>
      <c r="C360" s="1">
        <v>45494</v>
      </c>
      <c r="D360" t="s">
        <v>510</v>
      </c>
      <c r="E360" t="s">
        <v>514</v>
      </c>
      <c r="F360" t="str">
        <f>LOWER(Table1[[#This Row],[City]])</f>
        <v>delhi</v>
      </c>
      <c r="G360" t="str">
        <f>UPPER(Table1[[#This Row],[City]])</f>
        <v>DELHI</v>
      </c>
      <c r="H360" t="str">
        <f>PROPER(Table1[[#This Row],[City]])</f>
        <v>Delhi</v>
      </c>
      <c r="I360" t="str">
        <f t="shared" si="15"/>
        <v>QuickBuy _ Delhi</v>
      </c>
      <c r="J360" t="s">
        <v>524</v>
      </c>
      <c r="K360">
        <f t="shared" si="16"/>
        <v>4</v>
      </c>
      <c r="L360" t="str">
        <f>LEFT(Table1[[#This Row],[Category]],3)</f>
        <v>Toy</v>
      </c>
      <c r="M360">
        <v>2</v>
      </c>
      <c r="N360" s="4" t="str">
        <f t="shared" si="17"/>
        <v>normal order</v>
      </c>
      <c r="O360">
        <f>SQRT(Table1[[#This Row],[Quantity]])</f>
        <v>1.4142135623730951</v>
      </c>
      <c r="P360">
        <v>144.6</v>
      </c>
      <c r="Q360">
        <v>289.2</v>
      </c>
    </row>
    <row r="361" spans="1:17" x14ac:dyDescent="0.25">
      <c r="A361" t="s">
        <v>367</v>
      </c>
      <c r="B361" t="str">
        <f>MID(Table1[[#This Row],[Order_ID]],2,5)</f>
        <v>RD135</v>
      </c>
      <c r="C361" s="1">
        <v>45359</v>
      </c>
      <c r="D361" t="s">
        <v>508</v>
      </c>
      <c r="E361" t="s">
        <v>513</v>
      </c>
      <c r="F361" t="str">
        <f>LOWER(Table1[[#This Row],[City]])</f>
        <v>bangalore</v>
      </c>
      <c r="G361" t="str">
        <f>UPPER(Table1[[#This Row],[City]])</f>
        <v>BANGALORE</v>
      </c>
      <c r="H361" t="str">
        <f>PROPER(Table1[[#This Row],[City]])</f>
        <v>Bangalore</v>
      </c>
      <c r="I361" t="str">
        <f t="shared" si="15"/>
        <v>ValueShop _ Bangalore</v>
      </c>
      <c r="J361" t="s">
        <v>522</v>
      </c>
      <c r="K361">
        <f t="shared" si="16"/>
        <v>5</v>
      </c>
      <c r="L361" t="str">
        <f>LEFT(Table1[[#This Row],[Category]],3)</f>
        <v>Boo</v>
      </c>
      <c r="M361">
        <v>10</v>
      </c>
      <c r="N361" s="4" t="str">
        <f t="shared" si="17"/>
        <v>normal order</v>
      </c>
      <c r="O361">
        <f>SQRT(Table1[[#This Row],[Quantity]])</f>
        <v>3.1622776601683795</v>
      </c>
      <c r="P361">
        <v>62.45</v>
      </c>
      <c r="Q361">
        <v>624.5</v>
      </c>
    </row>
    <row r="362" spans="1:17" x14ac:dyDescent="0.25">
      <c r="A362" t="s">
        <v>368</v>
      </c>
      <c r="B362" t="str">
        <f>MID(Table1[[#This Row],[Order_ID]],2,5)</f>
        <v>RD136</v>
      </c>
      <c r="C362" s="1">
        <v>45635</v>
      </c>
      <c r="D362" t="s">
        <v>509</v>
      </c>
      <c r="E362" t="s">
        <v>517</v>
      </c>
      <c r="F362" t="str">
        <f>LOWER(Table1[[#This Row],[City]])</f>
        <v>hyderabad</v>
      </c>
      <c r="G362" t="str">
        <f>UPPER(Table1[[#This Row],[City]])</f>
        <v>HYDERABAD</v>
      </c>
      <c r="H362" t="str">
        <f>PROPER(Table1[[#This Row],[City]])</f>
        <v>Hyderabad</v>
      </c>
      <c r="I362" t="str">
        <f t="shared" si="15"/>
        <v>CityStore _ Hyderabad</v>
      </c>
      <c r="J362" t="s">
        <v>521</v>
      </c>
      <c r="K362">
        <f t="shared" si="16"/>
        <v>8</v>
      </c>
      <c r="L362" t="str">
        <f>LEFT(Table1[[#This Row],[Category]],3)</f>
        <v>Clo</v>
      </c>
      <c r="M362">
        <v>13</v>
      </c>
      <c r="N362" s="4" t="str">
        <f t="shared" si="17"/>
        <v>bulk order</v>
      </c>
      <c r="O362">
        <f>SQRT(Table1[[#This Row],[Quantity]])</f>
        <v>3.6055512754639891</v>
      </c>
      <c r="P362">
        <v>318.11</v>
      </c>
      <c r="Q362">
        <v>4135.43</v>
      </c>
    </row>
    <row r="363" spans="1:17" x14ac:dyDescent="0.25">
      <c r="A363" t="s">
        <v>369</v>
      </c>
      <c r="B363" t="str">
        <f>MID(Table1[[#This Row],[Order_ID]],2,5)</f>
        <v>RD136</v>
      </c>
      <c r="C363" s="1">
        <v>45622</v>
      </c>
      <c r="D363" t="s">
        <v>512</v>
      </c>
      <c r="E363" t="s">
        <v>514</v>
      </c>
      <c r="F363" t="str">
        <f>LOWER(Table1[[#This Row],[City]])</f>
        <v>delhi</v>
      </c>
      <c r="G363" t="str">
        <f>UPPER(Table1[[#This Row],[City]])</f>
        <v>DELHI</v>
      </c>
      <c r="H363" t="str">
        <f>PROPER(Table1[[#This Row],[City]])</f>
        <v>Delhi</v>
      </c>
      <c r="I363" t="str">
        <f t="shared" si="15"/>
        <v>Trendz _ Delhi</v>
      </c>
      <c r="J363" t="s">
        <v>520</v>
      </c>
      <c r="K363">
        <f t="shared" si="16"/>
        <v>11</v>
      </c>
      <c r="L363" t="str">
        <f>LEFT(Table1[[#This Row],[Category]],3)</f>
        <v>Ele</v>
      </c>
      <c r="M363">
        <v>20</v>
      </c>
      <c r="N363" s="4" t="str">
        <f t="shared" si="17"/>
        <v>bulk order</v>
      </c>
      <c r="O363">
        <f>SQRT(Table1[[#This Row],[Quantity]])</f>
        <v>4.4721359549995796</v>
      </c>
      <c r="P363">
        <v>1279.8699999999999</v>
      </c>
      <c r="Q363">
        <v>25597.4</v>
      </c>
    </row>
    <row r="364" spans="1:17" x14ac:dyDescent="0.25">
      <c r="A364" t="s">
        <v>370</v>
      </c>
      <c r="B364" t="str">
        <f>MID(Table1[[#This Row],[Order_ID]],2,5)</f>
        <v>RD136</v>
      </c>
      <c r="C364" s="1">
        <v>45445</v>
      </c>
      <c r="D364" t="s">
        <v>511</v>
      </c>
      <c r="E364" t="s">
        <v>516</v>
      </c>
      <c r="F364" t="str">
        <f>LOWER(Table1[[#This Row],[City]])</f>
        <v>chennai</v>
      </c>
      <c r="G364" t="str">
        <f>UPPER(Table1[[#This Row],[City]])</f>
        <v>CHENNAI</v>
      </c>
      <c r="H364" t="str">
        <f>PROPER(Table1[[#This Row],[City]])</f>
        <v>Chennai</v>
      </c>
      <c r="I364" t="str">
        <f t="shared" si="15"/>
        <v>MegaMart _ Chennai</v>
      </c>
      <c r="J364" t="s">
        <v>521</v>
      </c>
      <c r="K364">
        <f t="shared" si="16"/>
        <v>8</v>
      </c>
      <c r="L364" t="str">
        <f>LEFT(Table1[[#This Row],[Category]],3)</f>
        <v>Clo</v>
      </c>
      <c r="M364">
        <v>14</v>
      </c>
      <c r="N364" s="4" t="str">
        <f t="shared" si="17"/>
        <v>bulk order</v>
      </c>
      <c r="O364">
        <f>SQRT(Table1[[#This Row],[Quantity]])</f>
        <v>3.7416573867739413</v>
      </c>
      <c r="P364">
        <v>182.54</v>
      </c>
      <c r="Q364">
        <v>2555.56</v>
      </c>
    </row>
    <row r="365" spans="1:17" x14ac:dyDescent="0.25">
      <c r="A365" t="s">
        <v>371</v>
      </c>
      <c r="B365" t="str">
        <f>MID(Table1[[#This Row],[Order_ID]],2,5)</f>
        <v>RD136</v>
      </c>
      <c r="C365" s="1">
        <v>45526</v>
      </c>
      <c r="D365" t="s">
        <v>511</v>
      </c>
      <c r="E365" t="s">
        <v>513</v>
      </c>
      <c r="F365" t="str">
        <f>LOWER(Table1[[#This Row],[City]])</f>
        <v>bangalore</v>
      </c>
      <c r="G365" t="str">
        <f>UPPER(Table1[[#This Row],[City]])</f>
        <v>BANGALORE</v>
      </c>
      <c r="H365" t="str">
        <f>PROPER(Table1[[#This Row],[City]])</f>
        <v>Bangalore</v>
      </c>
      <c r="I365" t="str">
        <f t="shared" si="15"/>
        <v>MegaMart _ Bangalore</v>
      </c>
      <c r="J365" t="s">
        <v>522</v>
      </c>
      <c r="K365">
        <f t="shared" si="16"/>
        <v>5</v>
      </c>
      <c r="L365" t="str">
        <f>LEFT(Table1[[#This Row],[Category]],3)</f>
        <v>Boo</v>
      </c>
      <c r="M365">
        <v>8</v>
      </c>
      <c r="N365" s="4" t="str">
        <f t="shared" si="17"/>
        <v>normal order</v>
      </c>
      <c r="O365">
        <f>SQRT(Table1[[#This Row],[Quantity]])</f>
        <v>2.8284271247461903</v>
      </c>
      <c r="P365">
        <v>344.51</v>
      </c>
      <c r="Q365">
        <v>2756.08</v>
      </c>
    </row>
    <row r="366" spans="1:17" x14ac:dyDescent="0.25">
      <c r="A366" t="s">
        <v>372</v>
      </c>
      <c r="B366" t="str">
        <f>MID(Table1[[#This Row],[Order_ID]],2,5)</f>
        <v>RD136</v>
      </c>
      <c r="C366" s="1">
        <v>45453</v>
      </c>
      <c r="D366" t="s">
        <v>510</v>
      </c>
      <c r="E366" t="s">
        <v>518</v>
      </c>
      <c r="F366" t="str">
        <f>LOWER(Table1[[#This Row],[City]])</f>
        <v>pune</v>
      </c>
      <c r="G366" t="str">
        <f>UPPER(Table1[[#This Row],[City]])</f>
        <v>PUNE</v>
      </c>
      <c r="H366" t="str">
        <f>PROPER(Table1[[#This Row],[City]])</f>
        <v>Pune</v>
      </c>
      <c r="I366" t="str">
        <f t="shared" si="15"/>
        <v>QuickBuy _ Pune</v>
      </c>
      <c r="J366" t="s">
        <v>523</v>
      </c>
      <c r="K366">
        <f t="shared" si="16"/>
        <v>14</v>
      </c>
      <c r="L366" t="str">
        <f>LEFT(Table1[[#This Row],[Category]],3)</f>
        <v>Hom</v>
      </c>
      <c r="M366">
        <v>6</v>
      </c>
      <c r="N366" s="4" t="str">
        <f t="shared" si="17"/>
        <v>normal order</v>
      </c>
      <c r="O366">
        <f>SQRT(Table1[[#This Row],[Quantity]])</f>
        <v>2.4494897427831779</v>
      </c>
      <c r="P366">
        <v>476.5</v>
      </c>
      <c r="Q366">
        <v>2859</v>
      </c>
    </row>
    <row r="367" spans="1:17" x14ac:dyDescent="0.25">
      <c r="A367" t="s">
        <v>373</v>
      </c>
      <c r="B367" t="str">
        <f>MID(Table1[[#This Row],[Order_ID]],2,5)</f>
        <v>RD136</v>
      </c>
      <c r="C367" s="1">
        <v>45329</v>
      </c>
      <c r="D367" t="s">
        <v>508</v>
      </c>
      <c r="E367" t="s">
        <v>518</v>
      </c>
      <c r="F367" t="str">
        <f>LOWER(Table1[[#This Row],[City]])</f>
        <v>pune</v>
      </c>
      <c r="G367" t="str">
        <f>UPPER(Table1[[#This Row],[City]])</f>
        <v>PUNE</v>
      </c>
      <c r="H367" t="str">
        <f>PROPER(Table1[[#This Row],[City]])</f>
        <v>Pune</v>
      </c>
      <c r="I367" t="str">
        <f t="shared" si="15"/>
        <v>ValueShop _ Pune</v>
      </c>
      <c r="J367" t="s">
        <v>523</v>
      </c>
      <c r="K367">
        <f t="shared" si="16"/>
        <v>14</v>
      </c>
      <c r="L367" t="str">
        <f>LEFT(Table1[[#This Row],[Category]],3)</f>
        <v>Hom</v>
      </c>
      <c r="M367">
        <v>11</v>
      </c>
      <c r="N367" s="4" t="str">
        <f t="shared" si="17"/>
        <v>bulk order</v>
      </c>
      <c r="O367">
        <f>SQRT(Table1[[#This Row],[Quantity]])</f>
        <v>3.3166247903553998</v>
      </c>
      <c r="P367">
        <v>939.22</v>
      </c>
      <c r="Q367">
        <v>10331.42</v>
      </c>
    </row>
    <row r="368" spans="1:17" x14ac:dyDescent="0.25">
      <c r="A368" t="s">
        <v>374</v>
      </c>
      <c r="B368" t="str">
        <f>MID(Table1[[#This Row],[Order_ID]],2,5)</f>
        <v>RD136</v>
      </c>
      <c r="C368" s="1">
        <v>45296</v>
      </c>
      <c r="D368" t="s">
        <v>512</v>
      </c>
      <c r="E368" t="s">
        <v>518</v>
      </c>
      <c r="F368" t="str">
        <f>LOWER(Table1[[#This Row],[City]])</f>
        <v>pune</v>
      </c>
      <c r="G368" t="str">
        <f>UPPER(Table1[[#This Row],[City]])</f>
        <v>PUNE</v>
      </c>
      <c r="H368" t="str">
        <f>PROPER(Table1[[#This Row],[City]])</f>
        <v>Pune</v>
      </c>
      <c r="I368" t="str">
        <f t="shared" si="15"/>
        <v>Trendz _ Pune</v>
      </c>
      <c r="J368" t="s">
        <v>524</v>
      </c>
      <c r="K368">
        <f t="shared" si="16"/>
        <v>4</v>
      </c>
      <c r="L368" t="str">
        <f>LEFT(Table1[[#This Row],[Category]],3)</f>
        <v>Toy</v>
      </c>
      <c r="M368">
        <v>19</v>
      </c>
      <c r="N368" s="4" t="str">
        <f t="shared" si="17"/>
        <v>bulk order</v>
      </c>
      <c r="O368">
        <f>SQRT(Table1[[#This Row],[Quantity]])</f>
        <v>4.358898943540674</v>
      </c>
      <c r="P368">
        <v>167.88</v>
      </c>
      <c r="Q368">
        <v>3189.72</v>
      </c>
    </row>
    <row r="369" spans="1:17" x14ac:dyDescent="0.25">
      <c r="A369" t="s">
        <v>375</v>
      </c>
      <c r="B369" t="str">
        <f>MID(Table1[[#This Row],[Order_ID]],2,5)</f>
        <v>RD136</v>
      </c>
      <c r="C369" s="1">
        <v>45526</v>
      </c>
      <c r="D369" t="s">
        <v>512</v>
      </c>
      <c r="E369" t="s">
        <v>513</v>
      </c>
      <c r="F369" t="str">
        <f>LOWER(Table1[[#This Row],[City]])</f>
        <v>bangalore</v>
      </c>
      <c r="G369" t="str">
        <f>UPPER(Table1[[#This Row],[City]])</f>
        <v>BANGALORE</v>
      </c>
      <c r="H369" t="str">
        <f>PROPER(Table1[[#This Row],[City]])</f>
        <v>Bangalore</v>
      </c>
      <c r="I369" t="str">
        <f t="shared" si="15"/>
        <v>Trendz _ Bangalore</v>
      </c>
      <c r="J369" t="s">
        <v>524</v>
      </c>
      <c r="K369">
        <f t="shared" si="16"/>
        <v>4</v>
      </c>
      <c r="L369" t="str">
        <f>LEFT(Table1[[#This Row],[Category]],3)</f>
        <v>Toy</v>
      </c>
      <c r="M369">
        <v>11</v>
      </c>
      <c r="N369" s="4" t="str">
        <f t="shared" si="17"/>
        <v>bulk order</v>
      </c>
      <c r="O369">
        <f>SQRT(Table1[[#This Row],[Quantity]])</f>
        <v>3.3166247903553998</v>
      </c>
      <c r="P369">
        <v>1293.57</v>
      </c>
      <c r="Q369">
        <v>14229.27</v>
      </c>
    </row>
    <row r="370" spans="1:17" x14ac:dyDescent="0.25">
      <c r="A370" t="s">
        <v>376</v>
      </c>
      <c r="B370" t="str">
        <f>MID(Table1[[#This Row],[Order_ID]],2,5)</f>
        <v>RD136</v>
      </c>
      <c r="C370" s="1">
        <v>45610</v>
      </c>
      <c r="D370" t="s">
        <v>512</v>
      </c>
      <c r="E370" t="s">
        <v>517</v>
      </c>
      <c r="F370" t="str">
        <f>LOWER(Table1[[#This Row],[City]])</f>
        <v>hyderabad</v>
      </c>
      <c r="G370" t="str">
        <f>UPPER(Table1[[#This Row],[City]])</f>
        <v>HYDERABAD</v>
      </c>
      <c r="H370" t="str">
        <f>PROPER(Table1[[#This Row],[City]])</f>
        <v>Hyderabad</v>
      </c>
      <c r="I370" t="str">
        <f t="shared" si="15"/>
        <v>Trendz _ Hyderabad</v>
      </c>
      <c r="J370" t="s">
        <v>524</v>
      </c>
      <c r="K370">
        <f t="shared" si="16"/>
        <v>4</v>
      </c>
      <c r="L370" t="str">
        <f>LEFT(Table1[[#This Row],[Category]],3)</f>
        <v>Toy</v>
      </c>
      <c r="M370">
        <v>7</v>
      </c>
      <c r="N370" s="4" t="str">
        <f t="shared" si="17"/>
        <v>normal order</v>
      </c>
      <c r="O370">
        <f>SQRT(Table1[[#This Row],[Quantity]])</f>
        <v>2.6457513110645907</v>
      </c>
      <c r="P370">
        <v>1871.11</v>
      </c>
      <c r="Q370">
        <v>13097.77</v>
      </c>
    </row>
    <row r="371" spans="1:17" x14ac:dyDescent="0.25">
      <c r="A371" t="s">
        <v>377</v>
      </c>
      <c r="B371" t="str">
        <f>MID(Table1[[#This Row],[Order_ID]],2,5)</f>
        <v>RD136</v>
      </c>
      <c r="C371" s="1">
        <v>45580</v>
      </c>
      <c r="D371" t="s">
        <v>508</v>
      </c>
      <c r="E371" t="s">
        <v>516</v>
      </c>
      <c r="F371" t="str">
        <f>LOWER(Table1[[#This Row],[City]])</f>
        <v>chennai</v>
      </c>
      <c r="G371" t="str">
        <f>UPPER(Table1[[#This Row],[City]])</f>
        <v>CHENNAI</v>
      </c>
      <c r="H371" t="str">
        <f>PROPER(Table1[[#This Row],[City]])</f>
        <v>Chennai</v>
      </c>
      <c r="I371" t="str">
        <f t="shared" si="15"/>
        <v>ValueShop _ Chennai</v>
      </c>
      <c r="J371" t="s">
        <v>521</v>
      </c>
      <c r="K371">
        <f t="shared" si="16"/>
        <v>8</v>
      </c>
      <c r="L371" t="str">
        <f>LEFT(Table1[[#This Row],[Category]],3)</f>
        <v>Clo</v>
      </c>
      <c r="M371">
        <v>6</v>
      </c>
      <c r="N371" s="4" t="str">
        <f t="shared" si="17"/>
        <v>normal order</v>
      </c>
      <c r="O371">
        <f>SQRT(Table1[[#This Row],[Quantity]])</f>
        <v>2.4494897427831779</v>
      </c>
      <c r="P371">
        <v>1829.87</v>
      </c>
      <c r="Q371">
        <v>10979.22</v>
      </c>
    </row>
    <row r="372" spans="1:17" x14ac:dyDescent="0.25">
      <c r="A372" t="s">
        <v>378</v>
      </c>
      <c r="B372" t="str">
        <f>MID(Table1[[#This Row],[Order_ID]],2,5)</f>
        <v>RD137</v>
      </c>
      <c r="C372" s="1">
        <v>45343</v>
      </c>
      <c r="D372" t="s">
        <v>509</v>
      </c>
      <c r="E372" t="s">
        <v>515</v>
      </c>
      <c r="F372" t="str">
        <f>LOWER(Table1[[#This Row],[City]])</f>
        <v>kolkata</v>
      </c>
      <c r="G372" t="str">
        <f>UPPER(Table1[[#This Row],[City]])</f>
        <v>KOLKATA</v>
      </c>
      <c r="H372" t="str">
        <f>PROPER(Table1[[#This Row],[City]])</f>
        <v>Kolkata</v>
      </c>
      <c r="I372" t="str">
        <f t="shared" si="15"/>
        <v>CityStore _ Kolkata</v>
      </c>
      <c r="J372" t="s">
        <v>525</v>
      </c>
      <c r="K372">
        <f t="shared" si="16"/>
        <v>9</v>
      </c>
      <c r="L372" t="str">
        <f>LEFT(Table1[[#This Row],[Category]],3)</f>
        <v>Gro</v>
      </c>
      <c r="M372">
        <v>16</v>
      </c>
      <c r="N372" s="4" t="str">
        <f t="shared" si="17"/>
        <v>bulk order</v>
      </c>
      <c r="O372">
        <f>SQRT(Table1[[#This Row],[Quantity]])</f>
        <v>4</v>
      </c>
      <c r="P372">
        <v>1335.6</v>
      </c>
      <c r="Q372">
        <v>21369.599999999999</v>
      </c>
    </row>
    <row r="373" spans="1:17" x14ac:dyDescent="0.25">
      <c r="A373" t="s">
        <v>379</v>
      </c>
      <c r="B373" t="str">
        <f>MID(Table1[[#This Row],[Order_ID]],2,5)</f>
        <v>RD137</v>
      </c>
      <c r="C373" s="1">
        <v>45329</v>
      </c>
      <c r="D373" t="s">
        <v>511</v>
      </c>
      <c r="E373" t="s">
        <v>518</v>
      </c>
      <c r="F373" t="str">
        <f>LOWER(Table1[[#This Row],[City]])</f>
        <v>pune</v>
      </c>
      <c r="G373" t="str">
        <f>UPPER(Table1[[#This Row],[City]])</f>
        <v>PUNE</v>
      </c>
      <c r="H373" t="str">
        <f>PROPER(Table1[[#This Row],[City]])</f>
        <v>Pune</v>
      </c>
      <c r="I373" t="str">
        <f t="shared" si="15"/>
        <v>MegaMart _ Pune</v>
      </c>
      <c r="J373" t="s">
        <v>525</v>
      </c>
      <c r="K373">
        <f t="shared" si="16"/>
        <v>9</v>
      </c>
      <c r="L373" t="str">
        <f>LEFT(Table1[[#This Row],[Category]],3)</f>
        <v>Gro</v>
      </c>
      <c r="M373">
        <v>17</v>
      </c>
      <c r="N373" s="4" t="str">
        <f t="shared" si="17"/>
        <v>bulk order</v>
      </c>
      <c r="O373">
        <f>SQRT(Table1[[#This Row],[Quantity]])</f>
        <v>4.1231056256176606</v>
      </c>
      <c r="P373">
        <v>80.680000000000007</v>
      </c>
      <c r="Q373">
        <v>1371.56</v>
      </c>
    </row>
    <row r="374" spans="1:17" x14ac:dyDescent="0.25">
      <c r="A374" t="s">
        <v>380</v>
      </c>
      <c r="B374" t="str">
        <f>MID(Table1[[#This Row],[Order_ID]],2,5)</f>
        <v>RD137</v>
      </c>
      <c r="C374" s="1">
        <v>45567</v>
      </c>
      <c r="D374" t="s">
        <v>508</v>
      </c>
      <c r="E374" t="s">
        <v>513</v>
      </c>
      <c r="F374" t="str">
        <f>LOWER(Table1[[#This Row],[City]])</f>
        <v>bangalore</v>
      </c>
      <c r="G374" t="str">
        <f>UPPER(Table1[[#This Row],[City]])</f>
        <v>BANGALORE</v>
      </c>
      <c r="H374" t="str">
        <f>PROPER(Table1[[#This Row],[City]])</f>
        <v>Bangalore</v>
      </c>
      <c r="I374" t="str">
        <f t="shared" si="15"/>
        <v>ValueShop _ Bangalore</v>
      </c>
      <c r="J374" t="s">
        <v>525</v>
      </c>
      <c r="K374">
        <f t="shared" si="16"/>
        <v>9</v>
      </c>
      <c r="L374" t="str">
        <f>LEFT(Table1[[#This Row],[Category]],3)</f>
        <v>Gro</v>
      </c>
      <c r="M374">
        <v>15</v>
      </c>
      <c r="N374" s="4" t="str">
        <f t="shared" si="17"/>
        <v>bulk order</v>
      </c>
      <c r="O374">
        <f>SQRT(Table1[[#This Row],[Quantity]])</f>
        <v>3.872983346207417</v>
      </c>
      <c r="P374">
        <v>1087.81</v>
      </c>
      <c r="Q374">
        <v>16317.15</v>
      </c>
    </row>
    <row r="375" spans="1:17" x14ac:dyDescent="0.25">
      <c r="A375" t="s">
        <v>381</v>
      </c>
      <c r="B375" t="str">
        <f>MID(Table1[[#This Row],[Order_ID]],2,5)</f>
        <v>RD137</v>
      </c>
      <c r="C375" s="1">
        <v>45401</v>
      </c>
      <c r="D375" t="s">
        <v>512</v>
      </c>
      <c r="E375" t="s">
        <v>514</v>
      </c>
      <c r="F375" t="str">
        <f>LOWER(Table1[[#This Row],[City]])</f>
        <v>delhi</v>
      </c>
      <c r="G375" t="str">
        <f>UPPER(Table1[[#This Row],[City]])</f>
        <v>DELHI</v>
      </c>
      <c r="H375" t="str">
        <f>PROPER(Table1[[#This Row],[City]])</f>
        <v>Delhi</v>
      </c>
      <c r="I375" t="str">
        <f t="shared" si="15"/>
        <v>Trendz _ Delhi</v>
      </c>
      <c r="J375" t="s">
        <v>523</v>
      </c>
      <c r="K375">
        <f t="shared" si="16"/>
        <v>14</v>
      </c>
      <c r="L375" t="str">
        <f>LEFT(Table1[[#This Row],[Category]],3)</f>
        <v>Hom</v>
      </c>
      <c r="M375">
        <v>16</v>
      </c>
      <c r="N375" s="4" t="str">
        <f t="shared" si="17"/>
        <v>bulk order</v>
      </c>
      <c r="O375">
        <f>SQRT(Table1[[#This Row],[Quantity]])</f>
        <v>4</v>
      </c>
      <c r="P375">
        <v>852.11</v>
      </c>
      <c r="Q375">
        <v>13633.76</v>
      </c>
    </row>
    <row r="376" spans="1:17" x14ac:dyDescent="0.25">
      <c r="A376" t="s">
        <v>382</v>
      </c>
      <c r="B376" t="str">
        <f>MID(Table1[[#This Row],[Order_ID]],2,5)</f>
        <v>RD137</v>
      </c>
      <c r="C376" s="1">
        <v>45551</v>
      </c>
      <c r="D376" t="s">
        <v>511</v>
      </c>
      <c r="E376" t="s">
        <v>518</v>
      </c>
      <c r="F376" t="str">
        <f>LOWER(Table1[[#This Row],[City]])</f>
        <v>pune</v>
      </c>
      <c r="G376" t="str">
        <f>UPPER(Table1[[#This Row],[City]])</f>
        <v>PUNE</v>
      </c>
      <c r="H376" t="str">
        <f>PROPER(Table1[[#This Row],[City]])</f>
        <v>Pune</v>
      </c>
      <c r="I376" t="str">
        <f t="shared" si="15"/>
        <v>MegaMart _ Pune</v>
      </c>
      <c r="J376" t="s">
        <v>523</v>
      </c>
      <c r="K376">
        <f t="shared" si="16"/>
        <v>14</v>
      </c>
      <c r="L376" t="str">
        <f>LEFT(Table1[[#This Row],[Category]],3)</f>
        <v>Hom</v>
      </c>
      <c r="M376">
        <v>10</v>
      </c>
      <c r="N376" s="4" t="str">
        <f t="shared" si="17"/>
        <v>normal order</v>
      </c>
      <c r="O376">
        <f>SQRT(Table1[[#This Row],[Quantity]])</f>
        <v>3.1622776601683795</v>
      </c>
      <c r="P376">
        <v>82.62</v>
      </c>
      <c r="Q376">
        <v>826.2</v>
      </c>
    </row>
    <row r="377" spans="1:17" x14ac:dyDescent="0.25">
      <c r="A377" t="s">
        <v>383</v>
      </c>
      <c r="B377" t="str">
        <f>MID(Table1[[#This Row],[Order_ID]],2,5)</f>
        <v>RD137</v>
      </c>
      <c r="C377" s="1">
        <v>45427</v>
      </c>
      <c r="D377" t="s">
        <v>511</v>
      </c>
      <c r="E377" t="s">
        <v>519</v>
      </c>
      <c r="F377" t="str">
        <f>LOWER(Table1[[#This Row],[City]])</f>
        <v>mumbai</v>
      </c>
      <c r="G377" t="str">
        <f>UPPER(Table1[[#This Row],[City]])</f>
        <v>MUMBAI</v>
      </c>
      <c r="H377" t="str">
        <f>PROPER(Table1[[#This Row],[City]])</f>
        <v>Mumbai</v>
      </c>
      <c r="I377" t="str">
        <f t="shared" si="15"/>
        <v>MegaMart _ Mumbai</v>
      </c>
      <c r="J377" t="s">
        <v>525</v>
      </c>
      <c r="K377">
        <f t="shared" si="16"/>
        <v>9</v>
      </c>
      <c r="L377" t="str">
        <f>LEFT(Table1[[#This Row],[Category]],3)</f>
        <v>Gro</v>
      </c>
      <c r="M377">
        <v>16</v>
      </c>
      <c r="N377" s="4" t="str">
        <f t="shared" si="17"/>
        <v>bulk order</v>
      </c>
      <c r="O377">
        <f>SQRT(Table1[[#This Row],[Quantity]])</f>
        <v>4</v>
      </c>
      <c r="P377">
        <v>1458.28</v>
      </c>
      <c r="Q377">
        <v>23332.48</v>
      </c>
    </row>
    <row r="378" spans="1:17" x14ac:dyDescent="0.25">
      <c r="A378" t="s">
        <v>384</v>
      </c>
      <c r="B378" t="str">
        <f>MID(Table1[[#This Row],[Order_ID]],2,5)</f>
        <v>RD137</v>
      </c>
      <c r="C378" s="1">
        <v>45359</v>
      </c>
      <c r="D378" t="s">
        <v>512</v>
      </c>
      <c r="E378" t="s">
        <v>516</v>
      </c>
      <c r="F378" t="str">
        <f>LOWER(Table1[[#This Row],[City]])</f>
        <v>chennai</v>
      </c>
      <c r="G378" t="str">
        <f>UPPER(Table1[[#This Row],[City]])</f>
        <v>CHENNAI</v>
      </c>
      <c r="H378" t="str">
        <f>PROPER(Table1[[#This Row],[City]])</f>
        <v>Chennai</v>
      </c>
      <c r="I378" t="str">
        <f t="shared" si="15"/>
        <v>Trendz _ Chennai</v>
      </c>
      <c r="J378" t="s">
        <v>522</v>
      </c>
      <c r="K378">
        <f t="shared" si="16"/>
        <v>5</v>
      </c>
      <c r="L378" t="str">
        <f>LEFT(Table1[[#This Row],[Category]],3)</f>
        <v>Boo</v>
      </c>
      <c r="M378">
        <v>1</v>
      </c>
      <c r="N378" s="4" t="str">
        <f t="shared" si="17"/>
        <v>normal order</v>
      </c>
      <c r="O378">
        <f>SQRT(Table1[[#This Row],[Quantity]])</f>
        <v>1</v>
      </c>
      <c r="P378">
        <v>1094.69</v>
      </c>
      <c r="Q378">
        <v>1094.69</v>
      </c>
    </row>
    <row r="379" spans="1:17" x14ac:dyDescent="0.25">
      <c r="A379" t="s">
        <v>385</v>
      </c>
      <c r="B379" t="str">
        <f>MID(Table1[[#This Row],[Order_ID]],2,5)</f>
        <v>RD137</v>
      </c>
      <c r="C379" s="1">
        <v>45470</v>
      </c>
      <c r="D379" t="s">
        <v>512</v>
      </c>
      <c r="E379" t="s">
        <v>514</v>
      </c>
      <c r="F379" t="str">
        <f>LOWER(Table1[[#This Row],[City]])</f>
        <v>delhi</v>
      </c>
      <c r="G379" t="str">
        <f>UPPER(Table1[[#This Row],[City]])</f>
        <v>DELHI</v>
      </c>
      <c r="H379" t="str">
        <f>PROPER(Table1[[#This Row],[City]])</f>
        <v>Delhi</v>
      </c>
      <c r="I379" t="str">
        <f t="shared" si="15"/>
        <v>Trendz _ Delhi</v>
      </c>
      <c r="J379" t="s">
        <v>524</v>
      </c>
      <c r="K379">
        <f t="shared" si="16"/>
        <v>4</v>
      </c>
      <c r="L379" t="str">
        <f>LEFT(Table1[[#This Row],[Category]],3)</f>
        <v>Toy</v>
      </c>
      <c r="M379">
        <v>3</v>
      </c>
      <c r="N379" s="4" t="str">
        <f t="shared" si="17"/>
        <v>normal order</v>
      </c>
      <c r="O379">
        <f>SQRT(Table1[[#This Row],[Quantity]])</f>
        <v>1.7320508075688772</v>
      </c>
      <c r="P379">
        <v>609.04</v>
      </c>
      <c r="Q379">
        <v>1827.12</v>
      </c>
    </row>
    <row r="380" spans="1:17" x14ac:dyDescent="0.25">
      <c r="A380" t="s">
        <v>386</v>
      </c>
      <c r="B380" t="str">
        <f>MID(Table1[[#This Row],[Order_ID]],2,5)</f>
        <v>RD137</v>
      </c>
      <c r="C380" s="1">
        <v>45327</v>
      </c>
      <c r="D380" t="s">
        <v>511</v>
      </c>
      <c r="E380" t="s">
        <v>517</v>
      </c>
      <c r="F380" t="str">
        <f>LOWER(Table1[[#This Row],[City]])</f>
        <v>hyderabad</v>
      </c>
      <c r="G380" t="str">
        <f>UPPER(Table1[[#This Row],[City]])</f>
        <v>HYDERABAD</v>
      </c>
      <c r="H380" t="str">
        <f>PROPER(Table1[[#This Row],[City]])</f>
        <v>Hyderabad</v>
      </c>
      <c r="I380" t="str">
        <f t="shared" si="15"/>
        <v>MegaMart _ Hyderabad</v>
      </c>
      <c r="J380" t="s">
        <v>520</v>
      </c>
      <c r="K380">
        <f t="shared" si="16"/>
        <v>11</v>
      </c>
      <c r="L380" t="str">
        <f>LEFT(Table1[[#This Row],[Category]],3)</f>
        <v>Ele</v>
      </c>
      <c r="M380">
        <v>13</v>
      </c>
      <c r="N380" s="4" t="str">
        <f t="shared" si="17"/>
        <v>bulk order</v>
      </c>
      <c r="O380">
        <f>SQRT(Table1[[#This Row],[Quantity]])</f>
        <v>3.6055512754639891</v>
      </c>
      <c r="P380">
        <v>1029.32</v>
      </c>
      <c r="Q380">
        <v>13381.16</v>
      </c>
    </row>
    <row r="381" spans="1:17" x14ac:dyDescent="0.25">
      <c r="A381" t="s">
        <v>387</v>
      </c>
      <c r="B381" t="str">
        <f>MID(Table1[[#This Row],[Order_ID]],2,5)</f>
        <v>RD137</v>
      </c>
      <c r="C381" s="1">
        <v>45417</v>
      </c>
      <c r="D381" t="s">
        <v>510</v>
      </c>
      <c r="E381" t="s">
        <v>517</v>
      </c>
      <c r="F381" t="str">
        <f>LOWER(Table1[[#This Row],[City]])</f>
        <v>hyderabad</v>
      </c>
      <c r="G381" t="str">
        <f>UPPER(Table1[[#This Row],[City]])</f>
        <v>HYDERABAD</v>
      </c>
      <c r="H381" t="str">
        <f>PROPER(Table1[[#This Row],[City]])</f>
        <v>Hyderabad</v>
      </c>
      <c r="I381" t="str">
        <f t="shared" si="15"/>
        <v>QuickBuy _ Hyderabad</v>
      </c>
      <c r="J381" t="s">
        <v>522</v>
      </c>
      <c r="K381">
        <f t="shared" si="16"/>
        <v>5</v>
      </c>
      <c r="L381" t="str">
        <f>LEFT(Table1[[#This Row],[Category]],3)</f>
        <v>Boo</v>
      </c>
      <c r="M381">
        <v>17</v>
      </c>
      <c r="N381" s="4" t="str">
        <f t="shared" si="17"/>
        <v>bulk order</v>
      </c>
      <c r="O381">
        <f>SQRT(Table1[[#This Row],[Quantity]])</f>
        <v>4.1231056256176606</v>
      </c>
      <c r="P381">
        <v>1410.83</v>
      </c>
      <c r="Q381">
        <v>23984.11</v>
      </c>
    </row>
    <row r="382" spans="1:17" x14ac:dyDescent="0.25">
      <c r="A382" t="s">
        <v>388</v>
      </c>
      <c r="B382" t="str">
        <f>MID(Table1[[#This Row],[Order_ID]],2,5)</f>
        <v>RD138</v>
      </c>
      <c r="C382" s="1">
        <v>45481</v>
      </c>
      <c r="D382" t="s">
        <v>511</v>
      </c>
      <c r="E382" t="s">
        <v>513</v>
      </c>
      <c r="F382" t="str">
        <f>LOWER(Table1[[#This Row],[City]])</f>
        <v>bangalore</v>
      </c>
      <c r="G382" t="str">
        <f>UPPER(Table1[[#This Row],[City]])</f>
        <v>BANGALORE</v>
      </c>
      <c r="H382" t="str">
        <f>PROPER(Table1[[#This Row],[City]])</f>
        <v>Bangalore</v>
      </c>
      <c r="I382" t="str">
        <f t="shared" si="15"/>
        <v>MegaMart _ Bangalore</v>
      </c>
      <c r="J382" t="s">
        <v>522</v>
      </c>
      <c r="K382">
        <f t="shared" si="16"/>
        <v>5</v>
      </c>
      <c r="L382" t="str">
        <f>LEFT(Table1[[#This Row],[Category]],3)</f>
        <v>Boo</v>
      </c>
      <c r="M382">
        <v>15</v>
      </c>
      <c r="N382" s="4" t="str">
        <f t="shared" si="17"/>
        <v>bulk order</v>
      </c>
      <c r="O382">
        <f>SQRT(Table1[[#This Row],[Quantity]])</f>
        <v>3.872983346207417</v>
      </c>
      <c r="P382">
        <v>889.62</v>
      </c>
      <c r="Q382">
        <v>13344.3</v>
      </c>
    </row>
    <row r="383" spans="1:17" x14ac:dyDescent="0.25">
      <c r="A383" t="s">
        <v>389</v>
      </c>
      <c r="B383" t="str">
        <f>MID(Table1[[#This Row],[Order_ID]],2,5)</f>
        <v>RD138</v>
      </c>
      <c r="C383" s="1">
        <v>45437</v>
      </c>
      <c r="D383" t="s">
        <v>509</v>
      </c>
      <c r="E383" t="s">
        <v>517</v>
      </c>
      <c r="F383" t="str">
        <f>LOWER(Table1[[#This Row],[City]])</f>
        <v>hyderabad</v>
      </c>
      <c r="G383" t="str">
        <f>UPPER(Table1[[#This Row],[City]])</f>
        <v>HYDERABAD</v>
      </c>
      <c r="H383" t="str">
        <f>PROPER(Table1[[#This Row],[City]])</f>
        <v>Hyderabad</v>
      </c>
      <c r="I383" t="str">
        <f t="shared" si="15"/>
        <v>CityStore _ Hyderabad</v>
      </c>
      <c r="J383" t="s">
        <v>525</v>
      </c>
      <c r="K383">
        <f t="shared" si="16"/>
        <v>9</v>
      </c>
      <c r="L383" t="str">
        <f>LEFT(Table1[[#This Row],[Category]],3)</f>
        <v>Gro</v>
      </c>
      <c r="M383">
        <v>8</v>
      </c>
      <c r="N383" s="4" t="str">
        <f t="shared" si="17"/>
        <v>normal order</v>
      </c>
      <c r="O383">
        <f>SQRT(Table1[[#This Row],[Quantity]])</f>
        <v>2.8284271247461903</v>
      </c>
      <c r="P383">
        <v>1882.44</v>
      </c>
      <c r="Q383">
        <v>15059.52</v>
      </c>
    </row>
    <row r="384" spans="1:17" x14ac:dyDescent="0.25">
      <c r="A384" t="s">
        <v>390</v>
      </c>
      <c r="B384" t="str">
        <f>MID(Table1[[#This Row],[Order_ID]],2,5)</f>
        <v>RD138</v>
      </c>
      <c r="C384" s="1">
        <v>45372</v>
      </c>
      <c r="D384" t="s">
        <v>509</v>
      </c>
      <c r="E384" t="s">
        <v>519</v>
      </c>
      <c r="F384" t="str">
        <f>LOWER(Table1[[#This Row],[City]])</f>
        <v>mumbai</v>
      </c>
      <c r="G384" t="str">
        <f>UPPER(Table1[[#This Row],[City]])</f>
        <v>MUMBAI</v>
      </c>
      <c r="H384" t="str">
        <f>PROPER(Table1[[#This Row],[City]])</f>
        <v>Mumbai</v>
      </c>
      <c r="I384" t="str">
        <f t="shared" si="15"/>
        <v>CityStore _ Mumbai</v>
      </c>
      <c r="J384" t="s">
        <v>520</v>
      </c>
      <c r="K384">
        <f t="shared" si="16"/>
        <v>11</v>
      </c>
      <c r="L384" t="str">
        <f>LEFT(Table1[[#This Row],[Category]],3)</f>
        <v>Ele</v>
      </c>
      <c r="M384">
        <v>7</v>
      </c>
      <c r="N384" s="4" t="str">
        <f t="shared" si="17"/>
        <v>normal order</v>
      </c>
      <c r="O384">
        <f>SQRT(Table1[[#This Row],[Quantity]])</f>
        <v>2.6457513110645907</v>
      </c>
      <c r="P384">
        <v>399.57</v>
      </c>
      <c r="Q384">
        <v>2796.99</v>
      </c>
    </row>
    <row r="385" spans="1:17" x14ac:dyDescent="0.25">
      <c r="A385" t="s">
        <v>391</v>
      </c>
      <c r="B385" t="str">
        <f>MID(Table1[[#This Row],[Order_ID]],2,5)</f>
        <v>RD138</v>
      </c>
      <c r="C385" s="1">
        <v>45516</v>
      </c>
      <c r="D385" t="s">
        <v>510</v>
      </c>
      <c r="E385" t="s">
        <v>518</v>
      </c>
      <c r="F385" t="str">
        <f>LOWER(Table1[[#This Row],[City]])</f>
        <v>pune</v>
      </c>
      <c r="G385" t="str">
        <f>UPPER(Table1[[#This Row],[City]])</f>
        <v>PUNE</v>
      </c>
      <c r="H385" t="str">
        <f>PROPER(Table1[[#This Row],[City]])</f>
        <v>Pune</v>
      </c>
      <c r="I385" t="str">
        <f t="shared" si="15"/>
        <v>QuickBuy _ Pune</v>
      </c>
      <c r="J385" t="s">
        <v>525</v>
      </c>
      <c r="K385">
        <f t="shared" si="16"/>
        <v>9</v>
      </c>
      <c r="L385" t="str">
        <f>LEFT(Table1[[#This Row],[Category]],3)</f>
        <v>Gro</v>
      </c>
      <c r="M385">
        <v>19</v>
      </c>
      <c r="N385" s="4" t="str">
        <f t="shared" si="17"/>
        <v>bulk order</v>
      </c>
      <c r="O385">
        <f>SQRT(Table1[[#This Row],[Quantity]])</f>
        <v>4.358898943540674</v>
      </c>
      <c r="P385">
        <v>1840.2</v>
      </c>
      <c r="Q385">
        <v>34963.800000000003</v>
      </c>
    </row>
    <row r="386" spans="1:17" x14ac:dyDescent="0.25">
      <c r="A386" t="s">
        <v>392</v>
      </c>
      <c r="B386" t="str">
        <f>MID(Table1[[#This Row],[Order_ID]],2,5)</f>
        <v>RD138</v>
      </c>
      <c r="C386" s="1">
        <v>45570</v>
      </c>
      <c r="D386" t="s">
        <v>508</v>
      </c>
      <c r="E386" t="s">
        <v>514</v>
      </c>
      <c r="F386" t="str">
        <f>LOWER(Table1[[#This Row],[City]])</f>
        <v>delhi</v>
      </c>
      <c r="G386" t="str">
        <f>UPPER(Table1[[#This Row],[City]])</f>
        <v>DELHI</v>
      </c>
      <c r="H386" t="str">
        <f>PROPER(Table1[[#This Row],[City]])</f>
        <v>Delhi</v>
      </c>
      <c r="I386" t="str">
        <f t="shared" ref="I386:I449" si="18">CONCATENATE(D386," _ ",E386)</f>
        <v>ValueShop _ Delhi</v>
      </c>
      <c r="J386" t="s">
        <v>520</v>
      </c>
      <c r="K386">
        <f t="shared" ref="K386:K449" si="19">LEN(J386)</f>
        <v>11</v>
      </c>
      <c r="L386" t="str">
        <f>LEFT(Table1[[#This Row],[Category]],3)</f>
        <v>Ele</v>
      </c>
      <c r="M386">
        <v>12</v>
      </c>
      <c r="N386" s="4" t="str">
        <f t="shared" si="17"/>
        <v>bulk order</v>
      </c>
      <c r="O386">
        <f>SQRT(Table1[[#This Row],[Quantity]])</f>
        <v>3.4641016151377544</v>
      </c>
      <c r="P386">
        <v>1072.55</v>
      </c>
      <c r="Q386">
        <v>12870.6</v>
      </c>
    </row>
    <row r="387" spans="1:17" x14ac:dyDescent="0.25">
      <c r="A387" t="s">
        <v>393</v>
      </c>
      <c r="B387" t="str">
        <f>MID(Table1[[#This Row],[Order_ID]],2,5)</f>
        <v>RD138</v>
      </c>
      <c r="C387" s="1">
        <v>45652</v>
      </c>
      <c r="D387" t="s">
        <v>511</v>
      </c>
      <c r="E387" t="s">
        <v>518</v>
      </c>
      <c r="F387" t="str">
        <f>LOWER(Table1[[#This Row],[City]])</f>
        <v>pune</v>
      </c>
      <c r="G387" t="str">
        <f>UPPER(Table1[[#This Row],[City]])</f>
        <v>PUNE</v>
      </c>
      <c r="H387" t="str">
        <f>PROPER(Table1[[#This Row],[City]])</f>
        <v>Pune</v>
      </c>
      <c r="I387" t="str">
        <f t="shared" si="18"/>
        <v>MegaMart _ Pune</v>
      </c>
      <c r="J387" t="s">
        <v>524</v>
      </c>
      <c r="K387">
        <f t="shared" si="19"/>
        <v>4</v>
      </c>
      <c r="L387" t="str">
        <f>LEFT(Table1[[#This Row],[Category]],3)</f>
        <v>Toy</v>
      </c>
      <c r="M387">
        <v>2</v>
      </c>
      <c r="N387" s="4" t="str">
        <f t="shared" ref="N387:N450" si="20">IF(M387&gt;10,"bulk order","normal order")</f>
        <v>normal order</v>
      </c>
      <c r="O387">
        <f>SQRT(Table1[[#This Row],[Quantity]])</f>
        <v>1.4142135623730951</v>
      </c>
      <c r="P387">
        <v>519.89</v>
      </c>
      <c r="Q387">
        <v>1039.78</v>
      </c>
    </row>
    <row r="388" spans="1:17" x14ac:dyDescent="0.25">
      <c r="A388" t="s">
        <v>394</v>
      </c>
      <c r="B388" t="str">
        <f>MID(Table1[[#This Row],[Order_ID]],2,5)</f>
        <v>RD138</v>
      </c>
      <c r="C388" s="1">
        <v>45446</v>
      </c>
      <c r="D388" t="s">
        <v>509</v>
      </c>
      <c r="E388" t="s">
        <v>515</v>
      </c>
      <c r="F388" t="str">
        <f>LOWER(Table1[[#This Row],[City]])</f>
        <v>kolkata</v>
      </c>
      <c r="G388" t="str">
        <f>UPPER(Table1[[#This Row],[City]])</f>
        <v>KOLKATA</v>
      </c>
      <c r="H388" t="str">
        <f>PROPER(Table1[[#This Row],[City]])</f>
        <v>Kolkata</v>
      </c>
      <c r="I388" t="str">
        <f t="shared" si="18"/>
        <v>CityStore _ Kolkata</v>
      </c>
      <c r="J388" t="s">
        <v>522</v>
      </c>
      <c r="K388">
        <f t="shared" si="19"/>
        <v>5</v>
      </c>
      <c r="L388" t="str">
        <f>LEFT(Table1[[#This Row],[Category]],3)</f>
        <v>Boo</v>
      </c>
      <c r="M388">
        <v>2</v>
      </c>
      <c r="N388" s="4" t="str">
        <f t="shared" si="20"/>
        <v>normal order</v>
      </c>
      <c r="O388">
        <f>SQRT(Table1[[#This Row],[Quantity]])</f>
        <v>1.4142135623730951</v>
      </c>
      <c r="P388">
        <v>1258.57</v>
      </c>
      <c r="Q388">
        <v>2517.14</v>
      </c>
    </row>
    <row r="389" spans="1:17" x14ac:dyDescent="0.25">
      <c r="A389" t="s">
        <v>395</v>
      </c>
      <c r="B389" t="str">
        <f>MID(Table1[[#This Row],[Order_ID]],2,5)</f>
        <v>RD138</v>
      </c>
      <c r="C389" s="1">
        <v>45605</v>
      </c>
      <c r="D389" t="s">
        <v>511</v>
      </c>
      <c r="E389" t="s">
        <v>516</v>
      </c>
      <c r="F389" t="str">
        <f>LOWER(Table1[[#This Row],[City]])</f>
        <v>chennai</v>
      </c>
      <c r="G389" t="str">
        <f>UPPER(Table1[[#This Row],[City]])</f>
        <v>CHENNAI</v>
      </c>
      <c r="H389" t="str">
        <f>PROPER(Table1[[#This Row],[City]])</f>
        <v>Chennai</v>
      </c>
      <c r="I389" t="str">
        <f t="shared" si="18"/>
        <v>MegaMart _ Chennai</v>
      </c>
      <c r="J389" t="s">
        <v>523</v>
      </c>
      <c r="K389">
        <f t="shared" si="19"/>
        <v>14</v>
      </c>
      <c r="L389" t="str">
        <f>LEFT(Table1[[#This Row],[Category]],3)</f>
        <v>Hom</v>
      </c>
      <c r="M389">
        <v>10</v>
      </c>
      <c r="N389" s="4" t="str">
        <f t="shared" si="20"/>
        <v>normal order</v>
      </c>
      <c r="O389">
        <f>SQRT(Table1[[#This Row],[Quantity]])</f>
        <v>3.1622776601683795</v>
      </c>
      <c r="P389">
        <v>542.22</v>
      </c>
      <c r="Q389">
        <v>5422.2000000000007</v>
      </c>
    </row>
    <row r="390" spans="1:17" x14ac:dyDescent="0.25">
      <c r="A390" t="s">
        <v>396</v>
      </c>
      <c r="B390" t="str">
        <f>MID(Table1[[#This Row],[Order_ID]],2,5)</f>
        <v>RD138</v>
      </c>
      <c r="C390" s="1">
        <v>45626</v>
      </c>
      <c r="D390" t="s">
        <v>510</v>
      </c>
      <c r="E390" t="s">
        <v>518</v>
      </c>
      <c r="F390" t="str">
        <f>LOWER(Table1[[#This Row],[City]])</f>
        <v>pune</v>
      </c>
      <c r="G390" t="str">
        <f>UPPER(Table1[[#This Row],[City]])</f>
        <v>PUNE</v>
      </c>
      <c r="H390" t="str">
        <f>PROPER(Table1[[#This Row],[City]])</f>
        <v>Pune</v>
      </c>
      <c r="I390" t="str">
        <f t="shared" si="18"/>
        <v>QuickBuy _ Pune</v>
      </c>
      <c r="J390" t="s">
        <v>525</v>
      </c>
      <c r="K390">
        <f t="shared" si="19"/>
        <v>9</v>
      </c>
      <c r="L390" t="str">
        <f>LEFT(Table1[[#This Row],[Category]],3)</f>
        <v>Gro</v>
      </c>
      <c r="M390">
        <v>16</v>
      </c>
      <c r="N390" s="4" t="str">
        <f t="shared" si="20"/>
        <v>bulk order</v>
      </c>
      <c r="O390">
        <f>SQRT(Table1[[#This Row],[Quantity]])</f>
        <v>4</v>
      </c>
      <c r="P390">
        <v>741.16</v>
      </c>
      <c r="Q390">
        <v>11858.56</v>
      </c>
    </row>
    <row r="391" spans="1:17" x14ac:dyDescent="0.25">
      <c r="A391" t="s">
        <v>397</v>
      </c>
      <c r="B391" t="str">
        <f>MID(Table1[[#This Row],[Order_ID]],2,5)</f>
        <v>RD138</v>
      </c>
      <c r="C391" s="1">
        <v>45562</v>
      </c>
      <c r="D391" t="s">
        <v>512</v>
      </c>
      <c r="E391" t="s">
        <v>513</v>
      </c>
      <c r="F391" t="str">
        <f>LOWER(Table1[[#This Row],[City]])</f>
        <v>bangalore</v>
      </c>
      <c r="G391" t="str">
        <f>UPPER(Table1[[#This Row],[City]])</f>
        <v>BANGALORE</v>
      </c>
      <c r="H391" t="str">
        <f>PROPER(Table1[[#This Row],[City]])</f>
        <v>Bangalore</v>
      </c>
      <c r="I391" t="str">
        <f t="shared" si="18"/>
        <v>Trendz _ Bangalore</v>
      </c>
      <c r="J391" t="s">
        <v>525</v>
      </c>
      <c r="K391">
        <f t="shared" si="19"/>
        <v>9</v>
      </c>
      <c r="L391" t="str">
        <f>LEFT(Table1[[#This Row],[Category]],3)</f>
        <v>Gro</v>
      </c>
      <c r="M391">
        <v>20</v>
      </c>
      <c r="N391" s="4" t="str">
        <f t="shared" si="20"/>
        <v>bulk order</v>
      </c>
      <c r="O391">
        <f>SQRT(Table1[[#This Row],[Quantity]])</f>
        <v>4.4721359549995796</v>
      </c>
      <c r="P391">
        <v>1600.13</v>
      </c>
      <c r="Q391">
        <v>32002.6</v>
      </c>
    </row>
    <row r="392" spans="1:17" x14ac:dyDescent="0.25">
      <c r="A392" t="s">
        <v>398</v>
      </c>
      <c r="B392" t="str">
        <f>MID(Table1[[#This Row],[Order_ID]],2,5)</f>
        <v>RD139</v>
      </c>
      <c r="C392" s="1">
        <v>45296</v>
      </c>
      <c r="D392" t="s">
        <v>510</v>
      </c>
      <c r="E392" t="s">
        <v>518</v>
      </c>
      <c r="F392" t="str">
        <f>LOWER(Table1[[#This Row],[City]])</f>
        <v>pune</v>
      </c>
      <c r="G392" t="str">
        <f>UPPER(Table1[[#This Row],[City]])</f>
        <v>PUNE</v>
      </c>
      <c r="H392" t="str">
        <f>PROPER(Table1[[#This Row],[City]])</f>
        <v>Pune</v>
      </c>
      <c r="I392" t="str">
        <f t="shared" si="18"/>
        <v>QuickBuy _ Pune</v>
      </c>
      <c r="J392" t="s">
        <v>522</v>
      </c>
      <c r="K392">
        <f t="shared" si="19"/>
        <v>5</v>
      </c>
      <c r="L392" t="str">
        <f>LEFT(Table1[[#This Row],[Category]],3)</f>
        <v>Boo</v>
      </c>
      <c r="M392">
        <v>16</v>
      </c>
      <c r="N392" s="4" t="str">
        <f t="shared" si="20"/>
        <v>bulk order</v>
      </c>
      <c r="O392">
        <f>SQRT(Table1[[#This Row],[Quantity]])</f>
        <v>4</v>
      </c>
      <c r="P392">
        <v>204.09</v>
      </c>
      <c r="Q392">
        <v>3265.44</v>
      </c>
    </row>
    <row r="393" spans="1:17" x14ac:dyDescent="0.25">
      <c r="A393" t="s">
        <v>399</v>
      </c>
      <c r="B393" t="str">
        <f>MID(Table1[[#This Row],[Order_ID]],2,5)</f>
        <v>RD139</v>
      </c>
      <c r="C393" s="1">
        <v>45633</v>
      </c>
      <c r="D393" t="s">
        <v>510</v>
      </c>
      <c r="E393" t="s">
        <v>516</v>
      </c>
      <c r="F393" t="str">
        <f>LOWER(Table1[[#This Row],[City]])</f>
        <v>chennai</v>
      </c>
      <c r="G393" t="str">
        <f>UPPER(Table1[[#This Row],[City]])</f>
        <v>CHENNAI</v>
      </c>
      <c r="H393" t="str">
        <f>PROPER(Table1[[#This Row],[City]])</f>
        <v>Chennai</v>
      </c>
      <c r="I393" t="str">
        <f t="shared" si="18"/>
        <v>QuickBuy _ Chennai</v>
      </c>
      <c r="J393" t="s">
        <v>522</v>
      </c>
      <c r="K393">
        <f t="shared" si="19"/>
        <v>5</v>
      </c>
      <c r="L393" t="str">
        <f>LEFT(Table1[[#This Row],[Category]],3)</f>
        <v>Boo</v>
      </c>
      <c r="M393">
        <v>10</v>
      </c>
      <c r="N393" s="4" t="str">
        <f t="shared" si="20"/>
        <v>normal order</v>
      </c>
      <c r="O393">
        <f>SQRT(Table1[[#This Row],[Quantity]])</f>
        <v>3.1622776601683795</v>
      </c>
      <c r="P393">
        <v>1920.63</v>
      </c>
      <c r="Q393">
        <v>19206.3</v>
      </c>
    </row>
    <row r="394" spans="1:17" x14ac:dyDescent="0.25">
      <c r="A394" t="s">
        <v>400</v>
      </c>
      <c r="B394" t="str">
        <f>MID(Table1[[#This Row],[Order_ID]],2,5)</f>
        <v>RD139</v>
      </c>
      <c r="C394" s="1">
        <v>45575</v>
      </c>
      <c r="D394" t="s">
        <v>510</v>
      </c>
      <c r="E394" t="s">
        <v>514</v>
      </c>
      <c r="F394" t="str">
        <f>LOWER(Table1[[#This Row],[City]])</f>
        <v>delhi</v>
      </c>
      <c r="G394" t="str">
        <f>UPPER(Table1[[#This Row],[City]])</f>
        <v>DELHI</v>
      </c>
      <c r="H394" t="str">
        <f>PROPER(Table1[[#This Row],[City]])</f>
        <v>Delhi</v>
      </c>
      <c r="I394" t="str">
        <f t="shared" si="18"/>
        <v>QuickBuy _ Delhi</v>
      </c>
      <c r="J394" t="s">
        <v>524</v>
      </c>
      <c r="K394">
        <f t="shared" si="19"/>
        <v>4</v>
      </c>
      <c r="L394" t="str">
        <f>LEFT(Table1[[#This Row],[Category]],3)</f>
        <v>Toy</v>
      </c>
      <c r="M394">
        <v>18</v>
      </c>
      <c r="N394" s="4" t="str">
        <f t="shared" si="20"/>
        <v>bulk order</v>
      </c>
      <c r="O394">
        <f>SQRT(Table1[[#This Row],[Quantity]])</f>
        <v>4.2426406871192848</v>
      </c>
      <c r="P394">
        <v>945.05</v>
      </c>
      <c r="Q394">
        <v>17010.900000000001</v>
      </c>
    </row>
    <row r="395" spans="1:17" x14ac:dyDescent="0.25">
      <c r="A395" t="s">
        <v>401</v>
      </c>
      <c r="B395" t="str">
        <f>MID(Table1[[#This Row],[Order_ID]],2,5)</f>
        <v>RD139</v>
      </c>
      <c r="C395" s="1">
        <v>45445</v>
      </c>
      <c r="D395" t="s">
        <v>509</v>
      </c>
      <c r="E395" t="s">
        <v>519</v>
      </c>
      <c r="F395" t="str">
        <f>LOWER(Table1[[#This Row],[City]])</f>
        <v>mumbai</v>
      </c>
      <c r="G395" t="str">
        <f>UPPER(Table1[[#This Row],[City]])</f>
        <v>MUMBAI</v>
      </c>
      <c r="H395" t="str">
        <f>PROPER(Table1[[#This Row],[City]])</f>
        <v>Mumbai</v>
      </c>
      <c r="I395" t="str">
        <f t="shared" si="18"/>
        <v>CityStore _ Mumbai</v>
      </c>
      <c r="J395" t="s">
        <v>521</v>
      </c>
      <c r="K395">
        <f t="shared" si="19"/>
        <v>8</v>
      </c>
      <c r="L395" t="str">
        <f>LEFT(Table1[[#This Row],[Category]],3)</f>
        <v>Clo</v>
      </c>
      <c r="M395">
        <v>1</v>
      </c>
      <c r="N395" s="4" t="str">
        <f t="shared" si="20"/>
        <v>normal order</v>
      </c>
      <c r="O395">
        <f>SQRT(Table1[[#This Row],[Quantity]])</f>
        <v>1</v>
      </c>
      <c r="P395">
        <v>524.26</v>
      </c>
      <c r="Q395">
        <v>524.26</v>
      </c>
    </row>
    <row r="396" spans="1:17" x14ac:dyDescent="0.25">
      <c r="A396" t="s">
        <v>402</v>
      </c>
      <c r="B396" t="str">
        <f>MID(Table1[[#This Row],[Order_ID]],2,5)</f>
        <v>RD139</v>
      </c>
      <c r="C396" s="1">
        <v>45631</v>
      </c>
      <c r="D396" t="s">
        <v>510</v>
      </c>
      <c r="E396" t="s">
        <v>514</v>
      </c>
      <c r="F396" t="str">
        <f>LOWER(Table1[[#This Row],[City]])</f>
        <v>delhi</v>
      </c>
      <c r="G396" t="str">
        <f>UPPER(Table1[[#This Row],[City]])</f>
        <v>DELHI</v>
      </c>
      <c r="H396" t="str">
        <f>PROPER(Table1[[#This Row],[City]])</f>
        <v>Delhi</v>
      </c>
      <c r="I396" t="str">
        <f t="shared" si="18"/>
        <v>QuickBuy _ Delhi</v>
      </c>
      <c r="J396" t="s">
        <v>525</v>
      </c>
      <c r="K396">
        <f t="shared" si="19"/>
        <v>9</v>
      </c>
      <c r="L396" t="str">
        <f>LEFT(Table1[[#This Row],[Category]],3)</f>
        <v>Gro</v>
      </c>
      <c r="M396">
        <v>4</v>
      </c>
      <c r="N396" s="4" t="str">
        <f t="shared" si="20"/>
        <v>normal order</v>
      </c>
      <c r="O396">
        <f>SQRT(Table1[[#This Row],[Quantity]])</f>
        <v>2</v>
      </c>
      <c r="P396">
        <v>1409.61</v>
      </c>
      <c r="Q396">
        <v>5638.44</v>
      </c>
    </row>
    <row r="397" spans="1:17" x14ac:dyDescent="0.25">
      <c r="A397" t="s">
        <v>403</v>
      </c>
      <c r="B397" t="str">
        <f>MID(Table1[[#This Row],[Order_ID]],2,5)</f>
        <v>RD139</v>
      </c>
      <c r="C397" s="1">
        <v>45345</v>
      </c>
      <c r="D397" t="s">
        <v>512</v>
      </c>
      <c r="E397" t="s">
        <v>514</v>
      </c>
      <c r="F397" t="str">
        <f>LOWER(Table1[[#This Row],[City]])</f>
        <v>delhi</v>
      </c>
      <c r="G397" t="str">
        <f>UPPER(Table1[[#This Row],[City]])</f>
        <v>DELHI</v>
      </c>
      <c r="H397" t="str">
        <f>PROPER(Table1[[#This Row],[City]])</f>
        <v>Delhi</v>
      </c>
      <c r="I397" t="str">
        <f t="shared" si="18"/>
        <v>Trendz _ Delhi</v>
      </c>
      <c r="J397" t="s">
        <v>520</v>
      </c>
      <c r="K397">
        <f t="shared" si="19"/>
        <v>11</v>
      </c>
      <c r="L397" t="str">
        <f>LEFT(Table1[[#This Row],[Category]],3)</f>
        <v>Ele</v>
      </c>
      <c r="M397">
        <v>14</v>
      </c>
      <c r="N397" s="4" t="str">
        <f t="shared" si="20"/>
        <v>bulk order</v>
      </c>
      <c r="O397">
        <f>SQRT(Table1[[#This Row],[Quantity]])</f>
        <v>3.7416573867739413</v>
      </c>
      <c r="P397">
        <v>634.95000000000005</v>
      </c>
      <c r="Q397">
        <v>8889.3000000000011</v>
      </c>
    </row>
    <row r="398" spans="1:17" x14ac:dyDescent="0.25">
      <c r="A398" t="s">
        <v>404</v>
      </c>
      <c r="B398" t="str">
        <f>MID(Table1[[#This Row],[Order_ID]],2,5)</f>
        <v>RD139</v>
      </c>
      <c r="C398" s="1">
        <v>45360</v>
      </c>
      <c r="D398" t="s">
        <v>512</v>
      </c>
      <c r="E398" t="s">
        <v>513</v>
      </c>
      <c r="F398" t="str">
        <f>LOWER(Table1[[#This Row],[City]])</f>
        <v>bangalore</v>
      </c>
      <c r="G398" t="str">
        <f>UPPER(Table1[[#This Row],[City]])</f>
        <v>BANGALORE</v>
      </c>
      <c r="H398" t="str">
        <f>PROPER(Table1[[#This Row],[City]])</f>
        <v>Bangalore</v>
      </c>
      <c r="I398" t="str">
        <f t="shared" si="18"/>
        <v>Trendz _ Bangalore</v>
      </c>
      <c r="J398" t="s">
        <v>524</v>
      </c>
      <c r="K398">
        <f t="shared" si="19"/>
        <v>4</v>
      </c>
      <c r="L398" t="str">
        <f>LEFT(Table1[[#This Row],[Category]],3)</f>
        <v>Toy</v>
      </c>
      <c r="M398">
        <v>5</v>
      </c>
      <c r="N398" s="4" t="str">
        <f t="shared" si="20"/>
        <v>normal order</v>
      </c>
      <c r="O398">
        <f>SQRT(Table1[[#This Row],[Quantity]])</f>
        <v>2.2360679774997898</v>
      </c>
      <c r="P398">
        <v>1664.72</v>
      </c>
      <c r="Q398">
        <v>8323.6</v>
      </c>
    </row>
    <row r="399" spans="1:17" x14ac:dyDescent="0.25">
      <c r="A399" t="s">
        <v>405</v>
      </c>
      <c r="B399" t="str">
        <f>MID(Table1[[#This Row],[Order_ID]],2,5)</f>
        <v>RD139</v>
      </c>
      <c r="C399" s="1">
        <v>45427</v>
      </c>
      <c r="D399" t="s">
        <v>512</v>
      </c>
      <c r="E399" t="s">
        <v>516</v>
      </c>
      <c r="F399" t="str">
        <f>LOWER(Table1[[#This Row],[City]])</f>
        <v>chennai</v>
      </c>
      <c r="G399" t="str">
        <f>UPPER(Table1[[#This Row],[City]])</f>
        <v>CHENNAI</v>
      </c>
      <c r="H399" t="str">
        <f>PROPER(Table1[[#This Row],[City]])</f>
        <v>Chennai</v>
      </c>
      <c r="I399" t="str">
        <f t="shared" si="18"/>
        <v>Trendz _ Chennai</v>
      </c>
      <c r="J399" t="s">
        <v>522</v>
      </c>
      <c r="K399">
        <f t="shared" si="19"/>
        <v>5</v>
      </c>
      <c r="L399" t="str">
        <f>LEFT(Table1[[#This Row],[Category]],3)</f>
        <v>Boo</v>
      </c>
      <c r="M399">
        <v>9</v>
      </c>
      <c r="N399" s="4" t="str">
        <f t="shared" si="20"/>
        <v>normal order</v>
      </c>
      <c r="O399">
        <f>SQRT(Table1[[#This Row],[Quantity]])</f>
        <v>3</v>
      </c>
      <c r="P399">
        <v>207.2</v>
      </c>
      <c r="Q399">
        <v>1864.8</v>
      </c>
    </row>
    <row r="400" spans="1:17" x14ac:dyDescent="0.25">
      <c r="A400" t="s">
        <v>406</v>
      </c>
      <c r="B400" t="str">
        <f>MID(Table1[[#This Row],[Order_ID]],2,5)</f>
        <v>RD139</v>
      </c>
      <c r="C400" s="1">
        <v>45351</v>
      </c>
      <c r="D400" t="s">
        <v>508</v>
      </c>
      <c r="E400" t="s">
        <v>514</v>
      </c>
      <c r="F400" t="str">
        <f>LOWER(Table1[[#This Row],[City]])</f>
        <v>delhi</v>
      </c>
      <c r="G400" t="str">
        <f>UPPER(Table1[[#This Row],[City]])</f>
        <v>DELHI</v>
      </c>
      <c r="H400" t="str">
        <f>PROPER(Table1[[#This Row],[City]])</f>
        <v>Delhi</v>
      </c>
      <c r="I400" t="str">
        <f t="shared" si="18"/>
        <v>ValueShop _ Delhi</v>
      </c>
      <c r="J400" t="s">
        <v>521</v>
      </c>
      <c r="K400">
        <f t="shared" si="19"/>
        <v>8</v>
      </c>
      <c r="L400" t="str">
        <f>LEFT(Table1[[#This Row],[Category]],3)</f>
        <v>Clo</v>
      </c>
      <c r="M400">
        <v>12</v>
      </c>
      <c r="N400" s="4" t="str">
        <f t="shared" si="20"/>
        <v>bulk order</v>
      </c>
      <c r="O400">
        <f>SQRT(Table1[[#This Row],[Quantity]])</f>
        <v>3.4641016151377544</v>
      </c>
      <c r="P400">
        <v>1983.77</v>
      </c>
      <c r="Q400">
        <v>23805.24</v>
      </c>
    </row>
    <row r="401" spans="1:17" x14ac:dyDescent="0.25">
      <c r="A401" t="s">
        <v>407</v>
      </c>
      <c r="B401" t="str">
        <f>MID(Table1[[#This Row],[Order_ID]],2,5)</f>
        <v>RD139</v>
      </c>
      <c r="C401" s="1">
        <v>45346</v>
      </c>
      <c r="D401" t="s">
        <v>510</v>
      </c>
      <c r="E401" t="s">
        <v>514</v>
      </c>
      <c r="F401" t="str">
        <f>LOWER(Table1[[#This Row],[City]])</f>
        <v>delhi</v>
      </c>
      <c r="G401" t="str">
        <f>UPPER(Table1[[#This Row],[City]])</f>
        <v>DELHI</v>
      </c>
      <c r="H401" t="str">
        <f>PROPER(Table1[[#This Row],[City]])</f>
        <v>Delhi</v>
      </c>
      <c r="I401" t="str">
        <f t="shared" si="18"/>
        <v>QuickBuy _ Delhi</v>
      </c>
      <c r="J401" t="s">
        <v>525</v>
      </c>
      <c r="K401">
        <f t="shared" si="19"/>
        <v>9</v>
      </c>
      <c r="L401" t="str">
        <f>LEFT(Table1[[#This Row],[Category]],3)</f>
        <v>Gro</v>
      </c>
      <c r="M401">
        <v>13</v>
      </c>
      <c r="N401" s="4" t="str">
        <f t="shared" si="20"/>
        <v>bulk order</v>
      </c>
      <c r="O401">
        <f>SQRT(Table1[[#This Row],[Quantity]])</f>
        <v>3.6055512754639891</v>
      </c>
      <c r="P401">
        <v>1317.29</v>
      </c>
      <c r="Q401">
        <v>17124.77</v>
      </c>
    </row>
    <row r="402" spans="1:17" x14ac:dyDescent="0.25">
      <c r="A402" t="s">
        <v>408</v>
      </c>
      <c r="B402" t="str">
        <f>MID(Table1[[#This Row],[Order_ID]],2,5)</f>
        <v>RD140</v>
      </c>
      <c r="C402" s="1">
        <v>45575</v>
      </c>
      <c r="D402" t="s">
        <v>512</v>
      </c>
      <c r="E402" t="s">
        <v>519</v>
      </c>
      <c r="F402" t="str">
        <f>LOWER(Table1[[#This Row],[City]])</f>
        <v>mumbai</v>
      </c>
      <c r="G402" t="str">
        <f>UPPER(Table1[[#This Row],[City]])</f>
        <v>MUMBAI</v>
      </c>
      <c r="H402" t="str">
        <f>PROPER(Table1[[#This Row],[City]])</f>
        <v>Mumbai</v>
      </c>
      <c r="I402" t="str">
        <f t="shared" si="18"/>
        <v>Trendz _ Mumbai</v>
      </c>
      <c r="J402" t="s">
        <v>525</v>
      </c>
      <c r="K402">
        <f t="shared" si="19"/>
        <v>9</v>
      </c>
      <c r="L402" t="str">
        <f>LEFT(Table1[[#This Row],[Category]],3)</f>
        <v>Gro</v>
      </c>
      <c r="M402">
        <v>12</v>
      </c>
      <c r="N402" s="4" t="str">
        <f t="shared" si="20"/>
        <v>bulk order</v>
      </c>
      <c r="O402">
        <f>SQRT(Table1[[#This Row],[Quantity]])</f>
        <v>3.4641016151377544</v>
      </c>
      <c r="P402">
        <v>111.78</v>
      </c>
      <c r="Q402">
        <v>1341.36</v>
      </c>
    </row>
    <row r="403" spans="1:17" x14ac:dyDescent="0.25">
      <c r="A403" t="s">
        <v>409</v>
      </c>
      <c r="B403" t="str">
        <f>MID(Table1[[#This Row],[Order_ID]],2,5)</f>
        <v>RD140</v>
      </c>
      <c r="C403" s="1">
        <v>45371</v>
      </c>
      <c r="D403" t="s">
        <v>508</v>
      </c>
      <c r="E403" t="s">
        <v>517</v>
      </c>
      <c r="F403" t="str">
        <f>LOWER(Table1[[#This Row],[City]])</f>
        <v>hyderabad</v>
      </c>
      <c r="G403" t="str">
        <f>UPPER(Table1[[#This Row],[City]])</f>
        <v>HYDERABAD</v>
      </c>
      <c r="H403" t="str">
        <f>PROPER(Table1[[#This Row],[City]])</f>
        <v>Hyderabad</v>
      </c>
      <c r="I403" t="str">
        <f t="shared" si="18"/>
        <v>ValueShop _ Hyderabad</v>
      </c>
      <c r="J403" t="s">
        <v>522</v>
      </c>
      <c r="K403">
        <f t="shared" si="19"/>
        <v>5</v>
      </c>
      <c r="L403" t="str">
        <f>LEFT(Table1[[#This Row],[Category]],3)</f>
        <v>Boo</v>
      </c>
      <c r="M403">
        <v>2</v>
      </c>
      <c r="N403" s="4" t="str">
        <f t="shared" si="20"/>
        <v>normal order</v>
      </c>
      <c r="O403">
        <f>SQRT(Table1[[#This Row],[Quantity]])</f>
        <v>1.4142135623730951</v>
      </c>
      <c r="P403">
        <v>840.29</v>
      </c>
      <c r="Q403">
        <v>1680.58</v>
      </c>
    </row>
    <row r="404" spans="1:17" x14ac:dyDescent="0.25">
      <c r="A404" t="s">
        <v>410</v>
      </c>
      <c r="B404" t="str">
        <f>MID(Table1[[#This Row],[Order_ID]],2,5)</f>
        <v>RD140</v>
      </c>
      <c r="C404" s="1">
        <v>45431</v>
      </c>
      <c r="D404" t="s">
        <v>510</v>
      </c>
      <c r="E404" t="s">
        <v>519</v>
      </c>
      <c r="F404" t="str">
        <f>LOWER(Table1[[#This Row],[City]])</f>
        <v>mumbai</v>
      </c>
      <c r="G404" t="str">
        <f>UPPER(Table1[[#This Row],[City]])</f>
        <v>MUMBAI</v>
      </c>
      <c r="H404" t="str">
        <f>PROPER(Table1[[#This Row],[City]])</f>
        <v>Mumbai</v>
      </c>
      <c r="I404" t="str">
        <f t="shared" si="18"/>
        <v>QuickBuy _ Mumbai</v>
      </c>
      <c r="J404" t="s">
        <v>522</v>
      </c>
      <c r="K404">
        <f t="shared" si="19"/>
        <v>5</v>
      </c>
      <c r="L404" t="str">
        <f>LEFT(Table1[[#This Row],[Category]],3)</f>
        <v>Boo</v>
      </c>
      <c r="M404">
        <v>13</v>
      </c>
      <c r="N404" s="4" t="str">
        <f t="shared" si="20"/>
        <v>bulk order</v>
      </c>
      <c r="O404">
        <f>SQRT(Table1[[#This Row],[Quantity]])</f>
        <v>3.6055512754639891</v>
      </c>
      <c r="P404">
        <v>785.48</v>
      </c>
      <c r="Q404">
        <v>10211.24</v>
      </c>
    </row>
    <row r="405" spans="1:17" x14ac:dyDescent="0.25">
      <c r="A405" t="s">
        <v>411</v>
      </c>
      <c r="B405" t="str">
        <f>MID(Table1[[#This Row],[Order_ID]],2,5)</f>
        <v>RD140</v>
      </c>
      <c r="C405" s="1">
        <v>45436</v>
      </c>
      <c r="D405" t="s">
        <v>510</v>
      </c>
      <c r="E405" t="s">
        <v>516</v>
      </c>
      <c r="F405" t="str">
        <f>LOWER(Table1[[#This Row],[City]])</f>
        <v>chennai</v>
      </c>
      <c r="G405" t="str">
        <f>UPPER(Table1[[#This Row],[City]])</f>
        <v>CHENNAI</v>
      </c>
      <c r="H405" t="str">
        <f>PROPER(Table1[[#This Row],[City]])</f>
        <v>Chennai</v>
      </c>
      <c r="I405" t="str">
        <f t="shared" si="18"/>
        <v>QuickBuy _ Chennai</v>
      </c>
      <c r="J405" t="s">
        <v>522</v>
      </c>
      <c r="K405">
        <f t="shared" si="19"/>
        <v>5</v>
      </c>
      <c r="L405" t="str">
        <f>LEFT(Table1[[#This Row],[Category]],3)</f>
        <v>Boo</v>
      </c>
      <c r="M405">
        <v>2</v>
      </c>
      <c r="N405" s="4" t="str">
        <f t="shared" si="20"/>
        <v>normal order</v>
      </c>
      <c r="O405">
        <f>SQRT(Table1[[#This Row],[Quantity]])</f>
        <v>1.4142135623730951</v>
      </c>
      <c r="P405">
        <v>978.21</v>
      </c>
      <c r="Q405">
        <v>1956.42</v>
      </c>
    </row>
    <row r="406" spans="1:17" x14ac:dyDescent="0.25">
      <c r="A406" t="s">
        <v>412</v>
      </c>
      <c r="B406" t="str">
        <f>MID(Table1[[#This Row],[Order_ID]],2,5)</f>
        <v>RD140</v>
      </c>
      <c r="C406" s="1">
        <v>45601</v>
      </c>
      <c r="D406" t="s">
        <v>511</v>
      </c>
      <c r="E406" t="s">
        <v>516</v>
      </c>
      <c r="F406" t="str">
        <f>LOWER(Table1[[#This Row],[City]])</f>
        <v>chennai</v>
      </c>
      <c r="G406" t="str">
        <f>UPPER(Table1[[#This Row],[City]])</f>
        <v>CHENNAI</v>
      </c>
      <c r="H406" t="str">
        <f>PROPER(Table1[[#This Row],[City]])</f>
        <v>Chennai</v>
      </c>
      <c r="I406" t="str">
        <f t="shared" si="18"/>
        <v>MegaMart _ Chennai</v>
      </c>
      <c r="J406" t="s">
        <v>523</v>
      </c>
      <c r="K406">
        <f t="shared" si="19"/>
        <v>14</v>
      </c>
      <c r="L406" t="str">
        <f>LEFT(Table1[[#This Row],[Category]],3)</f>
        <v>Hom</v>
      </c>
      <c r="M406">
        <v>19</v>
      </c>
      <c r="N406" s="4" t="str">
        <f t="shared" si="20"/>
        <v>bulk order</v>
      </c>
      <c r="O406">
        <f>SQRT(Table1[[#This Row],[Quantity]])</f>
        <v>4.358898943540674</v>
      </c>
      <c r="P406">
        <v>1291.6600000000001</v>
      </c>
      <c r="Q406">
        <v>24541.54</v>
      </c>
    </row>
    <row r="407" spans="1:17" x14ac:dyDescent="0.25">
      <c r="A407" t="s">
        <v>413</v>
      </c>
      <c r="B407" t="str">
        <f>MID(Table1[[#This Row],[Order_ID]],2,5)</f>
        <v>RD140</v>
      </c>
      <c r="C407" s="1">
        <v>45399</v>
      </c>
      <c r="D407" t="s">
        <v>510</v>
      </c>
      <c r="E407" t="s">
        <v>513</v>
      </c>
      <c r="F407" t="str">
        <f>LOWER(Table1[[#This Row],[City]])</f>
        <v>bangalore</v>
      </c>
      <c r="G407" t="str">
        <f>UPPER(Table1[[#This Row],[City]])</f>
        <v>BANGALORE</v>
      </c>
      <c r="H407" t="str">
        <f>PROPER(Table1[[#This Row],[City]])</f>
        <v>Bangalore</v>
      </c>
      <c r="I407" t="str">
        <f t="shared" si="18"/>
        <v>QuickBuy _ Bangalore</v>
      </c>
      <c r="J407" t="s">
        <v>521</v>
      </c>
      <c r="K407">
        <f t="shared" si="19"/>
        <v>8</v>
      </c>
      <c r="L407" t="str">
        <f>LEFT(Table1[[#This Row],[Category]],3)</f>
        <v>Clo</v>
      </c>
      <c r="M407">
        <v>18</v>
      </c>
      <c r="N407" s="4" t="str">
        <f t="shared" si="20"/>
        <v>bulk order</v>
      </c>
      <c r="O407">
        <f>SQRT(Table1[[#This Row],[Quantity]])</f>
        <v>4.2426406871192848</v>
      </c>
      <c r="P407">
        <v>1420.55</v>
      </c>
      <c r="Q407">
        <v>25569.9</v>
      </c>
    </row>
    <row r="408" spans="1:17" x14ac:dyDescent="0.25">
      <c r="A408" t="s">
        <v>414</v>
      </c>
      <c r="B408" t="str">
        <f>MID(Table1[[#This Row],[Order_ID]],2,5)</f>
        <v>RD140</v>
      </c>
      <c r="C408" s="1">
        <v>45467</v>
      </c>
      <c r="D408" t="s">
        <v>511</v>
      </c>
      <c r="E408" t="s">
        <v>518</v>
      </c>
      <c r="F408" t="str">
        <f>LOWER(Table1[[#This Row],[City]])</f>
        <v>pune</v>
      </c>
      <c r="G408" t="str">
        <f>UPPER(Table1[[#This Row],[City]])</f>
        <v>PUNE</v>
      </c>
      <c r="H408" t="str">
        <f>PROPER(Table1[[#This Row],[City]])</f>
        <v>Pune</v>
      </c>
      <c r="I408" t="str">
        <f t="shared" si="18"/>
        <v>MegaMart _ Pune</v>
      </c>
      <c r="J408" t="s">
        <v>524</v>
      </c>
      <c r="K408">
        <f t="shared" si="19"/>
        <v>4</v>
      </c>
      <c r="L408" t="str">
        <f>LEFT(Table1[[#This Row],[Category]],3)</f>
        <v>Toy</v>
      </c>
      <c r="M408">
        <v>7</v>
      </c>
      <c r="N408" s="4" t="str">
        <f t="shared" si="20"/>
        <v>normal order</v>
      </c>
      <c r="O408">
        <f>SQRT(Table1[[#This Row],[Quantity]])</f>
        <v>2.6457513110645907</v>
      </c>
      <c r="P408">
        <v>211.24</v>
      </c>
      <c r="Q408">
        <v>1478.68</v>
      </c>
    </row>
    <row r="409" spans="1:17" x14ac:dyDescent="0.25">
      <c r="A409" t="s">
        <v>415</v>
      </c>
      <c r="B409" t="str">
        <f>MID(Table1[[#This Row],[Order_ID]],2,5)</f>
        <v>RD140</v>
      </c>
      <c r="C409" s="1">
        <v>45396</v>
      </c>
      <c r="D409" t="s">
        <v>509</v>
      </c>
      <c r="E409" t="s">
        <v>518</v>
      </c>
      <c r="F409" t="str">
        <f>LOWER(Table1[[#This Row],[City]])</f>
        <v>pune</v>
      </c>
      <c r="G409" t="str">
        <f>UPPER(Table1[[#This Row],[City]])</f>
        <v>PUNE</v>
      </c>
      <c r="H409" t="str">
        <f>PROPER(Table1[[#This Row],[City]])</f>
        <v>Pune</v>
      </c>
      <c r="I409" t="str">
        <f t="shared" si="18"/>
        <v>CityStore _ Pune</v>
      </c>
      <c r="J409" t="s">
        <v>522</v>
      </c>
      <c r="K409">
        <f t="shared" si="19"/>
        <v>5</v>
      </c>
      <c r="L409" t="str">
        <f>LEFT(Table1[[#This Row],[Category]],3)</f>
        <v>Boo</v>
      </c>
      <c r="M409">
        <v>12</v>
      </c>
      <c r="N409" s="4" t="str">
        <f t="shared" si="20"/>
        <v>bulk order</v>
      </c>
      <c r="O409">
        <f>SQRT(Table1[[#This Row],[Quantity]])</f>
        <v>3.4641016151377544</v>
      </c>
      <c r="P409">
        <v>1698.39</v>
      </c>
      <c r="Q409">
        <v>20380.68</v>
      </c>
    </row>
    <row r="410" spans="1:17" x14ac:dyDescent="0.25">
      <c r="A410" t="s">
        <v>416</v>
      </c>
      <c r="B410" t="str">
        <f>MID(Table1[[#This Row],[Order_ID]],2,5)</f>
        <v>RD140</v>
      </c>
      <c r="C410" s="1">
        <v>45643</v>
      </c>
      <c r="D410" t="s">
        <v>509</v>
      </c>
      <c r="E410" t="s">
        <v>518</v>
      </c>
      <c r="F410" t="str">
        <f>LOWER(Table1[[#This Row],[City]])</f>
        <v>pune</v>
      </c>
      <c r="G410" t="str">
        <f>UPPER(Table1[[#This Row],[City]])</f>
        <v>PUNE</v>
      </c>
      <c r="H410" t="str">
        <f>PROPER(Table1[[#This Row],[City]])</f>
        <v>Pune</v>
      </c>
      <c r="I410" t="str">
        <f t="shared" si="18"/>
        <v>CityStore _ Pune</v>
      </c>
      <c r="J410" t="s">
        <v>520</v>
      </c>
      <c r="K410">
        <f t="shared" si="19"/>
        <v>11</v>
      </c>
      <c r="L410" t="str">
        <f>LEFT(Table1[[#This Row],[Category]],3)</f>
        <v>Ele</v>
      </c>
      <c r="M410">
        <v>18</v>
      </c>
      <c r="N410" s="4" t="str">
        <f t="shared" si="20"/>
        <v>bulk order</v>
      </c>
      <c r="O410">
        <f>SQRT(Table1[[#This Row],[Quantity]])</f>
        <v>4.2426406871192848</v>
      </c>
      <c r="P410">
        <v>1307.57</v>
      </c>
      <c r="Q410">
        <v>23536.26</v>
      </c>
    </row>
    <row r="411" spans="1:17" x14ac:dyDescent="0.25">
      <c r="A411" t="s">
        <v>417</v>
      </c>
      <c r="B411" t="str">
        <f>MID(Table1[[#This Row],[Order_ID]],2,5)</f>
        <v>RD140</v>
      </c>
      <c r="C411" s="1">
        <v>45616</v>
      </c>
      <c r="D411" t="s">
        <v>508</v>
      </c>
      <c r="E411" t="s">
        <v>517</v>
      </c>
      <c r="F411" t="str">
        <f>LOWER(Table1[[#This Row],[City]])</f>
        <v>hyderabad</v>
      </c>
      <c r="G411" t="str">
        <f>UPPER(Table1[[#This Row],[City]])</f>
        <v>HYDERABAD</v>
      </c>
      <c r="H411" t="str">
        <f>PROPER(Table1[[#This Row],[City]])</f>
        <v>Hyderabad</v>
      </c>
      <c r="I411" t="str">
        <f t="shared" si="18"/>
        <v>ValueShop _ Hyderabad</v>
      </c>
      <c r="J411" t="s">
        <v>525</v>
      </c>
      <c r="K411">
        <f t="shared" si="19"/>
        <v>9</v>
      </c>
      <c r="L411" t="str">
        <f>LEFT(Table1[[#This Row],[Category]],3)</f>
        <v>Gro</v>
      </c>
      <c r="M411">
        <v>10</v>
      </c>
      <c r="N411" s="4" t="str">
        <f t="shared" si="20"/>
        <v>normal order</v>
      </c>
      <c r="O411">
        <f>SQRT(Table1[[#This Row],[Quantity]])</f>
        <v>3.1622776601683795</v>
      </c>
      <c r="P411">
        <v>695.98</v>
      </c>
      <c r="Q411">
        <v>6959.8</v>
      </c>
    </row>
    <row r="412" spans="1:17" x14ac:dyDescent="0.25">
      <c r="A412" t="s">
        <v>418</v>
      </c>
      <c r="B412" t="str">
        <f>MID(Table1[[#This Row],[Order_ID]],2,5)</f>
        <v>RD141</v>
      </c>
      <c r="C412" s="1">
        <v>45427</v>
      </c>
      <c r="D412" t="s">
        <v>511</v>
      </c>
      <c r="E412" t="s">
        <v>516</v>
      </c>
      <c r="F412" t="str">
        <f>LOWER(Table1[[#This Row],[City]])</f>
        <v>chennai</v>
      </c>
      <c r="G412" t="str">
        <f>UPPER(Table1[[#This Row],[City]])</f>
        <v>CHENNAI</v>
      </c>
      <c r="H412" t="str">
        <f>PROPER(Table1[[#This Row],[City]])</f>
        <v>Chennai</v>
      </c>
      <c r="I412" t="str">
        <f t="shared" si="18"/>
        <v>MegaMart _ Chennai</v>
      </c>
      <c r="J412" t="s">
        <v>524</v>
      </c>
      <c r="K412">
        <f t="shared" si="19"/>
        <v>4</v>
      </c>
      <c r="L412" t="str">
        <f>LEFT(Table1[[#This Row],[Category]],3)</f>
        <v>Toy</v>
      </c>
      <c r="M412">
        <v>3</v>
      </c>
      <c r="N412" s="4" t="str">
        <f t="shared" si="20"/>
        <v>normal order</v>
      </c>
      <c r="O412">
        <f>SQRT(Table1[[#This Row],[Quantity]])</f>
        <v>1.7320508075688772</v>
      </c>
      <c r="P412">
        <v>1955.79</v>
      </c>
      <c r="Q412">
        <v>5867.37</v>
      </c>
    </row>
    <row r="413" spans="1:17" x14ac:dyDescent="0.25">
      <c r="A413" t="s">
        <v>419</v>
      </c>
      <c r="B413" t="str">
        <f>MID(Table1[[#This Row],[Order_ID]],2,5)</f>
        <v>RD141</v>
      </c>
      <c r="C413" s="1">
        <v>45550</v>
      </c>
      <c r="D413" t="s">
        <v>509</v>
      </c>
      <c r="E413" t="s">
        <v>517</v>
      </c>
      <c r="F413" t="str">
        <f>LOWER(Table1[[#This Row],[City]])</f>
        <v>hyderabad</v>
      </c>
      <c r="G413" t="str">
        <f>UPPER(Table1[[#This Row],[City]])</f>
        <v>HYDERABAD</v>
      </c>
      <c r="H413" t="str">
        <f>PROPER(Table1[[#This Row],[City]])</f>
        <v>Hyderabad</v>
      </c>
      <c r="I413" t="str">
        <f t="shared" si="18"/>
        <v>CityStore _ Hyderabad</v>
      </c>
      <c r="J413" t="s">
        <v>523</v>
      </c>
      <c r="K413">
        <f t="shared" si="19"/>
        <v>14</v>
      </c>
      <c r="L413" t="str">
        <f>LEFT(Table1[[#This Row],[Category]],3)</f>
        <v>Hom</v>
      </c>
      <c r="M413">
        <v>13</v>
      </c>
      <c r="N413" s="4" t="str">
        <f t="shared" si="20"/>
        <v>bulk order</v>
      </c>
      <c r="O413">
        <f>SQRT(Table1[[#This Row],[Quantity]])</f>
        <v>3.6055512754639891</v>
      </c>
      <c r="P413">
        <v>1948.99</v>
      </c>
      <c r="Q413">
        <v>25336.87</v>
      </c>
    </row>
    <row r="414" spans="1:17" x14ac:dyDescent="0.25">
      <c r="A414" t="s">
        <v>420</v>
      </c>
      <c r="B414" t="str">
        <f>MID(Table1[[#This Row],[Order_ID]],2,5)</f>
        <v>RD141</v>
      </c>
      <c r="C414" s="1">
        <v>45542</v>
      </c>
      <c r="D414" t="s">
        <v>509</v>
      </c>
      <c r="E414" t="s">
        <v>518</v>
      </c>
      <c r="F414" t="str">
        <f>LOWER(Table1[[#This Row],[City]])</f>
        <v>pune</v>
      </c>
      <c r="G414" t="str">
        <f>UPPER(Table1[[#This Row],[City]])</f>
        <v>PUNE</v>
      </c>
      <c r="H414" t="str">
        <f>PROPER(Table1[[#This Row],[City]])</f>
        <v>Pune</v>
      </c>
      <c r="I414" t="str">
        <f t="shared" si="18"/>
        <v>CityStore _ Pune</v>
      </c>
      <c r="J414" t="s">
        <v>522</v>
      </c>
      <c r="K414">
        <f t="shared" si="19"/>
        <v>5</v>
      </c>
      <c r="L414" t="str">
        <f>LEFT(Table1[[#This Row],[Category]],3)</f>
        <v>Boo</v>
      </c>
      <c r="M414">
        <v>17</v>
      </c>
      <c r="N414" s="4" t="str">
        <f t="shared" si="20"/>
        <v>bulk order</v>
      </c>
      <c r="O414">
        <f>SQRT(Table1[[#This Row],[Quantity]])</f>
        <v>4.1231056256176606</v>
      </c>
      <c r="P414">
        <v>1794.84</v>
      </c>
      <c r="Q414">
        <v>30512.28</v>
      </c>
    </row>
    <row r="415" spans="1:17" x14ac:dyDescent="0.25">
      <c r="A415" t="s">
        <v>421</v>
      </c>
      <c r="B415" t="str">
        <f>MID(Table1[[#This Row],[Order_ID]],2,5)</f>
        <v>RD141</v>
      </c>
      <c r="C415" s="1">
        <v>45420</v>
      </c>
      <c r="D415" t="s">
        <v>509</v>
      </c>
      <c r="E415" t="s">
        <v>518</v>
      </c>
      <c r="F415" t="str">
        <f>LOWER(Table1[[#This Row],[City]])</f>
        <v>pune</v>
      </c>
      <c r="G415" t="str">
        <f>UPPER(Table1[[#This Row],[City]])</f>
        <v>PUNE</v>
      </c>
      <c r="H415" t="str">
        <f>PROPER(Table1[[#This Row],[City]])</f>
        <v>Pune</v>
      </c>
      <c r="I415" t="str">
        <f t="shared" si="18"/>
        <v>CityStore _ Pune</v>
      </c>
      <c r="J415" t="s">
        <v>525</v>
      </c>
      <c r="K415">
        <f t="shared" si="19"/>
        <v>9</v>
      </c>
      <c r="L415" t="str">
        <f>LEFT(Table1[[#This Row],[Category]],3)</f>
        <v>Gro</v>
      </c>
      <c r="M415">
        <v>15</v>
      </c>
      <c r="N415" s="4" t="str">
        <f t="shared" si="20"/>
        <v>bulk order</v>
      </c>
      <c r="O415">
        <f>SQRT(Table1[[#This Row],[Quantity]])</f>
        <v>3.872983346207417</v>
      </c>
      <c r="P415">
        <v>1842.35</v>
      </c>
      <c r="Q415">
        <v>27635.25</v>
      </c>
    </row>
    <row r="416" spans="1:17" x14ac:dyDescent="0.25">
      <c r="A416" t="s">
        <v>422</v>
      </c>
      <c r="B416" t="str">
        <f>MID(Table1[[#This Row],[Order_ID]],2,5)</f>
        <v>RD141</v>
      </c>
      <c r="C416" s="1">
        <v>45318</v>
      </c>
      <c r="D416" t="s">
        <v>510</v>
      </c>
      <c r="E416" t="s">
        <v>519</v>
      </c>
      <c r="F416" t="str">
        <f>LOWER(Table1[[#This Row],[City]])</f>
        <v>mumbai</v>
      </c>
      <c r="G416" t="str">
        <f>UPPER(Table1[[#This Row],[City]])</f>
        <v>MUMBAI</v>
      </c>
      <c r="H416" t="str">
        <f>PROPER(Table1[[#This Row],[City]])</f>
        <v>Mumbai</v>
      </c>
      <c r="I416" t="str">
        <f t="shared" si="18"/>
        <v>QuickBuy _ Mumbai</v>
      </c>
      <c r="J416" t="s">
        <v>521</v>
      </c>
      <c r="K416">
        <f t="shared" si="19"/>
        <v>8</v>
      </c>
      <c r="L416" t="str">
        <f>LEFT(Table1[[#This Row],[Category]],3)</f>
        <v>Clo</v>
      </c>
      <c r="M416">
        <v>18</v>
      </c>
      <c r="N416" s="4" t="str">
        <f t="shared" si="20"/>
        <v>bulk order</v>
      </c>
      <c r="O416">
        <f>SQRT(Table1[[#This Row],[Quantity]])</f>
        <v>4.2426406871192848</v>
      </c>
      <c r="P416">
        <v>498.04</v>
      </c>
      <c r="Q416">
        <v>8964.7200000000012</v>
      </c>
    </row>
    <row r="417" spans="1:17" x14ac:dyDescent="0.25">
      <c r="A417" t="s">
        <v>423</v>
      </c>
      <c r="B417" t="str">
        <f>MID(Table1[[#This Row],[Order_ID]],2,5)</f>
        <v>RD141</v>
      </c>
      <c r="C417" s="1">
        <v>45339</v>
      </c>
      <c r="D417" t="s">
        <v>511</v>
      </c>
      <c r="E417" t="s">
        <v>516</v>
      </c>
      <c r="F417" t="str">
        <f>LOWER(Table1[[#This Row],[City]])</f>
        <v>chennai</v>
      </c>
      <c r="G417" t="str">
        <f>UPPER(Table1[[#This Row],[City]])</f>
        <v>CHENNAI</v>
      </c>
      <c r="H417" t="str">
        <f>PROPER(Table1[[#This Row],[City]])</f>
        <v>Chennai</v>
      </c>
      <c r="I417" t="str">
        <f t="shared" si="18"/>
        <v>MegaMart _ Chennai</v>
      </c>
      <c r="J417" t="s">
        <v>522</v>
      </c>
      <c r="K417">
        <f t="shared" si="19"/>
        <v>5</v>
      </c>
      <c r="L417" t="str">
        <f>LEFT(Table1[[#This Row],[Category]],3)</f>
        <v>Boo</v>
      </c>
      <c r="M417">
        <v>9</v>
      </c>
      <c r="N417" s="4" t="str">
        <f t="shared" si="20"/>
        <v>normal order</v>
      </c>
      <c r="O417">
        <f>SQRT(Table1[[#This Row],[Quantity]])</f>
        <v>3</v>
      </c>
      <c r="P417">
        <v>1807.48</v>
      </c>
      <c r="Q417">
        <v>16267.32</v>
      </c>
    </row>
    <row r="418" spans="1:17" x14ac:dyDescent="0.25">
      <c r="A418" t="s">
        <v>424</v>
      </c>
      <c r="B418" t="str">
        <f>MID(Table1[[#This Row],[Order_ID]],2,5)</f>
        <v>RD141</v>
      </c>
      <c r="C418" s="1">
        <v>45616</v>
      </c>
      <c r="D418" t="s">
        <v>509</v>
      </c>
      <c r="E418" t="s">
        <v>518</v>
      </c>
      <c r="F418" t="str">
        <f>LOWER(Table1[[#This Row],[City]])</f>
        <v>pune</v>
      </c>
      <c r="G418" t="str">
        <f>UPPER(Table1[[#This Row],[City]])</f>
        <v>PUNE</v>
      </c>
      <c r="H418" t="str">
        <f>PROPER(Table1[[#This Row],[City]])</f>
        <v>Pune</v>
      </c>
      <c r="I418" t="str">
        <f t="shared" si="18"/>
        <v>CityStore _ Pune</v>
      </c>
      <c r="J418" t="s">
        <v>522</v>
      </c>
      <c r="K418">
        <f t="shared" si="19"/>
        <v>5</v>
      </c>
      <c r="L418" t="str">
        <f>LEFT(Table1[[#This Row],[Category]],3)</f>
        <v>Boo</v>
      </c>
      <c r="M418">
        <v>20</v>
      </c>
      <c r="N418" s="4" t="str">
        <f t="shared" si="20"/>
        <v>bulk order</v>
      </c>
      <c r="O418">
        <f>SQRT(Table1[[#This Row],[Quantity]])</f>
        <v>4.4721359549995796</v>
      </c>
      <c r="P418">
        <v>1399.96</v>
      </c>
      <c r="Q418">
        <v>27999.200000000001</v>
      </c>
    </row>
    <row r="419" spans="1:17" x14ac:dyDescent="0.25">
      <c r="A419" t="s">
        <v>425</v>
      </c>
      <c r="B419" t="str">
        <f>MID(Table1[[#This Row],[Order_ID]],2,5)</f>
        <v>RD141</v>
      </c>
      <c r="C419" s="1">
        <v>45508</v>
      </c>
      <c r="D419" t="s">
        <v>511</v>
      </c>
      <c r="E419" t="s">
        <v>514</v>
      </c>
      <c r="F419" t="str">
        <f>LOWER(Table1[[#This Row],[City]])</f>
        <v>delhi</v>
      </c>
      <c r="G419" t="str">
        <f>UPPER(Table1[[#This Row],[City]])</f>
        <v>DELHI</v>
      </c>
      <c r="H419" t="str">
        <f>PROPER(Table1[[#This Row],[City]])</f>
        <v>Delhi</v>
      </c>
      <c r="I419" t="str">
        <f t="shared" si="18"/>
        <v>MegaMart _ Delhi</v>
      </c>
      <c r="J419" t="s">
        <v>522</v>
      </c>
      <c r="K419">
        <f t="shared" si="19"/>
        <v>5</v>
      </c>
      <c r="L419" t="str">
        <f>LEFT(Table1[[#This Row],[Category]],3)</f>
        <v>Boo</v>
      </c>
      <c r="M419">
        <v>20</v>
      </c>
      <c r="N419" s="4" t="str">
        <f t="shared" si="20"/>
        <v>bulk order</v>
      </c>
      <c r="O419">
        <f>SQRT(Table1[[#This Row],[Quantity]])</f>
        <v>4.4721359549995796</v>
      </c>
      <c r="P419">
        <v>1155.23</v>
      </c>
      <c r="Q419">
        <v>23104.6</v>
      </c>
    </row>
    <row r="420" spans="1:17" x14ac:dyDescent="0.25">
      <c r="A420" t="s">
        <v>426</v>
      </c>
      <c r="B420" t="str">
        <f>MID(Table1[[#This Row],[Order_ID]],2,5)</f>
        <v>RD141</v>
      </c>
      <c r="C420" s="1">
        <v>45433</v>
      </c>
      <c r="D420" t="s">
        <v>512</v>
      </c>
      <c r="E420" t="s">
        <v>515</v>
      </c>
      <c r="F420" t="str">
        <f>LOWER(Table1[[#This Row],[City]])</f>
        <v>kolkata</v>
      </c>
      <c r="G420" t="str">
        <f>UPPER(Table1[[#This Row],[City]])</f>
        <v>KOLKATA</v>
      </c>
      <c r="H420" t="str">
        <f>PROPER(Table1[[#This Row],[City]])</f>
        <v>Kolkata</v>
      </c>
      <c r="I420" t="str">
        <f t="shared" si="18"/>
        <v>Trendz _ Kolkata</v>
      </c>
      <c r="J420" t="s">
        <v>522</v>
      </c>
      <c r="K420">
        <f t="shared" si="19"/>
        <v>5</v>
      </c>
      <c r="L420" t="str">
        <f>LEFT(Table1[[#This Row],[Category]],3)</f>
        <v>Boo</v>
      </c>
      <c r="M420">
        <v>4</v>
      </c>
      <c r="N420" s="4" t="str">
        <f t="shared" si="20"/>
        <v>normal order</v>
      </c>
      <c r="O420">
        <f>SQRT(Table1[[#This Row],[Quantity]])</f>
        <v>2</v>
      </c>
      <c r="P420">
        <v>578.64</v>
      </c>
      <c r="Q420">
        <v>2314.56</v>
      </c>
    </row>
    <row r="421" spans="1:17" x14ac:dyDescent="0.25">
      <c r="A421" t="s">
        <v>427</v>
      </c>
      <c r="B421" t="str">
        <f>MID(Table1[[#This Row],[Order_ID]],2,5)</f>
        <v>RD141</v>
      </c>
      <c r="C421" s="1">
        <v>45314</v>
      </c>
      <c r="D421" t="s">
        <v>512</v>
      </c>
      <c r="E421" t="s">
        <v>516</v>
      </c>
      <c r="F421" t="str">
        <f>LOWER(Table1[[#This Row],[City]])</f>
        <v>chennai</v>
      </c>
      <c r="G421" t="str">
        <f>UPPER(Table1[[#This Row],[City]])</f>
        <v>CHENNAI</v>
      </c>
      <c r="H421" t="str">
        <f>PROPER(Table1[[#This Row],[City]])</f>
        <v>Chennai</v>
      </c>
      <c r="I421" t="str">
        <f t="shared" si="18"/>
        <v>Trendz _ Chennai</v>
      </c>
      <c r="J421" t="s">
        <v>524</v>
      </c>
      <c r="K421">
        <f t="shared" si="19"/>
        <v>4</v>
      </c>
      <c r="L421" t="str">
        <f>LEFT(Table1[[#This Row],[Category]],3)</f>
        <v>Toy</v>
      </c>
      <c r="M421">
        <v>5</v>
      </c>
      <c r="N421" s="4" t="str">
        <f t="shared" si="20"/>
        <v>normal order</v>
      </c>
      <c r="O421">
        <f>SQRT(Table1[[#This Row],[Quantity]])</f>
        <v>2.2360679774997898</v>
      </c>
      <c r="P421">
        <v>1852.11</v>
      </c>
      <c r="Q421">
        <v>9260.5499999999993</v>
      </c>
    </row>
    <row r="422" spans="1:17" x14ac:dyDescent="0.25">
      <c r="A422" t="s">
        <v>428</v>
      </c>
      <c r="B422" t="str">
        <f>MID(Table1[[#This Row],[Order_ID]],2,5)</f>
        <v>RD142</v>
      </c>
      <c r="C422" s="1">
        <v>45293</v>
      </c>
      <c r="D422" t="s">
        <v>510</v>
      </c>
      <c r="E422" t="s">
        <v>517</v>
      </c>
      <c r="F422" t="str">
        <f>LOWER(Table1[[#This Row],[City]])</f>
        <v>hyderabad</v>
      </c>
      <c r="G422" t="str">
        <f>UPPER(Table1[[#This Row],[City]])</f>
        <v>HYDERABAD</v>
      </c>
      <c r="H422" t="str">
        <f>PROPER(Table1[[#This Row],[City]])</f>
        <v>Hyderabad</v>
      </c>
      <c r="I422" t="str">
        <f t="shared" si="18"/>
        <v>QuickBuy _ Hyderabad</v>
      </c>
      <c r="J422" t="s">
        <v>520</v>
      </c>
      <c r="K422">
        <f t="shared" si="19"/>
        <v>11</v>
      </c>
      <c r="L422" t="str">
        <f>LEFT(Table1[[#This Row],[Category]],3)</f>
        <v>Ele</v>
      </c>
      <c r="M422">
        <v>4</v>
      </c>
      <c r="N422" s="4" t="str">
        <f t="shared" si="20"/>
        <v>normal order</v>
      </c>
      <c r="O422">
        <f>SQRT(Table1[[#This Row],[Quantity]])</f>
        <v>2</v>
      </c>
      <c r="P422">
        <v>1384.64</v>
      </c>
      <c r="Q422">
        <v>5538.56</v>
      </c>
    </row>
    <row r="423" spans="1:17" x14ac:dyDescent="0.25">
      <c r="A423" t="s">
        <v>429</v>
      </c>
      <c r="B423" t="str">
        <f>MID(Table1[[#This Row],[Order_ID]],2,5)</f>
        <v>RD142</v>
      </c>
      <c r="C423" s="1">
        <v>45462</v>
      </c>
      <c r="D423" t="s">
        <v>512</v>
      </c>
      <c r="E423" t="s">
        <v>516</v>
      </c>
      <c r="F423" t="str">
        <f>LOWER(Table1[[#This Row],[City]])</f>
        <v>chennai</v>
      </c>
      <c r="G423" t="str">
        <f>UPPER(Table1[[#This Row],[City]])</f>
        <v>CHENNAI</v>
      </c>
      <c r="H423" t="str">
        <f>PROPER(Table1[[#This Row],[City]])</f>
        <v>Chennai</v>
      </c>
      <c r="I423" t="str">
        <f t="shared" si="18"/>
        <v>Trendz _ Chennai</v>
      </c>
      <c r="J423" t="s">
        <v>522</v>
      </c>
      <c r="K423">
        <f t="shared" si="19"/>
        <v>5</v>
      </c>
      <c r="L423" t="str">
        <f>LEFT(Table1[[#This Row],[Category]],3)</f>
        <v>Boo</v>
      </c>
      <c r="M423">
        <v>13</v>
      </c>
      <c r="N423" s="4" t="str">
        <f t="shared" si="20"/>
        <v>bulk order</v>
      </c>
      <c r="O423">
        <f>SQRT(Table1[[#This Row],[Quantity]])</f>
        <v>3.6055512754639891</v>
      </c>
      <c r="P423">
        <v>596.73</v>
      </c>
      <c r="Q423">
        <v>7757.49</v>
      </c>
    </row>
    <row r="424" spans="1:17" x14ac:dyDescent="0.25">
      <c r="A424" t="s">
        <v>430</v>
      </c>
      <c r="B424" t="str">
        <f>MID(Table1[[#This Row],[Order_ID]],2,5)</f>
        <v>RD142</v>
      </c>
      <c r="C424" s="1">
        <v>45358</v>
      </c>
      <c r="D424" t="s">
        <v>508</v>
      </c>
      <c r="E424" t="s">
        <v>513</v>
      </c>
      <c r="F424" t="str">
        <f>LOWER(Table1[[#This Row],[City]])</f>
        <v>bangalore</v>
      </c>
      <c r="G424" t="str">
        <f>UPPER(Table1[[#This Row],[City]])</f>
        <v>BANGALORE</v>
      </c>
      <c r="H424" t="str">
        <f>PROPER(Table1[[#This Row],[City]])</f>
        <v>Bangalore</v>
      </c>
      <c r="I424" t="str">
        <f t="shared" si="18"/>
        <v>ValueShop _ Bangalore</v>
      </c>
      <c r="J424" t="s">
        <v>522</v>
      </c>
      <c r="K424">
        <f t="shared" si="19"/>
        <v>5</v>
      </c>
      <c r="L424" t="str">
        <f>LEFT(Table1[[#This Row],[Category]],3)</f>
        <v>Boo</v>
      </c>
      <c r="M424">
        <v>12</v>
      </c>
      <c r="N424" s="4" t="str">
        <f t="shared" si="20"/>
        <v>bulk order</v>
      </c>
      <c r="O424">
        <f>SQRT(Table1[[#This Row],[Quantity]])</f>
        <v>3.4641016151377544</v>
      </c>
      <c r="P424">
        <v>1108.9100000000001</v>
      </c>
      <c r="Q424">
        <v>13306.92</v>
      </c>
    </row>
    <row r="425" spans="1:17" x14ac:dyDescent="0.25">
      <c r="A425" t="s">
        <v>431</v>
      </c>
      <c r="B425" t="str">
        <f>MID(Table1[[#This Row],[Order_ID]],2,5)</f>
        <v>RD142</v>
      </c>
      <c r="C425" s="1">
        <v>45618</v>
      </c>
      <c r="D425" t="s">
        <v>511</v>
      </c>
      <c r="E425" t="s">
        <v>514</v>
      </c>
      <c r="F425" t="str">
        <f>LOWER(Table1[[#This Row],[City]])</f>
        <v>delhi</v>
      </c>
      <c r="G425" t="str">
        <f>UPPER(Table1[[#This Row],[City]])</f>
        <v>DELHI</v>
      </c>
      <c r="H425" t="str">
        <f>PROPER(Table1[[#This Row],[City]])</f>
        <v>Delhi</v>
      </c>
      <c r="I425" t="str">
        <f t="shared" si="18"/>
        <v>MegaMart _ Delhi</v>
      </c>
      <c r="J425" t="s">
        <v>523</v>
      </c>
      <c r="K425">
        <f t="shared" si="19"/>
        <v>14</v>
      </c>
      <c r="L425" t="str">
        <f>LEFT(Table1[[#This Row],[Category]],3)</f>
        <v>Hom</v>
      </c>
      <c r="M425">
        <v>11</v>
      </c>
      <c r="N425" s="4" t="str">
        <f t="shared" si="20"/>
        <v>bulk order</v>
      </c>
      <c r="O425">
        <f>SQRT(Table1[[#This Row],[Quantity]])</f>
        <v>3.3166247903553998</v>
      </c>
      <c r="P425">
        <v>1333.31</v>
      </c>
      <c r="Q425">
        <v>14666.41</v>
      </c>
    </row>
    <row r="426" spans="1:17" x14ac:dyDescent="0.25">
      <c r="A426" t="s">
        <v>432</v>
      </c>
      <c r="B426" t="str">
        <f>MID(Table1[[#This Row],[Order_ID]],2,5)</f>
        <v>RD142</v>
      </c>
      <c r="C426" s="1">
        <v>45426</v>
      </c>
      <c r="D426" t="s">
        <v>509</v>
      </c>
      <c r="E426" t="s">
        <v>518</v>
      </c>
      <c r="F426" t="str">
        <f>LOWER(Table1[[#This Row],[City]])</f>
        <v>pune</v>
      </c>
      <c r="G426" t="str">
        <f>UPPER(Table1[[#This Row],[City]])</f>
        <v>PUNE</v>
      </c>
      <c r="H426" t="str">
        <f>PROPER(Table1[[#This Row],[City]])</f>
        <v>Pune</v>
      </c>
      <c r="I426" t="str">
        <f t="shared" si="18"/>
        <v>CityStore _ Pune</v>
      </c>
      <c r="J426" t="s">
        <v>524</v>
      </c>
      <c r="K426">
        <f t="shared" si="19"/>
        <v>4</v>
      </c>
      <c r="L426" t="str">
        <f>LEFT(Table1[[#This Row],[Category]],3)</f>
        <v>Toy</v>
      </c>
      <c r="M426">
        <v>18</v>
      </c>
      <c r="N426" s="4" t="str">
        <f t="shared" si="20"/>
        <v>bulk order</v>
      </c>
      <c r="O426">
        <f>SQRT(Table1[[#This Row],[Quantity]])</f>
        <v>4.2426406871192848</v>
      </c>
      <c r="P426">
        <v>399.74</v>
      </c>
      <c r="Q426">
        <v>7195.32</v>
      </c>
    </row>
    <row r="427" spans="1:17" x14ac:dyDescent="0.25">
      <c r="A427" t="s">
        <v>433</v>
      </c>
      <c r="B427" t="str">
        <f>MID(Table1[[#This Row],[Order_ID]],2,5)</f>
        <v>RD142</v>
      </c>
      <c r="C427" s="1">
        <v>45374</v>
      </c>
      <c r="D427" t="s">
        <v>508</v>
      </c>
      <c r="E427" t="s">
        <v>513</v>
      </c>
      <c r="F427" t="str">
        <f>LOWER(Table1[[#This Row],[City]])</f>
        <v>bangalore</v>
      </c>
      <c r="G427" t="str">
        <f>UPPER(Table1[[#This Row],[City]])</f>
        <v>BANGALORE</v>
      </c>
      <c r="H427" t="str">
        <f>PROPER(Table1[[#This Row],[City]])</f>
        <v>Bangalore</v>
      </c>
      <c r="I427" t="str">
        <f t="shared" si="18"/>
        <v>ValueShop _ Bangalore</v>
      </c>
      <c r="J427" t="s">
        <v>525</v>
      </c>
      <c r="K427">
        <f t="shared" si="19"/>
        <v>9</v>
      </c>
      <c r="L427" t="str">
        <f>LEFT(Table1[[#This Row],[Category]],3)</f>
        <v>Gro</v>
      </c>
      <c r="M427">
        <v>12</v>
      </c>
      <c r="N427" s="4" t="str">
        <f t="shared" si="20"/>
        <v>bulk order</v>
      </c>
      <c r="O427">
        <f>SQRT(Table1[[#This Row],[Quantity]])</f>
        <v>3.4641016151377544</v>
      </c>
      <c r="P427">
        <v>1708.33</v>
      </c>
      <c r="Q427">
        <v>20499.96</v>
      </c>
    </row>
    <row r="428" spans="1:17" x14ac:dyDescent="0.25">
      <c r="A428" t="s">
        <v>434</v>
      </c>
      <c r="B428" t="str">
        <f>MID(Table1[[#This Row],[Order_ID]],2,5)</f>
        <v>RD142</v>
      </c>
      <c r="C428" s="1">
        <v>45518</v>
      </c>
      <c r="D428" t="s">
        <v>508</v>
      </c>
      <c r="E428" t="s">
        <v>519</v>
      </c>
      <c r="F428" t="str">
        <f>LOWER(Table1[[#This Row],[City]])</f>
        <v>mumbai</v>
      </c>
      <c r="G428" t="str">
        <f>UPPER(Table1[[#This Row],[City]])</f>
        <v>MUMBAI</v>
      </c>
      <c r="H428" t="str">
        <f>PROPER(Table1[[#This Row],[City]])</f>
        <v>Mumbai</v>
      </c>
      <c r="I428" t="str">
        <f t="shared" si="18"/>
        <v>ValueShop _ Mumbai</v>
      </c>
      <c r="J428" t="s">
        <v>520</v>
      </c>
      <c r="K428">
        <f t="shared" si="19"/>
        <v>11</v>
      </c>
      <c r="L428" t="str">
        <f>LEFT(Table1[[#This Row],[Category]],3)</f>
        <v>Ele</v>
      </c>
      <c r="M428">
        <v>5</v>
      </c>
      <c r="N428" s="4" t="str">
        <f t="shared" si="20"/>
        <v>normal order</v>
      </c>
      <c r="O428">
        <f>SQRT(Table1[[#This Row],[Quantity]])</f>
        <v>2.2360679774997898</v>
      </c>
      <c r="P428">
        <v>80.53</v>
      </c>
      <c r="Q428">
        <v>402.65</v>
      </c>
    </row>
    <row r="429" spans="1:17" x14ac:dyDescent="0.25">
      <c r="A429" t="s">
        <v>435</v>
      </c>
      <c r="B429" t="str">
        <f>MID(Table1[[#This Row],[Order_ID]],2,5)</f>
        <v>RD142</v>
      </c>
      <c r="C429" s="1">
        <v>45574</v>
      </c>
      <c r="D429" t="s">
        <v>512</v>
      </c>
      <c r="E429" t="s">
        <v>516</v>
      </c>
      <c r="F429" t="str">
        <f>LOWER(Table1[[#This Row],[City]])</f>
        <v>chennai</v>
      </c>
      <c r="G429" t="str">
        <f>UPPER(Table1[[#This Row],[City]])</f>
        <v>CHENNAI</v>
      </c>
      <c r="H429" t="str">
        <f>PROPER(Table1[[#This Row],[City]])</f>
        <v>Chennai</v>
      </c>
      <c r="I429" t="str">
        <f t="shared" si="18"/>
        <v>Trendz _ Chennai</v>
      </c>
      <c r="J429" t="s">
        <v>525</v>
      </c>
      <c r="K429">
        <f t="shared" si="19"/>
        <v>9</v>
      </c>
      <c r="L429" t="str">
        <f>LEFT(Table1[[#This Row],[Category]],3)</f>
        <v>Gro</v>
      </c>
      <c r="M429">
        <v>7</v>
      </c>
      <c r="N429" s="4" t="str">
        <f t="shared" si="20"/>
        <v>normal order</v>
      </c>
      <c r="O429">
        <f>SQRT(Table1[[#This Row],[Quantity]])</f>
        <v>2.6457513110645907</v>
      </c>
      <c r="P429">
        <v>453.96</v>
      </c>
      <c r="Q429">
        <v>3177.72</v>
      </c>
    </row>
    <row r="430" spans="1:17" x14ac:dyDescent="0.25">
      <c r="A430" t="s">
        <v>436</v>
      </c>
      <c r="B430" t="str">
        <f>MID(Table1[[#This Row],[Order_ID]],2,5)</f>
        <v>RD142</v>
      </c>
      <c r="C430" s="1">
        <v>45653</v>
      </c>
      <c r="D430" t="s">
        <v>511</v>
      </c>
      <c r="E430" t="s">
        <v>516</v>
      </c>
      <c r="F430" t="str">
        <f>LOWER(Table1[[#This Row],[City]])</f>
        <v>chennai</v>
      </c>
      <c r="G430" t="str">
        <f>UPPER(Table1[[#This Row],[City]])</f>
        <v>CHENNAI</v>
      </c>
      <c r="H430" t="str">
        <f>PROPER(Table1[[#This Row],[City]])</f>
        <v>Chennai</v>
      </c>
      <c r="I430" t="str">
        <f t="shared" si="18"/>
        <v>MegaMart _ Chennai</v>
      </c>
      <c r="J430" t="s">
        <v>525</v>
      </c>
      <c r="K430">
        <f t="shared" si="19"/>
        <v>9</v>
      </c>
      <c r="L430" t="str">
        <f>LEFT(Table1[[#This Row],[Category]],3)</f>
        <v>Gro</v>
      </c>
      <c r="M430">
        <v>20</v>
      </c>
      <c r="N430" s="4" t="str">
        <f t="shared" si="20"/>
        <v>bulk order</v>
      </c>
      <c r="O430">
        <f>SQRT(Table1[[#This Row],[Quantity]])</f>
        <v>4.4721359549995796</v>
      </c>
      <c r="P430">
        <v>331.17</v>
      </c>
      <c r="Q430">
        <v>6623.4000000000005</v>
      </c>
    </row>
    <row r="431" spans="1:17" x14ac:dyDescent="0.25">
      <c r="A431" t="s">
        <v>437</v>
      </c>
      <c r="B431" t="str">
        <f>MID(Table1[[#This Row],[Order_ID]],2,5)</f>
        <v>RD142</v>
      </c>
      <c r="C431" s="1">
        <v>45510</v>
      </c>
      <c r="D431" t="s">
        <v>509</v>
      </c>
      <c r="E431" t="s">
        <v>519</v>
      </c>
      <c r="F431" t="str">
        <f>LOWER(Table1[[#This Row],[City]])</f>
        <v>mumbai</v>
      </c>
      <c r="G431" t="str">
        <f>UPPER(Table1[[#This Row],[City]])</f>
        <v>MUMBAI</v>
      </c>
      <c r="H431" t="str">
        <f>PROPER(Table1[[#This Row],[City]])</f>
        <v>Mumbai</v>
      </c>
      <c r="I431" t="str">
        <f t="shared" si="18"/>
        <v>CityStore _ Mumbai</v>
      </c>
      <c r="J431" t="s">
        <v>521</v>
      </c>
      <c r="K431">
        <f t="shared" si="19"/>
        <v>8</v>
      </c>
      <c r="L431" t="str">
        <f>LEFT(Table1[[#This Row],[Category]],3)</f>
        <v>Clo</v>
      </c>
      <c r="M431">
        <v>17</v>
      </c>
      <c r="N431" s="4" t="str">
        <f t="shared" si="20"/>
        <v>bulk order</v>
      </c>
      <c r="O431">
        <f>SQRT(Table1[[#This Row],[Quantity]])</f>
        <v>4.1231056256176606</v>
      </c>
      <c r="P431">
        <v>1650.35</v>
      </c>
      <c r="Q431">
        <v>28055.95</v>
      </c>
    </row>
    <row r="432" spans="1:17" x14ac:dyDescent="0.25">
      <c r="A432" t="s">
        <v>438</v>
      </c>
      <c r="B432" t="str">
        <f>MID(Table1[[#This Row],[Order_ID]],2,5)</f>
        <v>RD143</v>
      </c>
      <c r="C432" s="1">
        <v>45579</v>
      </c>
      <c r="D432" t="s">
        <v>508</v>
      </c>
      <c r="E432" t="s">
        <v>515</v>
      </c>
      <c r="F432" t="str">
        <f>LOWER(Table1[[#This Row],[City]])</f>
        <v>kolkata</v>
      </c>
      <c r="G432" t="str">
        <f>UPPER(Table1[[#This Row],[City]])</f>
        <v>KOLKATA</v>
      </c>
      <c r="H432" t="str">
        <f>PROPER(Table1[[#This Row],[City]])</f>
        <v>Kolkata</v>
      </c>
      <c r="I432" t="str">
        <f t="shared" si="18"/>
        <v>ValueShop _ Kolkata</v>
      </c>
      <c r="J432" t="s">
        <v>521</v>
      </c>
      <c r="K432">
        <f t="shared" si="19"/>
        <v>8</v>
      </c>
      <c r="L432" t="str">
        <f>LEFT(Table1[[#This Row],[Category]],3)</f>
        <v>Clo</v>
      </c>
      <c r="M432">
        <v>13</v>
      </c>
      <c r="N432" s="4" t="str">
        <f t="shared" si="20"/>
        <v>bulk order</v>
      </c>
      <c r="O432">
        <f>SQRT(Table1[[#This Row],[Quantity]])</f>
        <v>3.6055512754639891</v>
      </c>
      <c r="P432">
        <v>1650.76</v>
      </c>
      <c r="Q432">
        <v>21459.88</v>
      </c>
    </row>
    <row r="433" spans="1:17" x14ac:dyDescent="0.25">
      <c r="A433" t="s">
        <v>439</v>
      </c>
      <c r="B433" t="str">
        <f>MID(Table1[[#This Row],[Order_ID]],2,5)</f>
        <v>RD143</v>
      </c>
      <c r="C433" s="1">
        <v>45296</v>
      </c>
      <c r="D433" t="s">
        <v>510</v>
      </c>
      <c r="E433" t="s">
        <v>513</v>
      </c>
      <c r="F433" t="str">
        <f>LOWER(Table1[[#This Row],[City]])</f>
        <v>bangalore</v>
      </c>
      <c r="G433" t="str">
        <f>UPPER(Table1[[#This Row],[City]])</f>
        <v>BANGALORE</v>
      </c>
      <c r="H433" t="str">
        <f>PROPER(Table1[[#This Row],[City]])</f>
        <v>Bangalore</v>
      </c>
      <c r="I433" t="str">
        <f t="shared" si="18"/>
        <v>QuickBuy _ Bangalore</v>
      </c>
      <c r="J433" t="s">
        <v>525</v>
      </c>
      <c r="K433">
        <f t="shared" si="19"/>
        <v>9</v>
      </c>
      <c r="L433" t="str">
        <f>LEFT(Table1[[#This Row],[Category]],3)</f>
        <v>Gro</v>
      </c>
      <c r="M433">
        <v>17</v>
      </c>
      <c r="N433" s="4" t="str">
        <f t="shared" si="20"/>
        <v>bulk order</v>
      </c>
      <c r="O433">
        <f>SQRT(Table1[[#This Row],[Quantity]])</f>
        <v>4.1231056256176606</v>
      </c>
      <c r="P433">
        <v>1861.31</v>
      </c>
      <c r="Q433">
        <v>31642.27</v>
      </c>
    </row>
    <row r="434" spans="1:17" x14ac:dyDescent="0.25">
      <c r="A434" t="s">
        <v>440</v>
      </c>
      <c r="B434" t="str">
        <f>MID(Table1[[#This Row],[Order_ID]],2,5)</f>
        <v>RD143</v>
      </c>
      <c r="C434" s="1">
        <v>45349</v>
      </c>
      <c r="D434" t="s">
        <v>509</v>
      </c>
      <c r="E434" t="s">
        <v>514</v>
      </c>
      <c r="F434" t="str">
        <f>LOWER(Table1[[#This Row],[City]])</f>
        <v>delhi</v>
      </c>
      <c r="G434" t="str">
        <f>UPPER(Table1[[#This Row],[City]])</f>
        <v>DELHI</v>
      </c>
      <c r="H434" t="str">
        <f>PROPER(Table1[[#This Row],[City]])</f>
        <v>Delhi</v>
      </c>
      <c r="I434" t="str">
        <f t="shared" si="18"/>
        <v>CityStore _ Delhi</v>
      </c>
      <c r="J434" t="s">
        <v>523</v>
      </c>
      <c r="K434">
        <f t="shared" si="19"/>
        <v>14</v>
      </c>
      <c r="L434" t="str">
        <f>LEFT(Table1[[#This Row],[Category]],3)</f>
        <v>Hom</v>
      </c>
      <c r="M434">
        <v>2</v>
      </c>
      <c r="N434" s="4" t="str">
        <f t="shared" si="20"/>
        <v>normal order</v>
      </c>
      <c r="O434">
        <f>SQRT(Table1[[#This Row],[Quantity]])</f>
        <v>1.4142135623730951</v>
      </c>
      <c r="P434">
        <v>633.59</v>
      </c>
      <c r="Q434">
        <v>1267.18</v>
      </c>
    </row>
    <row r="435" spans="1:17" x14ac:dyDescent="0.25">
      <c r="A435" t="s">
        <v>441</v>
      </c>
      <c r="B435" t="str">
        <f>MID(Table1[[#This Row],[Order_ID]],2,5)</f>
        <v>RD143</v>
      </c>
      <c r="C435" s="1">
        <v>45330</v>
      </c>
      <c r="D435" t="s">
        <v>512</v>
      </c>
      <c r="E435" t="s">
        <v>518</v>
      </c>
      <c r="F435" t="str">
        <f>LOWER(Table1[[#This Row],[City]])</f>
        <v>pune</v>
      </c>
      <c r="G435" t="str">
        <f>UPPER(Table1[[#This Row],[City]])</f>
        <v>PUNE</v>
      </c>
      <c r="H435" t="str">
        <f>PROPER(Table1[[#This Row],[City]])</f>
        <v>Pune</v>
      </c>
      <c r="I435" t="str">
        <f t="shared" si="18"/>
        <v>Trendz _ Pune</v>
      </c>
      <c r="J435" t="s">
        <v>521</v>
      </c>
      <c r="K435">
        <f t="shared" si="19"/>
        <v>8</v>
      </c>
      <c r="L435" t="str">
        <f>LEFT(Table1[[#This Row],[Category]],3)</f>
        <v>Clo</v>
      </c>
      <c r="M435">
        <v>2</v>
      </c>
      <c r="N435" s="4" t="str">
        <f t="shared" si="20"/>
        <v>normal order</v>
      </c>
      <c r="O435">
        <f>SQRT(Table1[[#This Row],[Quantity]])</f>
        <v>1.4142135623730951</v>
      </c>
      <c r="P435">
        <v>1149.72</v>
      </c>
      <c r="Q435">
        <v>2299.44</v>
      </c>
    </row>
    <row r="436" spans="1:17" x14ac:dyDescent="0.25">
      <c r="A436" t="s">
        <v>442</v>
      </c>
      <c r="B436" t="str">
        <f>MID(Table1[[#This Row],[Order_ID]],2,5)</f>
        <v>RD143</v>
      </c>
      <c r="C436" s="1">
        <v>45645</v>
      </c>
      <c r="D436" t="s">
        <v>511</v>
      </c>
      <c r="E436" t="s">
        <v>513</v>
      </c>
      <c r="F436" t="str">
        <f>LOWER(Table1[[#This Row],[City]])</f>
        <v>bangalore</v>
      </c>
      <c r="G436" t="str">
        <f>UPPER(Table1[[#This Row],[City]])</f>
        <v>BANGALORE</v>
      </c>
      <c r="H436" t="str">
        <f>PROPER(Table1[[#This Row],[City]])</f>
        <v>Bangalore</v>
      </c>
      <c r="I436" t="str">
        <f t="shared" si="18"/>
        <v>MegaMart _ Bangalore</v>
      </c>
      <c r="J436" t="s">
        <v>521</v>
      </c>
      <c r="K436">
        <f t="shared" si="19"/>
        <v>8</v>
      </c>
      <c r="L436" t="str">
        <f>LEFT(Table1[[#This Row],[Category]],3)</f>
        <v>Clo</v>
      </c>
      <c r="M436">
        <v>2</v>
      </c>
      <c r="N436" s="4" t="str">
        <f t="shared" si="20"/>
        <v>normal order</v>
      </c>
      <c r="O436">
        <f>SQRT(Table1[[#This Row],[Quantity]])</f>
        <v>1.4142135623730951</v>
      </c>
      <c r="P436">
        <v>1155.06</v>
      </c>
      <c r="Q436">
        <v>2310.12</v>
      </c>
    </row>
    <row r="437" spans="1:17" x14ac:dyDescent="0.25">
      <c r="A437" t="s">
        <v>443</v>
      </c>
      <c r="B437" t="str">
        <f>MID(Table1[[#This Row],[Order_ID]],2,5)</f>
        <v>RD143</v>
      </c>
      <c r="C437" s="1">
        <v>45368</v>
      </c>
      <c r="D437" t="s">
        <v>510</v>
      </c>
      <c r="E437" t="s">
        <v>517</v>
      </c>
      <c r="F437" t="str">
        <f>LOWER(Table1[[#This Row],[City]])</f>
        <v>hyderabad</v>
      </c>
      <c r="G437" t="str">
        <f>UPPER(Table1[[#This Row],[City]])</f>
        <v>HYDERABAD</v>
      </c>
      <c r="H437" t="str">
        <f>PROPER(Table1[[#This Row],[City]])</f>
        <v>Hyderabad</v>
      </c>
      <c r="I437" t="str">
        <f t="shared" si="18"/>
        <v>QuickBuy _ Hyderabad</v>
      </c>
      <c r="J437" t="s">
        <v>521</v>
      </c>
      <c r="K437">
        <f t="shared" si="19"/>
        <v>8</v>
      </c>
      <c r="L437" t="str">
        <f>LEFT(Table1[[#This Row],[Category]],3)</f>
        <v>Clo</v>
      </c>
      <c r="M437">
        <v>5</v>
      </c>
      <c r="N437" s="4" t="str">
        <f t="shared" si="20"/>
        <v>normal order</v>
      </c>
      <c r="O437">
        <f>SQRT(Table1[[#This Row],[Quantity]])</f>
        <v>2.2360679774997898</v>
      </c>
      <c r="P437">
        <v>1706.41</v>
      </c>
      <c r="Q437">
        <v>8532.0500000000011</v>
      </c>
    </row>
    <row r="438" spans="1:17" x14ac:dyDescent="0.25">
      <c r="A438" t="s">
        <v>444</v>
      </c>
      <c r="B438" t="str">
        <f>MID(Table1[[#This Row],[Order_ID]],2,5)</f>
        <v>RD143</v>
      </c>
      <c r="C438" s="1">
        <v>45571</v>
      </c>
      <c r="D438" t="s">
        <v>509</v>
      </c>
      <c r="E438" t="s">
        <v>518</v>
      </c>
      <c r="F438" t="str">
        <f>LOWER(Table1[[#This Row],[City]])</f>
        <v>pune</v>
      </c>
      <c r="G438" t="str">
        <f>UPPER(Table1[[#This Row],[City]])</f>
        <v>PUNE</v>
      </c>
      <c r="H438" t="str">
        <f>PROPER(Table1[[#This Row],[City]])</f>
        <v>Pune</v>
      </c>
      <c r="I438" t="str">
        <f t="shared" si="18"/>
        <v>CityStore _ Pune</v>
      </c>
      <c r="J438" t="s">
        <v>521</v>
      </c>
      <c r="K438">
        <f t="shared" si="19"/>
        <v>8</v>
      </c>
      <c r="L438" t="str">
        <f>LEFT(Table1[[#This Row],[Category]],3)</f>
        <v>Clo</v>
      </c>
      <c r="M438">
        <v>11</v>
      </c>
      <c r="N438" s="4" t="str">
        <f t="shared" si="20"/>
        <v>bulk order</v>
      </c>
      <c r="O438">
        <f>SQRT(Table1[[#This Row],[Quantity]])</f>
        <v>3.3166247903553998</v>
      </c>
      <c r="P438">
        <v>1370.22</v>
      </c>
      <c r="Q438">
        <v>15072.42</v>
      </c>
    </row>
    <row r="439" spans="1:17" x14ac:dyDescent="0.25">
      <c r="A439" t="s">
        <v>445</v>
      </c>
      <c r="B439" t="str">
        <f>MID(Table1[[#This Row],[Order_ID]],2,5)</f>
        <v>RD143</v>
      </c>
      <c r="C439" s="1">
        <v>45310</v>
      </c>
      <c r="D439" t="s">
        <v>509</v>
      </c>
      <c r="E439" t="s">
        <v>513</v>
      </c>
      <c r="F439" t="str">
        <f>LOWER(Table1[[#This Row],[City]])</f>
        <v>bangalore</v>
      </c>
      <c r="G439" t="str">
        <f>UPPER(Table1[[#This Row],[City]])</f>
        <v>BANGALORE</v>
      </c>
      <c r="H439" t="str">
        <f>PROPER(Table1[[#This Row],[City]])</f>
        <v>Bangalore</v>
      </c>
      <c r="I439" t="str">
        <f t="shared" si="18"/>
        <v>CityStore _ Bangalore</v>
      </c>
      <c r="J439" t="s">
        <v>520</v>
      </c>
      <c r="K439">
        <f t="shared" si="19"/>
        <v>11</v>
      </c>
      <c r="L439" t="str">
        <f>LEFT(Table1[[#This Row],[Category]],3)</f>
        <v>Ele</v>
      </c>
      <c r="M439">
        <v>16</v>
      </c>
      <c r="N439" s="4" t="str">
        <f t="shared" si="20"/>
        <v>bulk order</v>
      </c>
      <c r="O439">
        <f>SQRT(Table1[[#This Row],[Quantity]])</f>
        <v>4</v>
      </c>
      <c r="P439">
        <v>1104.0999999999999</v>
      </c>
      <c r="Q439">
        <v>17665.599999999999</v>
      </c>
    </row>
    <row r="440" spans="1:17" x14ac:dyDescent="0.25">
      <c r="A440" t="s">
        <v>446</v>
      </c>
      <c r="B440" t="str">
        <f>MID(Table1[[#This Row],[Order_ID]],2,5)</f>
        <v>RD143</v>
      </c>
      <c r="C440" s="1">
        <v>45481</v>
      </c>
      <c r="D440" t="s">
        <v>508</v>
      </c>
      <c r="E440" t="s">
        <v>514</v>
      </c>
      <c r="F440" t="str">
        <f>LOWER(Table1[[#This Row],[City]])</f>
        <v>delhi</v>
      </c>
      <c r="G440" t="str">
        <f>UPPER(Table1[[#This Row],[City]])</f>
        <v>DELHI</v>
      </c>
      <c r="H440" t="str">
        <f>PROPER(Table1[[#This Row],[City]])</f>
        <v>Delhi</v>
      </c>
      <c r="I440" t="str">
        <f t="shared" si="18"/>
        <v>ValueShop _ Delhi</v>
      </c>
      <c r="J440" t="s">
        <v>525</v>
      </c>
      <c r="K440">
        <f t="shared" si="19"/>
        <v>9</v>
      </c>
      <c r="L440" t="str">
        <f>LEFT(Table1[[#This Row],[Category]],3)</f>
        <v>Gro</v>
      </c>
      <c r="M440">
        <v>17</v>
      </c>
      <c r="N440" s="4" t="str">
        <f t="shared" si="20"/>
        <v>bulk order</v>
      </c>
      <c r="O440">
        <f>SQRT(Table1[[#This Row],[Quantity]])</f>
        <v>4.1231056256176606</v>
      </c>
      <c r="P440">
        <v>798.5</v>
      </c>
      <c r="Q440">
        <v>13574.5</v>
      </c>
    </row>
    <row r="441" spans="1:17" x14ac:dyDescent="0.25">
      <c r="A441" t="s">
        <v>447</v>
      </c>
      <c r="B441" t="str">
        <f>MID(Table1[[#This Row],[Order_ID]],2,5)</f>
        <v>RD143</v>
      </c>
      <c r="C441" s="1">
        <v>45590</v>
      </c>
      <c r="D441" t="s">
        <v>509</v>
      </c>
      <c r="E441" t="s">
        <v>516</v>
      </c>
      <c r="F441" t="str">
        <f>LOWER(Table1[[#This Row],[City]])</f>
        <v>chennai</v>
      </c>
      <c r="G441" t="str">
        <f>UPPER(Table1[[#This Row],[City]])</f>
        <v>CHENNAI</v>
      </c>
      <c r="H441" t="str">
        <f>PROPER(Table1[[#This Row],[City]])</f>
        <v>Chennai</v>
      </c>
      <c r="I441" t="str">
        <f t="shared" si="18"/>
        <v>CityStore _ Chennai</v>
      </c>
      <c r="J441" t="s">
        <v>520</v>
      </c>
      <c r="K441">
        <f t="shared" si="19"/>
        <v>11</v>
      </c>
      <c r="L441" t="str">
        <f>LEFT(Table1[[#This Row],[Category]],3)</f>
        <v>Ele</v>
      </c>
      <c r="M441">
        <v>15</v>
      </c>
      <c r="N441" s="4" t="str">
        <f t="shared" si="20"/>
        <v>bulk order</v>
      </c>
      <c r="O441">
        <f>SQRT(Table1[[#This Row],[Quantity]])</f>
        <v>3.872983346207417</v>
      </c>
      <c r="P441">
        <v>1492.5</v>
      </c>
      <c r="Q441">
        <v>22387.5</v>
      </c>
    </row>
    <row r="442" spans="1:17" x14ac:dyDescent="0.25">
      <c r="A442" t="s">
        <v>448</v>
      </c>
      <c r="B442" t="str">
        <f>MID(Table1[[#This Row],[Order_ID]],2,5)</f>
        <v>RD144</v>
      </c>
      <c r="C442" s="1">
        <v>45574</v>
      </c>
      <c r="D442" t="s">
        <v>511</v>
      </c>
      <c r="E442" t="s">
        <v>513</v>
      </c>
      <c r="F442" t="str">
        <f>LOWER(Table1[[#This Row],[City]])</f>
        <v>bangalore</v>
      </c>
      <c r="G442" t="str">
        <f>UPPER(Table1[[#This Row],[City]])</f>
        <v>BANGALORE</v>
      </c>
      <c r="H442" t="str">
        <f>PROPER(Table1[[#This Row],[City]])</f>
        <v>Bangalore</v>
      </c>
      <c r="I442" t="str">
        <f t="shared" si="18"/>
        <v>MegaMart _ Bangalore</v>
      </c>
      <c r="J442" t="s">
        <v>524</v>
      </c>
      <c r="K442">
        <f t="shared" si="19"/>
        <v>4</v>
      </c>
      <c r="L442" t="str">
        <f>LEFT(Table1[[#This Row],[Category]],3)</f>
        <v>Toy</v>
      </c>
      <c r="M442">
        <v>5</v>
      </c>
      <c r="N442" s="4" t="str">
        <f t="shared" si="20"/>
        <v>normal order</v>
      </c>
      <c r="O442">
        <f>SQRT(Table1[[#This Row],[Quantity]])</f>
        <v>2.2360679774997898</v>
      </c>
      <c r="P442">
        <v>1591.47</v>
      </c>
      <c r="Q442">
        <v>7957.35</v>
      </c>
    </row>
    <row r="443" spans="1:17" x14ac:dyDescent="0.25">
      <c r="A443" t="s">
        <v>449</v>
      </c>
      <c r="B443" t="str">
        <f>MID(Table1[[#This Row],[Order_ID]],2,5)</f>
        <v>RD144</v>
      </c>
      <c r="C443" s="1">
        <v>45367</v>
      </c>
      <c r="D443" t="s">
        <v>511</v>
      </c>
      <c r="E443" t="s">
        <v>519</v>
      </c>
      <c r="F443" t="str">
        <f>LOWER(Table1[[#This Row],[City]])</f>
        <v>mumbai</v>
      </c>
      <c r="G443" t="str">
        <f>UPPER(Table1[[#This Row],[City]])</f>
        <v>MUMBAI</v>
      </c>
      <c r="H443" t="str">
        <f>PROPER(Table1[[#This Row],[City]])</f>
        <v>Mumbai</v>
      </c>
      <c r="I443" t="str">
        <f t="shared" si="18"/>
        <v>MegaMart _ Mumbai</v>
      </c>
      <c r="J443" t="s">
        <v>524</v>
      </c>
      <c r="K443">
        <f t="shared" si="19"/>
        <v>4</v>
      </c>
      <c r="L443" t="str">
        <f>LEFT(Table1[[#This Row],[Category]],3)</f>
        <v>Toy</v>
      </c>
      <c r="M443">
        <v>20</v>
      </c>
      <c r="N443" s="4" t="str">
        <f t="shared" si="20"/>
        <v>bulk order</v>
      </c>
      <c r="O443">
        <f>SQRT(Table1[[#This Row],[Quantity]])</f>
        <v>4.4721359549995796</v>
      </c>
      <c r="P443">
        <v>1394.16</v>
      </c>
      <c r="Q443">
        <v>27883.200000000001</v>
      </c>
    </row>
    <row r="444" spans="1:17" x14ac:dyDescent="0.25">
      <c r="A444" t="s">
        <v>450</v>
      </c>
      <c r="B444" t="str">
        <f>MID(Table1[[#This Row],[Order_ID]],2,5)</f>
        <v>RD144</v>
      </c>
      <c r="C444" s="1">
        <v>45512</v>
      </c>
      <c r="D444" t="s">
        <v>509</v>
      </c>
      <c r="E444" t="s">
        <v>514</v>
      </c>
      <c r="F444" t="str">
        <f>LOWER(Table1[[#This Row],[City]])</f>
        <v>delhi</v>
      </c>
      <c r="G444" t="str">
        <f>UPPER(Table1[[#This Row],[City]])</f>
        <v>DELHI</v>
      </c>
      <c r="H444" t="str">
        <f>PROPER(Table1[[#This Row],[City]])</f>
        <v>Delhi</v>
      </c>
      <c r="I444" t="str">
        <f t="shared" si="18"/>
        <v>CityStore _ Delhi</v>
      </c>
      <c r="J444" t="s">
        <v>522</v>
      </c>
      <c r="K444">
        <f t="shared" si="19"/>
        <v>5</v>
      </c>
      <c r="L444" t="str">
        <f>LEFT(Table1[[#This Row],[Category]],3)</f>
        <v>Boo</v>
      </c>
      <c r="M444">
        <v>17</v>
      </c>
      <c r="N444" s="4" t="str">
        <f t="shared" si="20"/>
        <v>bulk order</v>
      </c>
      <c r="O444">
        <f>SQRT(Table1[[#This Row],[Quantity]])</f>
        <v>4.1231056256176606</v>
      </c>
      <c r="P444">
        <v>202.93</v>
      </c>
      <c r="Q444">
        <v>3449.81</v>
      </c>
    </row>
    <row r="445" spans="1:17" x14ac:dyDescent="0.25">
      <c r="A445" t="s">
        <v>451</v>
      </c>
      <c r="B445" t="str">
        <f>MID(Table1[[#This Row],[Order_ID]],2,5)</f>
        <v>RD144</v>
      </c>
      <c r="C445" s="1">
        <v>45357</v>
      </c>
      <c r="D445" t="s">
        <v>508</v>
      </c>
      <c r="E445" t="s">
        <v>515</v>
      </c>
      <c r="F445" t="str">
        <f>LOWER(Table1[[#This Row],[City]])</f>
        <v>kolkata</v>
      </c>
      <c r="G445" t="str">
        <f>UPPER(Table1[[#This Row],[City]])</f>
        <v>KOLKATA</v>
      </c>
      <c r="H445" t="str">
        <f>PROPER(Table1[[#This Row],[City]])</f>
        <v>Kolkata</v>
      </c>
      <c r="I445" t="str">
        <f t="shared" si="18"/>
        <v>ValueShop _ Kolkata</v>
      </c>
      <c r="J445" t="s">
        <v>524</v>
      </c>
      <c r="K445">
        <f t="shared" si="19"/>
        <v>4</v>
      </c>
      <c r="L445" t="str">
        <f>LEFT(Table1[[#This Row],[Category]],3)</f>
        <v>Toy</v>
      </c>
      <c r="M445">
        <v>5</v>
      </c>
      <c r="N445" s="4" t="str">
        <f t="shared" si="20"/>
        <v>normal order</v>
      </c>
      <c r="O445">
        <f>SQRT(Table1[[#This Row],[Quantity]])</f>
        <v>2.2360679774997898</v>
      </c>
      <c r="P445">
        <v>1503.64</v>
      </c>
      <c r="Q445">
        <v>7518.2000000000007</v>
      </c>
    </row>
    <row r="446" spans="1:17" x14ac:dyDescent="0.25">
      <c r="A446" t="s">
        <v>452</v>
      </c>
      <c r="B446" t="str">
        <f>MID(Table1[[#This Row],[Order_ID]],2,5)</f>
        <v>RD144</v>
      </c>
      <c r="C446" s="1">
        <v>45313</v>
      </c>
      <c r="D446" t="s">
        <v>510</v>
      </c>
      <c r="E446" t="s">
        <v>515</v>
      </c>
      <c r="F446" t="str">
        <f>LOWER(Table1[[#This Row],[City]])</f>
        <v>kolkata</v>
      </c>
      <c r="G446" t="str">
        <f>UPPER(Table1[[#This Row],[City]])</f>
        <v>KOLKATA</v>
      </c>
      <c r="H446" t="str">
        <f>PROPER(Table1[[#This Row],[City]])</f>
        <v>Kolkata</v>
      </c>
      <c r="I446" t="str">
        <f t="shared" si="18"/>
        <v>QuickBuy _ Kolkata</v>
      </c>
      <c r="J446" t="s">
        <v>520</v>
      </c>
      <c r="K446">
        <f t="shared" si="19"/>
        <v>11</v>
      </c>
      <c r="L446" t="str">
        <f>LEFT(Table1[[#This Row],[Category]],3)</f>
        <v>Ele</v>
      </c>
      <c r="M446">
        <v>11</v>
      </c>
      <c r="N446" s="4" t="str">
        <f t="shared" si="20"/>
        <v>bulk order</v>
      </c>
      <c r="O446">
        <f>SQRT(Table1[[#This Row],[Quantity]])</f>
        <v>3.3166247903553998</v>
      </c>
      <c r="P446">
        <v>724.43</v>
      </c>
      <c r="Q446">
        <v>7968.73</v>
      </c>
    </row>
    <row r="447" spans="1:17" x14ac:dyDescent="0.25">
      <c r="A447" t="s">
        <v>453</v>
      </c>
      <c r="B447" t="str">
        <f>MID(Table1[[#This Row],[Order_ID]],2,5)</f>
        <v>RD144</v>
      </c>
      <c r="C447" s="1">
        <v>45449</v>
      </c>
      <c r="D447" t="s">
        <v>510</v>
      </c>
      <c r="E447" t="s">
        <v>516</v>
      </c>
      <c r="F447" t="str">
        <f>LOWER(Table1[[#This Row],[City]])</f>
        <v>chennai</v>
      </c>
      <c r="G447" t="str">
        <f>UPPER(Table1[[#This Row],[City]])</f>
        <v>CHENNAI</v>
      </c>
      <c r="H447" t="str">
        <f>PROPER(Table1[[#This Row],[City]])</f>
        <v>Chennai</v>
      </c>
      <c r="I447" t="str">
        <f t="shared" si="18"/>
        <v>QuickBuy _ Chennai</v>
      </c>
      <c r="J447" t="s">
        <v>522</v>
      </c>
      <c r="K447">
        <f t="shared" si="19"/>
        <v>5</v>
      </c>
      <c r="L447" t="str">
        <f>LEFT(Table1[[#This Row],[Category]],3)</f>
        <v>Boo</v>
      </c>
      <c r="M447">
        <v>20</v>
      </c>
      <c r="N447" s="4" t="str">
        <f t="shared" si="20"/>
        <v>bulk order</v>
      </c>
      <c r="O447">
        <f>SQRT(Table1[[#This Row],[Quantity]])</f>
        <v>4.4721359549995796</v>
      </c>
      <c r="P447">
        <v>240.49</v>
      </c>
      <c r="Q447">
        <v>4809.8</v>
      </c>
    </row>
    <row r="448" spans="1:17" x14ac:dyDescent="0.25">
      <c r="A448" t="s">
        <v>454</v>
      </c>
      <c r="B448" t="str">
        <f>MID(Table1[[#This Row],[Order_ID]],2,5)</f>
        <v>RD144</v>
      </c>
      <c r="C448" s="1">
        <v>45478</v>
      </c>
      <c r="D448" t="s">
        <v>508</v>
      </c>
      <c r="E448" t="s">
        <v>514</v>
      </c>
      <c r="F448" t="str">
        <f>LOWER(Table1[[#This Row],[City]])</f>
        <v>delhi</v>
      </c>
      <c r="G448" t="str">
        <f>UPPER(Table1[[#This Row],[City]])</f>
        <v>DELHI</v>
      </c>
      <c r="H448" t="str">
        <f>PROPER(Table1[[#This Row],[City]])</f>
        <v>Delhi</v>
      </c>
      <c r="I448" t="str">
        <f t="shared" si="18"/>
        <v>ValueShop _ Delhi</v>
      </c>
      <c r="J448" t="s">
        <v>525</v>
      </c>
      <c r="K448">
        <f t="shared" si="19"/>
        <v>9</v>
      </c>
      <c r="L448" t="str">
        <f>LEFT(Table1[[#This Row],[Category]],3)</f>
        <v>Gro</v>
      </c>
      <c r="M448">
        <v>11</v>
      </c>
      <c r="N448" s="4" t="str">
        <f t="shared" si="20"/>
        <v>bulk order</v>
      </c>
      <c r="O448">
        <f>SQRT(Table1[[#This Row],[Quantity]])</f>
        <v>3.3166247903553998</v>
      </c>
      <c r="P448">
        <v>502.68</v>
      </c>
      <c r="Q448">
        <v>5529.48</v>
      </c>
    </row>
    <row r="449" spans="1:17" x14ac:dyDescent="0.25">
      <c r="A449" t="s">
        <v>455</v>
      </c>
      <c r="B449" t="str">
        <f>MID(Table1[[#This Row],[Order_ID]],2,5)</f>
        <v>RD144</v>
      </c>
      <c r="C449" s="1">
        <v>45312</v>
      </c>
      <c r="D449" t="s">
        <v>512</v>
      </c>
      <c r="E449" t="s">
        <v>518</v>
      </c>
      <c r="F449" t="str">
        <f>LOWER(Table1[[#This Row],[City]])</f>
        <v>pune</v>
      </c>
      <c r="G449" t="str">
        <f>UPPER(Table1[[#This Row],[City]])</f>
        <v>PUNE</v>
      </c>
      <c r="H449" t="str">
        <f>PROPER(Table1[[#This Row],[City]])</f>
        <v>Pune</v>
      </c>
      <c r="I449" t="str">
        <f t="shared" si="18"/>
        <v>Trendz _ Pune</v>
      </c>
      <c r="J449" t="s">
        <v>524</v>
      </c>
      <c r="K449">
        <f t="shared" si="19"/>
        <v>4</v>
      </c>
      <c r="L449" t="str">
        <f>LEFT(Table1[[#This Row],[Category]],3)</f>
        <v>Toy</v>
      </c>
      <c r="M449">
        <v>6</v>
      </c>
      <c r="N449" s="4" t="str">
        <f t="shared" si="20"/>
        <v>normal order</v>
      </c>
      <c r="O449">
        <f>SQRT(Table1[[#This Row],[Quantity]])</f>
        <v>2.4494897427831779</v>
      </c>
      <c r="P449">
        <v>198.24</v>
      </c>
      <c r="Q449">
        <v>1189.44</v>
      </c>
    </row>
    <row r="450" spans="1:17" x14ac:dyDescent="0.25">
      <c r="A450" t="s">
        <v>456</v>
      </c>
      <c r="B450" t="str">
        <f>MID(Table1[[#This Row],[Order_ID]],2,5)</f>
        <v>RD144</v>
      </c>
      <c r="C450" s="1">
        <v>45475</v>
      </c>
      <c r="D450" t="s">
        <v>511</v>
      </c>
      <c r="E450" t="s">
        <v>519</v>
      </c>
      <c r="F450" t="str">
        <f>LOWER(Table1[[#This Row],[City]])</f>
        <v>mumbai</v>
      </c>
      <c r="G450" t="str">
        <f>UPPER(Table1[[#This Row],[City]])</f>
        <v>MUMBAI</v>
      </c>
      <c r="H450" t="str">
        <f>PROPER(Table1[[#This Row],[City]])</f>
        <v>Mumbai</v>
      </c>
      <c r="I450" t="str">
        <f t="shared" ref="I450:I501" si="21">CONCATENATE(D450," _ ",E450)</f>
        <v>MegaMart _ Mumbai</v>
      </c>
      <c r="J450" t="s">
        <v>521</v>
      </c>
      <c r="K450">
        <f t="shared" ref="K450:K501" si="22">LEN(J450)</f>
        <v>8</v>
      </c>
      <c r="L450" t="str">
        <f>LEFT(Table1[[#This Row],[Category]],3)</f>
        <v>Clo</v>
      </c>
      <c r="M450">
        <v>13</v>
      </c>
      <c r="N450" s="4" t="str">
        <f t="shared" si="20"/>
        <v>bulk order</v>
      </c>
      <c r="O450">
        <f>SQRT(Table1[[#This Row],[Quantity]])</f>
        <v>3.6055512754639891</v>
      </c>
      <c r="P450">
        <v>1230.08</v>
      </c>
      <c r="Q450">
        <v>15991.04</v>
      </c>
    </row>
    <row r="451" spans="1:17" x14ac:dyDescent="0.25">
      <c r="A451" t="s">
        <v>457</v>
      </c>
      <c r="B451" t="str">
        <f>MID(Table1[[#This Row],[Order_ID]],2,5)</f>
        <v>RD144</v>
      </c>
      <c r="C451" s="1">
        <v>45399</v>
      </c>
      <c r="D451" t="s">
        <v>512</v>
      </c>
      <c r="E451" t="s">
        <v>518</v>
      </c>
      <c r="F451" t="str">
        <f>LOWER(Table1[[#This Row],[City]])</f>
        <v>pune</v>
      </c>
      <c r="G451" t="str">
        <f>UPPER(Table1[[#This Row],[City]])</f>
        <v>PUNE</v>
      </c>
      <c r="H451" t="str">
        <f>PROPER(Table1[[#This Row],[City]])</f>
        <v>Pune</v>
      </c>
      <c r="I451" t="str">
        <f t="shared" si="21"/>
        <v>Trendz _ Pune</v>
      </c>
      <c r="J451" t="s">
        <v>524</v>
      </c>
      <c r="K451">
        <f t="shared" si="22"/>
        <v>4</v>
      </c>
      <c r="L451" t="str">
        <f>LEFT(Table1[[#This Row],[Category]],3)</f>
        <v>Toy</v>
      </c>
      <c r="M451">
        <v>20</v>
      </c>
      <c r="N451" s="4" t="str">
        <f t="shared" ref="N451:N501" si="23">IF(M451&gt;10,"bulk order","normal order")</f>
        <v>bulk order</v>
      </c>
      <c r="O451">
        <f>SQRT(Table1[[#This Row],[Quantity]])</f>
        <v>4.4721359549995796</v>
      </c>
      <c r="P451">
        <v>1247.04</v>
      </c>
      <c r="Q451">
        <v>24940.799999999999</v>
      </c>
    </row>
    <row r="452" spans="1:17" x14ac:dyDescent="0.25">
      <c r="A452" t="s">
        <v>458</v>
      </c>
      <c r="B452" t="str">
        <f>MID(Table1[[#This Row],[Order_ID]],2,5)</f>
        <v>RD145</v>
      </c>
      <c r="C452" s="1">
        <v>45641</v>
      </c>
      <c r="D452" t="s">
        <v>508</v>
      </c>
      <c r="E452" t="s">
        <v>518</v>
      </c>
      <c r="F452" t="str">
        <f>LOWER(Table1[[#This Row],[City]])</f>
        <v>pune</v>
      </c>
      <c r="G452" t="str">
        <f>UPPER(Table1[[#This Row],[City]])</f>
        <v>PUNE</v>
      </c>
      <c r="H452" t="str">
        <f>PROPER(Table1[[#This Row],[City]])</f>
        <v>Pune</v>
      </c>
      <c r="I452" t="str">
        <f t="shared" si="21"/>
        <v>ValueShop _ Pune</v>
      </c>
      <c r="J452" t="s">
        <v>523</v>
      </c>
      <c r="K452">
        <f t="shared" si="22"/>
        <v>14</v>
      </c>
      <c r="L452" t="str">
        <f>LEFT(Table1[[#This Row],[Category]],3)</f>
        <v>Hom</v>
      </c>
      <c r="M452">
        <v>10</v>
      </c>
      <c r="N452" s="4" t="str">
        <f t="shared" si="23"/>
        <v>normal order</v>
      </c>
      <c r="O452">
        <f>SQRT(Table1[[#This Row],[Quantity]])</f>
        <v>3.1622776601683795</v>
      </c>
      <c r="P452">
        <v>1211.44</v>
      </c>
      <c r="Q452">
        <v>12114.4</v>
      </c>
    </row>
    <row r="453" spans="1:17" x14ac:dyDescent="0.25">
      <c r="A453" t="s">
        <v>459</v>
      </c>
      <c r="B453" t="str">
        <f>MID(Table1[[#This Row],[Order_ID]],2,5)</f>
        <v>RD145</v>
      </c>
      <c r="C453" s="1">
        <v>45419</v>
      </c>
      <c r="D453" t="s">
        <v>512</v>
      </c>
      <c r="E453" t="s">
        <v>517</v>
      </c>
      <c r="F453" t="str">
        <f>LOWER(Table1[[#This Row],[City]])</f>
        <v>hyderabad</v>
      </c>
      <c r="G453" t="str">
        <f>UPPER(Table1[[#This Row],[City]])</f>
        <v>HYDERABAD</v>
      </c>
      <c r="H453" t="str">
        <f>PROPER(Table1[[#This Row],[City]])</f>
        <v>Hyderabad</v>
      </c>
      <c r="I453" t="str">
        <f t="shared" si="21"/>
        <v>Trendz _ Hyderabad</v>
      </c>
      <c r="J453" t="s">
        <v>521</v>
      </c>
      <c r="K453">
        <f t="shared" si="22"/>
        <v>8</v>
      </c>
      <c r="L453" t="str">
        <f>LEFT(Table1[[#This Row],[Category]],3)</f>
        <v>Clo</v>
      </c>
      <c r="M453">
        <v>19</v>
      </c>
      <c r="N453" s="4" t="str">
        <f t="shared" si="23"/>
        <v>bulk order</v>
      </c>
      <c r="O453">
        <f>SQRT(Table1[[#This Row],[Quantity]])</f>
        <v>4.358898943540674</v>
      </c>
      <c r="P453">
        <v>1939.4</v>
      </c>
      <c r="Q453">
        <v>36848.6</v>
      </c>
    </row>
    <row r="454" spans="1:17" x14ac:dyDescent="0.25">
      <c r="A454" t="s">
        <v>460</v>
      </c>
      <c r="B454" t="str">
        <f>MID(Table1[[#This Row],[Order_ID]],2,5)</f>
        <v>RD145</v>
      </c>
      <c r="C454" s="1">
        <v>45633</v>
      </c>
      <c r="D454" t="s">
        <v>508</v>
      </c>
      <c r="E454" t="s">
        <v>514</v>
      </c>
      <c r="F454" t="str">
        <f>LOWER(Table1[[#This Row],[City]])</f>
        <v>delhi</v>
      </c>
      <c r="G454" t="str">
        <f>UPPER(Table1[[#This Row],[City]])</f>
        <v>DELHI</v>
      </c>
      <c r="H454" t="str">
        <f>PROPER(Table1[[#This Row],[City]])</f>
        <v>Delhi</v>
      </c>
      <c r="I454" t="str">
        <f t="shared" si="21"/>
        <v>ValueShop _ Delhi</v>
      </c>
      <c r="J454" t="s">
        <v>521</v>
      </c>
      <c r="K454">
        <f t="shared" si="22"/>
        <v>8</v>
      </c>
      <c r="L454" t="str">
        <f>LEFT(Table1[[#This Row],[Category]],3)</f>
        <v>Clo</v>
      </c>
      <c r="M454">
        <v>11</v>
      </c>
      <c r="N454" s="4" t="str">
        <f t="shared" si="23"/>
        <v>bulk order</v>
      </c>
      <c r="O454">
        <f>SQRT(Table1[[#This Row],[Quantity]])</f>
        <v>3.3166247903553998</v>
      </c>
      <c r="P454">
        <v>686.43</v>
      </c>
      <c r="Q454">
        <v>7550.73</v>
      </c>
    </row>
    <row r="455" spans="1:17" x14ac:dyDescent="0.25">
      <c r="A455" t="s">
        <v>461</v>
      </c>
      <c r="B455" t="str">
        <f>MID(Table1[[#This Row],[Order_ID]],2,5)</f>
        <v>RD145</v>
      </c>
      <c r="C455" s="1">
        <v>45344</v>
      </c>
      <c r="D455" t="s">
        <v>510</v>
      </c>
      <c r="E455" t="s">
        <v>514</v>
      </c>
      <c r="F455" t="str">
        <f>LOWER(Table1[[#This Row],[City]])</f>
        <v>delhi</v>
      </c>
      <c r="G455" t="str">
        <f>UPPER(Table1[[#This Row],[City]])</f>
        <v>DELHI</v>
      </c>
      <c r="H455" t="str">
        <f>PROPER(Table1[[#This Row],[City]])</f>
        <v>Delhi</v>
      </c>
      <c r="I455" t="str">
        <f t="shared" si="21"/>
        <v>QuickBuy _ Delhi</v>
      </c>
      <c r="J455" t="s">
        <v>521</v>
      </c>
      <c r="K455">
        <f t="shared" si="22"/>
        <v>8</v>
      </c>
      <c r="L455" t="str">
        <f>LEFT(Table1[[#This Row],[Category]],3)</f>
        <v>Clo</v>
      </c>
      <c r="M455">
        <v>17</v>
      </c>
      <c r="N455" s="4" t="str">
        <f t="shared" si="23"/>
        <v>bulk order</v>
      </c>
      <c r="O455">
        <f>SQRT(Table1[[#This Row],[Quantity]])</f>
        <v>4.1231056256176606</v>
      </c>
      <c r="P455">
        <v>1286.54</v>
      </c>
      <c r="Q455">
        <v>21871.18</v>
      </c>
    </row>
    <row r="456" spans="1:17" x14ac:dyDescent="0.25">
      <c r="A456" t="s">
        <v>462</v>
      </c>
      <c r="B456" t="str">
        <f>MID(Table1[[#This Row],[Order_ID]],2,5)</f>
        <v>RD145</v>
      </c>
      <c r="C456" s="1">
        <v>45473</v>
      </c>
      <c r="D456" t="s">
        <v>510</v>
      </c>
      <c r="E456" t="s">
        <v>515</v>
      </c>
      <c r="F456" t="str">
        <f>LOWER(Table1[[#This Row],[City]])</f>
        <v>kolkata</v>
      </c>
      <c r="G456" t="str">
        <f>UPPER(Table1[[#This Row],[City]])</f>
        <v>KOLKATA</v>
      </c>
      <c r="H456" t="str">
        <f>PROPER(Table1[[#This Row],[City]])</f>
        <v>Kolkata</v>
      </c>
      <c r="I456" t="str">
        <f t="shared" si="21"/>
        <v>QuickBuy _ Kolkata</v>
      </c>
      <c r="J456" t="s">
        <v>522</v>
      </c>
      <c r="K456">
        <f t="shared" si="22"/>
        <v>5</v>
      </c>
      <c r="L456" t="str">
        <f>LEFT(Table1[[#This Row],[Category]],3)</f>
        <v>Boo</v>
      </c>
      <c r="M456">
        <v>17</v>
      </c>
      <c r="N456" s="4" t="str">
        <f t="shared" si="23"/>
        <v>bulk order</v>
      </c>
      <c r="O456">
        <f>SQRT(Table1[[#This Row],[Quantity]])</f>
        <v>4.1231056256176606</v>
      </c>
      <c r="P456">
        <v>1577.92</v>
      </c>
      <c r="Q456">
        <v>26824.639999999999</v>
      </c>
    </row>
    <row r="457" spans="1:17" x14ac:dyDescent="0.25">
      <c r="A457" t="s">
        <v>463</v>
      </c>
      <c r="B457" t="str">
        <f>MID(Table1[[#This Row],[Order_ID]],2,5)</f>
        <v>RD145</v>
      </c>
      <c r="C457" s="1">
        <v>45578</v>
      </c>
      <c r="D457" t="s">
        <v>512</v>
      </c>
      <c r="E457" t="s">
        <v>513</v>
      </c>
      <c r="F457" t="str">
        <f>LOWER(Table1[[#This Row],[City]])</f>
        <v>bangalore</v>
      </c>
      <c r="G457" t="str">
        <f>UPPER(Table1[[#This Row],[City]])</f>
        <v>BANGALORE</v>
      </c>
      <c r="H457" t="str">
        <f>PROPER(Table1[[#This Row],[City]])</f>
        <v>Bangalore</v>
      </c>
      <c r="I457" t="str">
        <f t="shared" si="21"/>
        <v>Trendz _ Bangalore</v>
      </c>
      <c r="J457" t="s">
        <v>524</v>
      </c>
      <c r="K457">
        <f t="shared" si="22"/>
        <v>4</v>
      </c>
      <c r="L457" t="str">
        <f>LEFT(Table1[[#This Row],[Category]],3)</f>
        <v>Toy</v>
      </c>
      <c r="M457">
        <v>18</v>
      </c>
      <c r="N457" s="4" t="str">
        <f t="shared" si="23"/>
        <v>bulk order</v>
      </c>
      <c r="O457">
        <f>SQRT(Table1[[#This Row],[Quantity]])</f>
        <v>4.2426406871192848</v>
      </c>
      <c r="P457">
        <v>928.57</v>
      </c>
      <c r="Q457">
        <v>16714.259999999998</v>
      </c>
    </row>
    <row r="458" spans="1:17" x14ac:dyDescent="0.25">
      <c r="A458" t="s">
        <v>464</v>
      </c>
      <c r="B458" t="str">
        <f>MID(Table1[[#This Row],[Order_ID]],2,5)</f>
        <v>RD145</v>
      </c>
      <c r="C458" s="1">
        <v>45500</v>
      </c>
      <c r="D458" t="s">
        <v>512</v>
      </c>
      <c r="E458" t="s">
        <v>519</v>
      </c>
      <c r="F458" t="str">
        <f>LOWER(Table1[[#This Row],[City]])</f>
        <v>mumbai</v>
      </c>
      <c r="G458" t="str">
        <f>UPPER(Table1[[#This Row],[City]])</f>
        <v>MUMBAI</v>
      </c>
      <c r="H458" t="str">
        <f>PROPER(Table1[[#This Row],[City]])</f>
        <v>Mumbai</v>
      </c>
      <c r="I458" t="str">
        <f t="shared" si="21"/>
        <v>Trendz _ Mumbai</v>
      </c>
      <c r="J458" t="s">
        <v>521</v>
      </c>
      <c r="K458">
        <f t="shared" si="22"/>
        <v>8</v>
      </c>
      <c r="L458" t="str">
        <f>LEFT(Table1[[#This Row],[Category]],3)</f>
        <v>Clo</v>
      </c>
      <c r="M458">
        <v>16</v>
      </c>
      <c r="N458" s="4" t="str">
        <f t="shared" si="23"/>
        <v>bulk order</v>
      </c>
      <c r="O458">
        <f>SQRT(Table1[[#This Row],[Quantity]])</f>
        <v>4</v>
      </c>
      <c r="P458">
        <v>494.87</v>
      </c>
      <c r="Q458">
        <v>7917.92</v>
      </c>
    </row>
    <row r="459" spans="1:17" x14ac:dyDescent="0.25">
      <c r="A459" t="s">
        <v>465</v>
      </c>
      <c r="B459" t="str">
        <f>MID(Table1[[#This Row],[Order_ID]],2,5)</f>
        <v>RD145</v>
      </c>
      <c r="C459" s="1">
        <v>45609</v>
      </c>
      <c r="D459" t="s">
        <v>511</v>
      </c>
      <c r="E459" t="s">
        <v>519</v>
      </c>
      <c r="F459" t="str">
        <f>LOWER(Table1[[#This Row],[City]])</f>
        <v>mumbai</v>
      </c>
      <c r="G459" t="str">
        <f>UPPER(Table1[[#This Row],[City]])</f>
        <v>MUMBAI</v>
      </c>
      <c r="H459" t="str">
        <f>PROPER(Table1[[#This Row],[City]])</f>
        <v>Mumbai</v>
      </c>
      <c r="I459" t="str">
        <f t="shared" si="21"/>
        <v>MegaMart _ Mumbai</v>
      </c>
      <c r="J459" t="s">
        <v>522</v>
      </c>
      <c r="K459">
        <f t="shared" si="22"/>
        <v>5</v>
      </c>
      <c r="L459" t="str">
        <f>LEFT(Table1[[#This Row],[Category]],3)</f>
        <v>Boo</v>
      </c>
      <c r="M459">
        <v>19</v>
      </c>
      <c r="N459" s="4" t="str">
        <f t="shared" si="23"/>
        <v>bulk order</v>
      </c>
      <c r="O459">
        <f>SQRT(Table1[[#This Row],[Quantity]])</f>
        <v>4.358898943540674</v>
      </c>
      <c r="P459">
        <v>1128.42</v>
      </c>
      <c r="Q459">
        <v>21439.98</v>
      </c>
    </row>
    <row r="460" spans="1:17" x14ac:dyDescent="0.25">
      <c r="A460" t="s">
        <v>466</v>
      </c>
      <c r="B460" t="str">
        <f>MID(Table1[[#This Row],[Order_ID]],2,5)</f>
        <v>RD145</v>
      </c>
      <c r="C460" s="1">
        <v>45371</v>
      </c>
      <c r="D460" t="s">
        <v>510</v>
      </c>
      <c r="E460" t="s">
        <v>515</v>
      </c>
      <c r="F460" t="str">
        <f>LOWER(Table1[[#This Row],[City]])</f>
        <v>kolkata</v>
      </c>
      <c r="G460" t="str">
        <f>UPPER(Table1[[#This Row],[City]])</f>
        <v>KOLKATA</v>
      </c>
      <c r="H460" t="str">
        <f>PROPER(Table1[[#This Row],[City]])</f>
        <v>Kolkata</v>
      </c>
      <c r="I460" t="str">
        <f t="shared" si="21"/>
        <v>QuickBuy _ Kolkata</v>
      </c>
      <c r="J460" t="s">
        <v>523</v>
      </c>
      <c r="K460">
        <f t="shared" si="22"/>
        <v>14</v>
      </c>
      <c r="L460" t="str">
        <f>LEFT(Table1[[#This Row],[Category]],3)</f>
        <v>Hom</v>
      </c>
      <c r="M460">
        <v>10</v>
      </c>
      <c r="N460" s="4" t="str">
        <f t="shared" si="23"/>
        <v>normal order</v>
      </c>
      <c r="O460">
        <f>SQRT(Table1[[#This Row],[Quantity]])</f>
        <v>3.1622776601683795</v>
      </c>
      <c r="P460">
        <v>782.08</v>
      </c>
      <c r="Q460">
        <v>7820.8</v>
      </c>
    </row>
    <row r="461" spans="1:17" x14ac:dyDescent="0.25">
      <c r="A461" t="s">
        <v>467</v>
      </c>
      <c r="B461" t="str">
        <f>MID(Table1[[#This Row],[Order_ID]],2,5)</f>
        <v>RD145</v>
      </c>
      <c r="C461" s="1">
        <v>45413</v>
      </c>
      <c r="D461" t="s">
        <v>511</v>
      </c>
      <c r="E461" t="s">
        <v>517</v>
      </c>
      <c r="F461" t="str">
        <f>LOWER(Table1[[#This Row],[City]])</f>
        <v>hyderabad</v>
      </c>
      <c r="G461" t="str">
        <f>UPPER(Table1[[#This Row],[City]])</f>
        <v>HYDERABAD</v>
      </c>
      <c r="H461" t="str">
        <f>PROPER(Table1[[#This Row],[City]])</f>
        <v>Hyderabad</v>
      </c>
      <c r="I461" t="str">
        <f t="shared" si="21"/>
        <v>MegaMart _ Hyderabad</v>
      </c>
      <c r="J461" t="s">
        <v>520</v>
      </c>
      <c r="K461">
        <f t="shared" si="22"/>
        <v>11</v>
      </c>
      <c r="L461" t="str">
        <f>LEFT(Table1[[#This Row],[Category]],3)</f>
        <v>Ele</v>
      </c>
      <c r="M461">
        <v>16</v>
      </c>
      <c r="N461" s="4" t="str">
        <f t="shared" si="23"/>
        <v>bulk order</v>
      </c>
      <c r="O461">
        <f>SQRT(Table1[[#This Row],[Quantity]])</f>
        <v>4</v>
      </c>
      <c r="P461">
        <v>412.19</v>
      </c>
      <c r="Q461">
        <v>6595.04</v>
      </c>
    </row>
    <row r="462" spans="1:17" x14ac:dyDescent="0.25">
      <c r="A462" t="s">
        <v>468</v>
      </c>
      <c r="B462" t="str">
        <f>MID(Table1[[#This Row],[Order_ID]],2,5)</f>
        <v>RD146</v>
      </c>
      <c r="C462" s="1">
        <v>45375</v>
      </c>
      <c r="D462" t="s">
        <v>512</v>
      </c>
      <c r="E462" t="s">
        <v>519</v>
      </c>
      <c r="F462" t="str">
        <f>LOWER(Table1[[#This Row],[City]])</f>
        <v>mumbai</v>
      </c>
      <c r="G462" t="str">
        <f>UPPER(Table1[[#This Row],[City]])</f>
        <v>MUMBAI</v>
      </c>
      <c r="H462" t="str">
        <f>PROPER(Table1[[#This Row],[City]])</f>
        <v>Mumbai</v>
      </c>
      <c r="I462" t="str">
        <f t="shared" si="21"/>
        <v>Trendz _ Mumbai</v>
      </c>
      <c r="J462" t="s">
        <v>523</v>
      </c>
      <c r="K462">
        <f t="shared" si="22"/>
        <v>14</v>
      </c>
      <c r="L462" t="str">
        <f>LEFT(Table1[[#This Row],[Category]],3)</f>
        <v>Hom</v>
      </c>
      <c r="M462">
        <v>1</v>
      </c>
      <c r="N462" s="4" t="str">
        <f t="shared" si="23"/>
        <v>normal order</v>
      </c>
      <c r="O462">
        <f>SQRT(Table1[[#This Row],[Quantity]])</f>
        <v>1</v>
      </c>
      <c r="P462">
        <v>1192.46</v>
      </c>
      <c r="Q462">
        <v>1192.46</v>
      </c>
    </row>
    <row r="463" spans="1:17" x14ac:dyDescent="0.25">
      <c r="A463" t="s">
        <v>469</v>
      </c>
      <c r="B463" t="str">
        <f>MID(Table1[[#This Row],[Order_ID]],2,5)</f>
        <v>RD146</v>
      </c>
      <c r="C463" s="1">
        <v>45382</v>
      </c>
      <c r="D463" t="s">
        <v>508</v>
      </c>
      <c r="E463" t="s">
        <v>514</v>
      </c>
      <c r="F463" t="str">
        <f>LOWER(Table1[[#This Row],[City]])</f>
        <v>delhi</v>
      </c>
      <c r="G463" t="str">
        <f>UPPER(Table1[[#This Row],[City]])</f>
        <v>DELHI</v>
      </c>
      <c r="H463" t="str">
        <f>PROPER(Table1[[#This Row],[City]])</f>
        <v>Delhi</v>
      </c>
      <c r="I463" t="str">
        <f t="shared" si="21"/>
        <v>ValueShop _ Delhi</v>
      </c>
      <c r="J463" t="s">
        <v>525</v>
      </c>
      <c r="K463">
        <f t="shared" si="22"/>
        <v>9</v>
      </c>
      <c r="L463" t="str">
        <f>LEFT(Table1[[#This Row],[Category]],3)</f>
        <v>Gro</v>
      </c>
      <c r="M463">
        <v>12</v>
      </c>
      <c r="N463" s="4" t="str">
        <f t="shared" si="23"/>
        <v>bulk order</v>
      </c>
      <c r="O463">
        <f>SQRT(Table1[[#This Row],[Quantity]])</f>
        <v>3.4641016151377544</v>
      </c>
      <c r="P463">
        <v>791.14</v>
      </c>
      <c r="Q463">
        <v>9493.68</v>
      </c>
    </row>
    <row r="464" spans="1:17" x14ac:dyDescent="0.25">
      <c r="A464" t="s">
        <v>470</v>
      </c>
      <c r="B464" t="str">
        <f>MID(Table1[[#This Row],[Order_ID]],2,5)</f>
        <v>RD146</v>
      </c>
      <c r="C464" s="1">
        <v>45503</v>
      </c>
      <c r="D464" t="s">
        <v>510</v>
      </c>
      <c r="E464" t="s">
        <v>515</v>
      </c>
      <c r="F464" t="str">
        <f>LOWER(Table1[[#This Row],[City]])</f>
        <v>kolkata</v>
      </c>
      <c r="G464" t="str">
        <f>UPPER(Table1[[#This Row],[City]])</f>
        <v>KOLKATA</v>
      </c>
      <c r="H464" t="str">
        <f>PROPER(Table1[[#This Row],[City]])</f>
        <v>Kolkata</v>
      </c>
      <c r="I464" t="str">
        <f t="shared" si="21"/>
        <v>QuickBuy _ Kolkata</v>
      </c>
      <c r="J464" t="s">
        <v>522</v>
      </c>
      <c r="K464">
        <f t="shared" si="22"/>
        <v>5</v>
      </c>
      <c r="L464" t="str">
        <f>LEFT(Table1[[#This Row],[Category]],3)</f>
        <v>Boo</v>
      </c>
      <c r="M464">
        <v>11</v>
      </c>
      <c r="N464" s="4" t="str">
        <f t="shared" si="23"/>
        <v>bulk order</v>
      </c>
      <c r="O464">
        <f>SQRT(Table1[[#This Row],[Quantity]])</f>
        <v>3.3166247903553998</v>
      </c>
      <c r="P464">
        <v>1555.73</v>
      </c>
      <c r="Q464">
        <v>17113.03</v>
      </c>
    </row>
    <row r="465" spans="1:17" x14ac:dyDescent="0.25">
      <c r="A465" t="s">
        <v>471</v>
      </c>
      <c r="B465" t="str">
        <f>MID(Table1[[#This Row],[Order_ID]],2,5)</f>
        <v>RD146</v>
      </c>
      <c r="C465" s="1">
        <v>45304</v>
      </c>
      <c r="D465" t="s">
        <v>508</v>
      </c>
      <c r="E465" t="s">
        <v>515</v>
      </c>
      <c r="F465" t="str">
        <f>LOWER(Table1[[#This Row],[City]])</f>
        <v>kolkata</v>
      </c>
      <c r="G465" t="str">
        <f>UPPER(Table1[[#This Row],[City]])</f>
        <v>KOLKATA</v>
      </c>
      <c r="H465" t="str">
        <f>PROPER(Table1[[#This Row],[City]])</f>
        <v>Kolkata</v>
      </c>
      <c r="I465" t="str">
        <f t="shared" si="21"/>
        <v>ValueShop _ Kolkata</v>
      </c>
      <c r="J465" t="s">
        <v>522</v>
      </c>
      <c r="K465">
        <f t="shared" si="22"/>
        <v>5</v>
      </c>
      <c r="L465" t="str">
        <f>LEFT(Table1[[#This Row],[Category]],3)</f>
        <v>Boo</v>
      </c>
      <c r="M465">
        <v>4</v>
      </c>
      <c r="N465" s="4" t="str">
        <f t="shared" si="23"/>
        <v>normal order</v>
      </c>
      <c r="O465">
        <f>SQRT(Table1[[#This Row],[Quantity]])</f>
        <v>2</v>
      </c>
      <c r="P465">
        <v>625.99</v>
      </c>
      <c r="Q465">
        <v>2503.96</v>
      </c>
    </row>
    <row r="466" spans="1:17" x14ac:dyDescent="0.25">
      <c r="A466" t="s">
        <v>472</v>
      </c>
      <c r="B466" t="str">
        <f>MID(Table1[[#This Row],[Order_ID]],2,5)</f>
        <v>RD146</v>
      </c>
      <c r="C466" s="1">
        <v>45383</v>
      </c>
      <c r="D466" t="s">
        <v>511</v>
      </c>
      <c r="E466" t="s">
        <v>517</v>
      </c>
      <c r="F466" t="str">
        <f>LOWER(Table1[[#This Row],[City]])</f>
        <v>hyderabad</v>
      </c>
      <c r="G466" t="str">
        <f>UPPER(Table1[[#This Row],[City]])</f>
        <v>HYDERABAD</v>
      </c>
      <c r="H466" t="str">
        <f>PROPER(Table1[[#This Row],[City]])</f>
        <v>Hyderabad</v>
      </c>
      <c r="I466" t="str">
        <f t="shared" si="21"/>
        <v>MegaMart _ Hyderabad</v>
      </c>
      <c r="J466" t="s">
        <v>521</v>
      </c>
      <c r="K466">
        <f t="shared" si="22"/>
        <v>8</v>
      </c>
      <c r="L466" t="str">
        <f>LEFT(Table1[[#This Row],[Category]],3)</f>
        <v>Clo</v>
      </c>
      <c r="M466">
        <v>14</v>
      </c>
      <c r="N466" s="4" t="str">
        <f t="shared" si="23"/>
        <v>bulk order</v>
      </c>
      <c r="O466">
        <f>SQRT(Table1[[#This Row],[Quantity]])</f>
        <v>3.7416573867739413</v>
      </c>
      <c r="P466">
        <v>530.58000000000004</v>
      </c>
      <c r="Q466">
        <v>7428.1200000000008</v>
      </c>
    </row>
    <row r="467" spans="1:17" x14ac:dyDescent="0.25">
      <c r="A467" t="s">
        <v>473</v>
      </c>
      <c r="B467" t="str">
        <f>MID(Table1[[#This Row],[Order_ID]],2,5)</f>
        <v>RD146</v>
      </c>
      <c r="C467" s="1">
        <v>45462</v>
      </c>
      <c r="D467" t="s">
        <v>511</v>
      </c>
      <c r="E467" t="s">
        <v>519</v>
      </c>
      <c r="F467" t="str">
        <f>LOWER(Table1[[#This Row],[City]])</f>
        <v>mumbai</v>
      </c>
      <c r="G467" t="str">
        <f>UPPER(Table1[[#This Row],[City]])</f>
        <v>MUMBAI</v>
      </c>
      <c r="H467" t="str">
        <f>PROPER(Table1[[#This Row],[City]])</f>
        <v>Mumbai</v>
      </c>
      <c r="I467" t="str">
        <f t="shared" si="21"/>
        <v>MegaMart _ Mumbai</v>
      </c>
      <c r="J467" t="s">
        <v>523</v>
      </c>
      <c r="K467">
        <f t="shared" si="22"/>
        <v>14</v>
      </c>
      <c r="L467" t="str">
        <f>LEFT(Table1[[#This Row],[Category]],3)</f>
        <v>Hom</v>
      </c>
      <c r="M467">
        <v>19</v>
      </c>
      <c r="N467" s="4" t="str">
        <f t="shared" si="23"/>
        <v>bulk order</v>
      </c>
      <c r="O467">
        <f>SQRT(Table1[[#This Row],[Quantity]])</f>
        <v>4.358898943540674</v>
      </c>
      <c r="P467">
        <v>193.34</v>
      </c>
      <c r="Q467">
        <v>3673.46</v>
      </c>
    </row>
    <row r="468" spans="1:17" x14ac:dyDescent="0.25">
      <c r="A468" t="s">
        <v>474</v>
      </c>
      <c r="B468" t="str">
        <f>MID(Table1[[#This Row],[Order_ID]],2,5)</f>
        <v>RD146</v>
      </c>
      <c r="C468" s="1">
        <v>45502</v>
      </c>
      <c r="D468" t="s">
        <v>509</v>
      </c>
      <c r="E468" t="s">
        <v>517</v>
      </c>
      <c r="F468" t="str">
        <f>LOWER(Table1[[#This Row],[City]])</f>
        <v>hyderabad</v>
      </c>
      <c r="G468" t="str">
        <f>UPPER(Table1[[#This Row],[City]])</f>
        <v>HYDERABAD</v>
      </c>
      <c r="H468" t="str">
        <f>PROPER(Table1[[#This Row],[City]])</f>
        <v>Hyderabad</v>
      </c>
      <c r="I468" t="str">
        <f t="shared" si="21"/>
        <v>CityStore _ Hyderabad</v>
      </c>
      <c r="J468" t="s">
        <v>524</v>
      </c>
      <c r="K468">
        <f t="shared" si="22"/>
        <v>4</v>
      </c>
      <c r="L468" t="str">
        <f>LEFT(Table1[[#This Row],[Category]],3)</f>
        <v>Toy</v>
      </c>
      <c r="M468">
        <v>10</v>
      </c>
      <c r="N468" s="4" t="str">
        <f t="shared" si="23"/>
        <v>normal order</v>
      </c>
      <c r="O468">
        <f>SQRT(Table1[[#This Row],[Quantity]])</f>
        <v>3.1622776601683795</v>
      </c>
      <c r="P468">
        <v>572.54999999999995</v>
      </c>
      <c r="Q468">
        <v>5725.5</v>
      </c>
    </row>
    <row r="469" spans="1:17" x14ac:dyDescent="0.25">
      <c r="A469" t="s">
        <v>475</v>
      </c>
      <c r="B469" t="str">
        <f>MID(Table1[[#This Row],[Order_ID]],2,5)</f>
        <v>RD146</v>
      </c>
      <c r="C469" s="1">
        <v>45634</v>
      </c>
      <c r="D469" t="s">
        <v>510</v>
      </c>
      <c r="E469" t="s">
        <v>519</v>
      </c>
      <c r="F469" t="str">
        <f>LOWER(Table1[[#This Row],[City]])</f>
        <v>mumbai</v>
      </c>
      <c r="G469" t="str">
        <f>UPPER(Table1[[#This Row],[City]])</f>
        <v>MUMBAI</v>
      </c>
      <c r="H469" t="str">
        <f>PROPER(Table1[[#This Row],[City]])</f>
        <v>Mumbai</v>
      </c>
      <c r="I469" t="str">
        <f t="shared" si="21"/>
        <v>QuickBuy _ Mumbai</v>
      </c>
      <c r="J469" t="s">
        <v>525</v>
      </c>
      <c r="K469">
        <f t="shared" si="22"/>
        <v>9</v>
      </c>
      <c r="L469" t="str">
        <f>LEFT(Table1[[#This Row],[Category]],3)</f>
        <v>Gro</v>
      </c>
      <c r="M469">
        <v>1</v>
      </c>
      <c r="N469" s="4" t="str">
        <f t="shared" si="23"/>
        <v>normal order</v>
      </c>
      <c r="O469">
        <f>SQRT(Table1[[#This Row],[Quantity]])</f>
        <v>1</v>
      </c>
      <c r="P469">
        <v>791</v>
      </c>
      <c r="Q469">
        <v>791</v>
      </c>
    </row>
    <row r="470" spans="1:17" x14ac:dyDescent="0.25">
      <c r="A470" t="s">
        <v>476</v>
      </c>
      <c r="B470" t="str">
        <f>MID(Table1[[#This Row],[Order_ID]],2,5)</f>
        <v>RD146</v>
      </c>
      <c r="C470" s="1">
        <v>45419</v>
      </c>
      <c r="D470" t="s">
        <v>510</v>
      </c>
      <c r="E470" t="s">
        <v>515</v>
      </c>
      <c r="F470" t="str">
        <f>LOWER(Table1[[#This Row],[City]])</f>
        <v>kolkata</v>
      </c>
      <c r="G470" t="str">
        <f>UPPER(Table1[[#This Row],[City]])</f>
        <v>KOLKATA</v>
      </c>
      <c r="H470" t="str">
        <f>PROPER(Table1[[#This Row],[City]])</f>
        <v>Kolkata</v>
      </c>
      <c r="I470" t="str">
        <f t="shared" si="21"/>
        <v>QuickBuy _ Kolkata</v>
      </c>
      <c r="J470" t="s">
        <v>522</v>
      </c>
      <c r="K470">
        <f t="shared" si="22"/>
        <v>5</v>
      </c>
      <c r="L470" t="str">
        <f>LEFT(Table1[[#This Row],[Category]],3)</f>
        <v>Boo</v>
      </c>
      <c r="M470">
        <v>20</v>
      </c>
      <c r="N470" s="4" t="str">
        <f t="shared" si="23"/>
        <v>bulk order</v>
      </c>
      <c r="O470">
        <f>SQRT(Table1[[#This Row],[Quantity]])</f>
        <v>4.4721359549995796</v>
      </c>
      <c r="P470">
        <v>1578.59</v>
      </c>
      <c r="Q470">
        <v>31571.8</v>
      </c>
    </row>
    <row r="471" spans="1:17" x14ac:dyDescent="0.25">
      <c r="A471" t="s">
        <v>477</v>
      </c>
      <c r="B471" t="str">
        <f>MID(Table1[[#This Row],[Order_ID]],2,5)</f>
        <v>RD146</v>
      </c>
      <c r="C471" s="1">
        <v>45428</v>
      </c>
      <c r="D471" t="s">
        <v>511</v>
      </c>
      <c r="E471" t="s">
        <v>515</v>
      </c>
      <c r="F471" t="str">
        <f>LOWER(Table1[[#This Row],[City]])</f>
        <v>kolkata</v>
      </c>
      <c r="G471" t="str">
        <f>UPPER(Table1[[#This Row],[City]])</f>
        <v>KOLKATA</v>
      </c>
      <c r="H471" t="str">
        <f>PROPER(Table1[[#This Row],[City]])</f>
        <v>Kolkata</v>
      </c>
      <c r="I471" t="str">
        <f t="shared" si="21"/>
        <v>MegaMart _ Kolkata</v>
      </c>
      <c r="J471" t="s">
        <v>523</v>
      </c>
      <c r="K471">
        <f t="shared" si="22"/>
        <v>14</v>
      </c>
      <c r="L471" t="str">
        <f>LEFT(Table1[[#This Row],[Category]],3)</f>
        <v>Hom</v>
      </c>
      <c r="M471">
        <v>16</v>
      </c>
      <c r="N471" s="4" t="str">
        <f t="shared" si="23"/>
        <v>bulk order</v>
      </c>
      <c r="O471">
        <f>SQRT(Table1[[#This Row],[Quantity]])</f>
        <v>4</v>
      </c>
      <c r="P471">
        <v>350.84</v>
      </c>
      <c r="Q471">
        <v>5613.44</v>
      </c>
    </row>
    <row r="472" spans="1:17" x14ac:dyDescent="0.25">
      <c r="A472" t="s">
        <v>478</v>
      </c>
      <c r="B472" t="str">
        <f>MID(Table1[[#This Row],[Order_ID]],2,5)</f>
        <v>RD147</v>
      </c>
      <c r="C472" s="1">
        <v>45373</v>
      </c>
      <c r="D472" t="s">
        <v>508</v>
      </c>
      <c r="E472" t="s">
        <v>519</v>
      </c>
      <c r="F472" t="str">
        <f>LOWER(Table1[[#This Row],[City]])</f>
        <v>mumbai</v>
      </c>
      <c r="G472" t="str">
        <f>UPPER(Table1[[#This Row],[City]])</f>
        <v>MUMBAI</v>
      </c>
      <c r="H472" t="str">
        <f>PROPER(Table1[[#This Row],[City]])</f>
        <v>Mumbai</v>
      </c>
      <c r="I472" t="str">
        <f t="shared" si="21"/>
        <v>ValueShop _ Mumbai</v>
      </c>
      <c r="J472" t="s">
        <v>521</v>
      </c>
      <c r="K472">
        <f t="shared" si="22"/>
        <v>8</v>
      </c>
      <c r="L472" t="str">
        <f>LEFT(Table1[[#This Row],[Category]],3)</f>
        <v>Clo</v>
      </c>
      <c r="M472">
        <v>9</v>
      </c>
      <c r="N472" s="4" t="str">
        <f t="shared" si="23"/>
        <v>normal order</v>
      </c>
      <c r="O472">
        <f>SQRT(Table1[[#This Row],[Quantity]])</f>
        <v>3</v>
      </c>
      <c r="P472">
        <v>809.76</v>
      </c>
      <c r="Q472">
        <v>7287.84</v>
      </c>
    </row>
    <row r="473" spans="1:17" x14ac:dyDescent="0.25">
      <c r="A473" t="s">
        <v>479</v>
      </c>
      <c r="B473" t="str">
        <f>MID(Table1[[#This Row],[Order_ID]],2,5)</f>
        <v>RD147</v>
      </c>
      <c r="C473" s="1">
        <v>45651</v>
      </c>
      <c r="D473" t="s">
        <v>510</v>
      </c>
      <c r="E473" t="s">
        <v>513</v>
      </c>
      <c r="F473" t="str">
        <f>LOWER(Table1[[#This Row],[City]])</f>
        <v>bangalore</v>
      </c>
      <c r="G473" t="str">
        <f>UPPER(Table1[[#This Row],[City]])</f>
        <v>BANGALORE</v>
      </c>
      <c r="H473" t="str">
        <f>PROPER(Table1[[#This Row],[City]])</f>
        <v>Bangalore</v>
      </c>
      <c r="I473" t="str">
        <f t="shared" si="21"/>
        <v>QuickBuy _ Bangalore</v>
      </c>
      <c r="J473" t="s">
        <v>524</v>
      </c>
      <c r="K473">
        <f t="shared" si="22"/>
        <v>4</v>
      </c>
      <c r="L473" t="str">
        <f>LEFT(Table1[[#This Row],[Category]],3)</f>
        <v>Toy</v>
      </c>
      <c r="M473">
        <v>19</v>
      </c>
      <c r="N473" s="4" t="str">
        <f t="shared" si="23"/>
        <v>bulk order</v>
      </c>
      <c r="O473">
        <f>SQRT(Table1[[#This Row],[Quantity]])</f>
        <v>4.358898943540674</v>
      </c>
      <c r="P473">
        <v>753.37</v>
      </c>
      <c r="Q473">
        <v>14314.03</v>
      </c>
    </row>
    <row r="474" spans="1:17" x14ac:dyDescent="0.25">
      <c r="A474" t="s">
        <v>480</v>
      </c>
      <c r="B474" t="str">
        <f>MID(Table1[[#This Row],[Order_ID]],2,5)</f>
        <v>RD147</v>
      </c>
      <c r="C474" s="1">
        <v>45347</v>
      </c>
      <c r="D474" t="s">
        <v>511</v>
      </c>
      <c r="E474" t="s">
        <v>515</v>
      </c>
      <c r="F474" t="str">
        <f>LOWER(Table1[[#This Row],[City]])</f>
        <v>kolkata</v>
      </c>
      <c r="G474" t="str">
        <f>UPPER(Table1[[#This Row],[City]])</f>
        <v>KOLKATA</v>
      </c>
      <c r="H474" t="str">
        <f>PROPER(Table1[[#This Row],[City]])</f>
        <v>Kolkata</v>
      </c>
      <c r="I474" t="str">
        <f t="shared" si="21"/>
        <v>MegaMart _ Kolkata</v>
      </c>
      <c r="J474" t="s">
        <v>521</v>
      </c>
      <c r="K474">
        <f t="shared" si="22"/>
        <v>8</v>
      </c>
      <c r="L474" t="str">
        <f>LEFT(Table1[[#This Row],[Category]],3)</f>
        <v>Clo</v>
      </c>
      <c r="M474">
        <v>19</v>
      </c>
      <c r="N474" s="4" t="str">
        <f t="shared" si="23"/>
        <v>bulk order</v>
      </c>
      <c r="O474">
        <f>SQRT(Table1[[#This Row],[Quantity]])</f>
        <v>4.358898943540674</v>
      </c>
      <c r="P474">
        <v>228.46</v>
      </c>
      <c r="Q474">
        <v>4340.74</v>
      </c>
    </row>
    <row r="475" spans="1:17" x14ac:dyDescent="0.25">
      <c r="A475" t="s">
        <v>481</v>
      </c>
      <c r="B475" t="str">
        <f>MID(Table1[[#This Row],[Order_ID]],2,5)</f>
        <v>RD147</v>
      </c>
      <c r="C475" s="1">
        <v>45487</v>
      </c>
      <c r="D475" t="s">
        <v>509</v>
      </c>
      <c r="E475" t="s">
        <v>519</v>
      </c>
      <c r="F475" t="str">
        <f>LOWER(Table1[[#This Row],[City]])</f>
        <v>mumbai</v>
      </c>
      <c r="G475" t="str">
        <f>UPPER(Table1[[#This Row],[City]])</f>
        <v>MUMBAI</v>
      </c>
      <c r="H475" t="str">
        <f>PROPER(Table1[[#This Row],[City]])</f>
        <v>Mumbai</v>
      </c>
      <c r="I475" t="str">
        <f t="shared" si="21"/>
        <v>CityStore _ Mumbai</v>
      </c>
      <c r="J475" t="s">
        <v>525</v>
      </c>
      <c r="K475">
        <f t="shared" si="22"/>
        <v>9</v>
      </c>
      <c r="L475" t="str">
        <f>LEFT(Table1[[#This Row],[Category]],3)</f>
        <v>Gro</v>
      </c>
      <c r="M475">
        <v>8</v>
      </c>
      <c r="N475" s="4" t="str">
        <f t="shared" si="23"/>
        <v>normal order</v>
      </c>
      <c r="O475">
        <f>SQRT(Table1[[#This Row],[Quantity]])</f>
        <v>2.8284271247461903</v>
      </c>
      <c r="P475">
        <v>1888.77</v>
      </c>
      <c r="Q475">
        <v>15110.16</v>
      </c>
    </row>
    <row r="476" spans="1:17" x14ac:dyDescent="0.25">
      <c r="A476" t="s">
        <v>482</v>
      </c>
      <c r="B476" t="str">
        <f>MID(Table1[[#This Row],[Order_ID]],2,5)</f>
        <v>RD147</v>
      </c>
      <c r="C476" s="1">
        <v>45311</v>
      </c>
      <c r="D476" t="s">
        <v>512</v>
      </c>
      <c r="E476" t="s">
        <v>515</v>
      </c>
      <c r="F476" t="str">
        <f>LOWER(Table1[[#This Row],[City]])</f>
        <v>kolkata</v>
      </c>
      <c r="G476" t="str">
        <f>UPPER(Table1[[#This Row],[City]])</f>
        <v>KOLKATA</v>
      </c>
      <c r="H476" t="str">
        <f>PROPER(Table1[[#This Row],[City]])</f>
        <v>Kolkata</v>
      </c>
      <c r="I476" t="str">
        <f t="shared" si="21"/>
        <v>Trendz _ Kolkata</v>
      </c>
      <c r="J476" t="s">
        <v>523</v>
      </c>
      <c r="K476">
        <f t="shared" si="22"/>
        <v>14</v>
      </c>
      <c r="L476" t="str">
        <f>LEFT(Table1[[#This Row],[Category]],3)</f>
        <v>Hom</v>
      </c>
      <c r="M476">
        <v>2</v>
      </c>
      <c r="N476" s="4" t="str">
        <f t="shared" si="23"/>
        <v>normal order</v>
      </c>
      <c r="O476">
        <f>SQRT(Table1[[#This Row],[Quantity]])</f>
        <v>1.4142135623730951</v>
      </c>
      <c r="P476">
        <v>917.23</v>
      </c>
      <c r="Q476">
        <v>1834.46</v>
      </c>
    </row>
    <row r="477" spans="1:17" x14ac:dyDescent="0.25">
      <c r="A477" t="s">
        <v>483</v>
      </c>
      <c r="B477" t="str">
        <f>MID(Table1[[#This Row],[Order_ID]],2,5)</f>
        <v>RD147</v>
      </c>
      <c r="C477" s="1">
        <v>45532</v>
      </c>
      <c r="D477" t="s">
        <v>510</v>
      </c>
      <c r="E477" t="s">
        <v>517</v>
      </c>
      <c r="F477" t="str">
        <f>LOWER(Table1[[#This Row],[City]])</f>
        <v>hyderabad</v>
      </c>
      <c r="G477" t="str">
        <f>UPPER(Table1[[#This Row],[City]])</f>
        <v>HYDERABAD</v>
      </c>
      <c r="H477" t="str">
        <f>PROPER(Table1[[#This Row],[City]])</f>
        <v>Hyderabad</v>
      </c>
      <c r="I477" t="str">
        <f t="shared" si="21"/>
        <v>QuickBuy _ Hyderabad</v>
      </c>
      <c r="J477" t="s">
        <v>521</v>
      </c>
      <c r="K477">
        <f t="shared" si="22"/>
        <v>8</v>
      </c>
      <c r="L477" t="str">
        <f>LEFT(Table1[[#This Row],[Category]],3)</f>
        <v>Clo</v>
      </c>
      <c r="M477">
        <v>19</v>
      </c>
      <c r="N477" s="4" t="str">
        <f t="shared" si="23"/>
        <v>bulk order</v>
      </c>
      <c r="O477">
        <f>SQRT(Table1[[#This Row],[Quantity]])</f>
        <v>4.358898943540674</v>
      </c>
      <c r="P477">
        <v>1534.63</v>
      </c>
      <c r="Q477">
        <v>29157.97</v>
      </c>
    </row>
    <row r="478" spans="1:17" x14ac:dyDescent="0.25">
      <c r="A478" t="s">
        <v>484</v>
      </c>
      <c r="B478" t="str">
        <f>MID(Table1[[#This Row],[Order_ID]],2,5)</f>
        <v>RD147</v>
      </c>
      <c r="C478" s="1">
        <v>45405</v>
      </c>
      <c r="D478" t="s">
        <v>512</v>
      </c>
      <c r="E478" t="s">
        <v>514</v>
      </c>
      <c r="F478" t="str">
        <f>LOWER(Table1[[#This Row],[City]])</f>
        <v>delhi</v>
      </c>
      <c r="G478" t="str">
        <f>UPPER(Table1[[#This Row],[City]])</f>
        <v>DELHI</v>
      </c>
      <c r="H478" t="str">
        <f>PROPER(Table1[[#This Row],[City]])</f>
        <v>Delhi</v>
      </c>
      <c r="I478" t="str">
        <f t="shared" si="21"/>
        <v>Trendz _ Delhi</v>
      </c>
      <c r="J478" t="s">
        <v>525</v>
      </c>
      <c r="K478">
        <f t="shared" si="22"/>
        <v>9</v>
      </c>
      <c r="L478" t="str">
        <f>LEFT(Table1[[#This Row],[Category]],3)</f>
        <v>Gro</v>
      </c>
      <c r="M478">
        <v>16</v>
      </c>
      <c r="N478" s="4" t="str">
        <f t="shared" si="23"/>
        <v>bulk order</v>
      </c>
      <c r="O478">
        <f>SQRT(Table1[[#This Row],[Quantity]])</f>
        <v>4</v>
      </c>
      <c r="P478">
        <v>249.35</v>
      </c>
      <c r="Q478">
        <v>3989.6</v>
      </c>
    </row>
    <row r="479" spans="1:17" x14ac:dyDescent="0.25">
      <c r="A479" t="s">
        <v>485</v>
      </c>
      <c r="B479" t="str">
        <f>MID(Table1[[#This Row],[Order_ID]],2,5)</f>
        <v>RD147</v>
      </c>
      <c r="C479" s="1">
        <v>45394</v>
      </c>
      <c r="D479" t="s">
        <v>508</v>
      </c>
      <c r="E479" t="s">
        <v>513</v>
      </c>
      <c r="F479" t="str">
        <f>LOWER(Table1[[#This Row],[City]])</f>
        <v>bangalore</v>
      </c>
      <c r="G479" t="str">
        <f>UPPER(Table1[[#This Row],[City]])</f>
        <v>BANGALORE</v>
      </c>
      <c r="H479" t="str">
        <f>PROPER(Table1[[#This Row],[City]])</f>
        <v>Bangalore</v>
      </c>
      <c r="I479" t="str">
        <f t="shared" si="21"/>
        <v>ValueShop _ Bangalore</v>
      </c>
      <c r="J479" t="s">
        <v>522</v>
      </c>
      <c r="K479">
        <f t="shared" si="22"/>
        <v>5</v>
      </c>
      <c r="L479" t="str">
        <f>LEFT(Table1[[#This Row],[Category]],3)</f>
        <v>Boo</v>
      </c>
      <c r="M479">
        <v>6</v>
      </c>
      <c r="N479" s="4" t="str">
        <f t="shared" si="23"/>
        <v>normal order</v>
      </c>
      <c r="O479">
        <f>SQRT(Table1[[#This Row],[Quantity]])</f>
        <v>2.4494897427831779</v>
      </c>
      <c r="P479">
        <v>220.23</v>
      </c>
      <c r="Q479">
        <v>1321.38</v>
      </c>
    </row>
    <row r="480" spans="1:17" x14ac:dyDescent="0.25">
      <c r="A480" t="s">
        <v>486</v>
      </c>
      <c r="B480" t="str">
        <f>MID(Table1[[#This Row],[Order_ID]],2,5)</f>
        <v>RD147</v>
      </c>
      <c r="C480" s="1">
        <v>45527</v>
      </c>
      <c r="D480" t="s">
        <v>509</v>
      </c>
      <c r="E480" t="s">
        <v>515</v>
      </c>
      <c r="F480" t="str">
        <f>LOWER(Table1[[#This Row],[City]])</f>
        <v>kolkata</v>
      </c>
      <c r="G480" t="str">
        <f>UPPER(Table1[[#This Row],[City]])</f>
        <v>KOLKATA</v>
      </c>
      <c r="H480" t="str">
        <f>PROPER(Table1[[#This Row],[City]])</f>
        <v>Kolkata</v>
      </c>
      <c r="I480" t="str">
        <f t="shared" si="21"/>
        <v>CityStore _ Kolkata</v>
      </c>
      <c r="J480" t="s">
        <v>524</v>
      </c>
      <c r="K480">
        <f t="shared" si="22"/>
        <v>4</v>
      </c>
      <c r="L480" t="str">
        <f>LEFT(Table1[[#This Row],[Category]],3)</f>
        <v>Toy</v>
      </c>
      <c r="M480">
        <v>17</v>
      </c>
      <c r="N480" s="4" t="str">
        <f t="shared" si="23"/>
        <v>bulk order</v>
      </c>
      <c r="O480">
        <f>SQRT(Table1[[#This Row],[Quantity]])</f>
        <v>4.1231056256176606</v>
      </c>
      <c r="P480">
        <v>890.41</v>
      </c>
      <c r="Q480">
        <v>15136.97</v>
      </c>
    </row>
    <row r="481" spans="1:18" x14ac:dyDescent="0.25">
      <c r="A481" t="s">
        <v>487</v>
      </c>
      <c r="B481" t="str">
        <f>MID(Table1[[#This Row],[Order_ID]],2,5)</f>
        <v>RD147</v>
      </c>
      <c r="C481" s="1">
        <v>45471</v>
      </c>
      <c r="D481" t="s">
        <v>510</v>
      </c>
      <c r="E481" t="s">
        <v>519</v>
      </c>
      <c r="F481" t="str">
        <f>LOWER(Table1[[#This Row],[City]])</f>
        <v>mumbai</v>
      </c>
      <c r="G481" t="str">
        <f>UPPER(Table1[[#This Row],[City]])</f>
        <v>MUMBAI</v>
      </c>
      <c r="H481" t="str">
        <f>PROPER(Table1[[#This Row],[City]])</f>
        <v>Mumbai</v>
      </c>
      <c r="I481" t="str">
        <f t="shared" si="21"/>
        <v>QuickBuy _ Mumbai</v>
      </c>
      <c r="J481" t="s">
        <v>523</v>
      </c>
      <c r="K481">
        <f t="shared" si="22"/>
        <v>14</v>
      </c>
      <c r="L481" t="str">
        <f>LEFT(Table1[[#This Row],[Category]],3)</f>
        <v>Hom</v>
      </c>
      <c r="M481">
        <v>20</v>
      </c>
      <c r="N481" s="4" t="str">
        <f t="shared" si="23"/>
        <v>bulk order</v>
      </c>
      <c r="O481">
        <f>SQRT(Table1[[#This Row],[Quantity]])</f>
        <v>4.4721359549995796</v>
      </c>
      <c r="P481">
        <v>1136.1199999999999</v>
      </c>
      <c r="Q481">
        <v>22722.400000000001</v>
      </c>
    </row>
    <row r="482" spans="1:18" x14ac:dyDescent="0.25">
      <c r="A482" t="s">
        <v>488</v>
      </c>
      <c r="B482" t="str">
        <f>MID(Table1[[#This Row],[Order_ID]],2,5)</f>
        <v>RD148</v>
      </c>
      <c r="C482" s="1">
        <v>45448</v>
      </c>
      <c r="D482" t="s">
        <v>512</v>
      </c>
      <c r="E482" t="s">
        <v>519</v>
      </c>
      <c r="F482" t="str">
        <f>LOWER(Table1[[#This Row],[City]])</f>
        <v>mumbai</v>
      </c>
      <c r="G482" t="str">
        <f>UPPER(Table1[[#This Row],[City]])</f>
        <v>MUMBAI</v>
      </c>
      <c r="H482" t="str">
        <f>PROPER(Table1[[#This Row],[City]])</f>
        <v>Mumbai</v>
      </c>
      <c r="I482" t="str">
        <f t="shared" si="21"/>
        <v>Trendz _ Mumbai</v>
      </c>
      <c r="J482" t="s">
        <v>523</v>
      </c>
      <c r="K482">
        <f t="shared" si="22"/>
        <v>14</v>
      </c>
      <c r="L482" t="str">
        <f>LEFT(Table1[[#This Row],[Category]],3)</f>
        <v>Hom</v>
      </c>
      <c r="M482">
        <v>13</v>
      </c>
      <c r="N482" s="4" t="str">
        <f t="shared" si="23"/>
        <v>bulk order</v>
      </c>
      <c r="O482">
        <f>SQRT(Table1[[#This Row],[Quantity]])</f>
        <v>3.6055512754639891</v>
      </c>
      <c r="P482">
        <v>1049.26</v>
      </c>
      <c r="Q482">
        <v>13640.38</v>
      </c>
    </row>
    <row r="483" spans="1:18" x14ac:dyDescent="0.25">
      <c r="A483" t="s">
        <v>489</v>
      </c>
      <c r="B483" t="str">
        <f>MID(Table1[[#This Row],[Order_ID]],2,5)</f>
        <v>RD148</v>
      </c>
      <c r="C483" s="1">
        <v>45408</v>
      </c>
      <c r="D483" t="s">
        <v>512</v>
      </c>
      <c r="E483" t="s">
        <v>517</v>
      </c>
      <c r="F483" t="str">
        <f>LOWER(Table1[[#This Row],[City]])</f>
        <v>hyderabad</v>
      </c>
      <c r="G483" t="str">
        <f>UPPER(Table1[[#This Row],[City]])</f>
        <v>HYDERABAD</v>
      </c>
      <c r="H483" t="str">
        <f>PROPER(Table1[[#This Row],[City]])</f>
        <v>Hyderabad</v>
      </c>
      <c r="I483" t="str">
        <f t="shared" si="21"/>
        <v>Trendz _ Hyderabad</v>
      </c>
      <c r="J483" t="s">
        <v>525</v>
      </c>
      <c r="K483">
        <f t="shared" si="22"/>
        <v>9</v>
      </c>
      <c r="L483" t="str">
        <f>LEFT(Table1[[#This Row],[Category]],3)</f>
        <v>Gro</v>
      </c>
      <c r="M483">
        <v>5</v>
      </c>
      <c r="N483" s="4" t="str">
        <f t="shared" si="23"/>
        <v>normal order</v>
      </c>
      <c r="O483">
        <f>SQRT(Table1[[#This Row],[Quantity]])</f>
        <v>2.2360679774997898</v>
      </c>
      <c r="P483">
        <v>251.42</v>
      </c>
      <c r="Q483">
        <v>1257.0999999999999</v>
      </c>
    </row>
    <row r="484" spans="1:18" x14ac:dyDescent="0.25">
      <c r="A484" t="s">
        <v>490</v>
      </c>
      <c r="B484" t="str">
        <f>MID(Table1[[#This Row],[Order_ID]],2,5)</f>
        <v>RD148</v>
      </c>
      <c r="C484" s="1">
        <v>45406</v>
      </c>
      <c r="D484" t="s">
        <v>511</v>
      </c>
      <c r="E484" t="s">
        <v>513</v>
      </c>
      <c r="F484" t="str">
        <f>LOWER(Table1[[#This Row],[City]])</f>
        <v>bangalore</v>
      </c>
      <c r="G484" t="str">
        <f>UPPER(Table1[[#This Row],[City]])</f>
        <v>BANGALORE</v>
      </c>
      <c r="H484" t="str">
        <f>PROPER(Table1[[#This Row],[City]])</f>
        <v>Bangalore</v>
      </c>
      <c r="I484" t="str">
        <f t="shared" si="21"/>
        <v>MegaMart _ Bangalore</v>
      </c>
      <c r="J484" t="s">
        <v>523</v>
      </c>
      <c r="K484">
        <f t="shared" si="22"/>
        <v>14</v>
      </c>
      <c r="L484" t="str">
        <f>LEFT(Table1[[#This Row],[Category]],3)</f>
        <v>Hom</v>
      </c>
      <c r="M484">
        <v>8</v>
      </c>
      <c r="N484" s="4" t="str">
        <f t="shared" si="23"/>
        <v>normal order</v>
      </c>
      <c r="O484">
        <f>SQRT(Table1[[#This Row],[Quantity]])</f>
        <v>2.8284271247461903</v>
      </c>
      <c r="P484">
        <v>224.76</v>
      </c>
      <c r="Q484">
        <v>1798.08</v>
      </c>
    </row>
    <row r="485" spans="1:18" x14ac:dyDescent="0.25">
      <c r="A485" t="s">
        <v>491</v>
      </c>
      <c r="B485" t="str">
        <f>MID(Table1[[#This Row],[Order_ID]],2,5)</f>
        <v>RD148</v>
      </c>
      <c r="C485" s="1">
        <v>45304</v>
      </c>
      <c r="D485" t="s">
        <v>512</v>
      </c>
      <c r="E485" t="s">
        <v>515</v>
      </c>
      <c r="F485" t="str">
        <f>LOWER(Table1[[#This Row],[City]])</f>
        <v>kolkata</v>
      </c>
      <c r="G485" t="str">
        <f>UPPER(Table1[[#This Row],[City]])</f>
        <v>KOLKATA</v>
      </c>
      <c r="H485" t="str">
        <f>PROPER(Table1[[#This Row],[City]])</f>
        <v>Kolkata</v>
      </c>
      <c r="I485" t="str">
        <f t="shared" si="21"/>
        <v>Trendz _ Kolkata</v>
      </c>
      <c r="J485" t="s">
        <v>524</v>
      </c>
      <c r="K485">
        <f t="shared" si="22"/>
        <v>4</v>
      </c>
      <c r="L485" t="str">
        <f>LEFT(Table1[[#This Row],[Category]],3)</f>
        <v>Toy</v>
      </c>
      <c r="M485">
        <v>2</v>
      </c>
      <c r="N485" s="4" t="str">
        <f t="shared" si="23"/>
        <v>normal order</v>
      </c>
      <c r="O485">
        <f>SQRT(Table1[[#This Row],[Quantity]])</f>
        <v>1.4142135623730951</v>
      </c>
      <c r="P485">
        <v>1130.73</v>
      </c>
      <c r="Q485">
        <v>2261.46</v>
      </c>
      <c r="R485" s="3">
        <f ca="1">TODAY()</f>
        <v>45973</v>
      </c>
    </row>
    <row r="486" spans="1:18" x14ac:dyDescent="0.25">
      <c r="A486" t="s">
        <v>492</v>
      </c>
      <c r="B486" t="str">
        <f>MID(Table1[[#This Row],[Order_ID]],2,5)</f>
        <v>RD148</v>
      </c>
      <c r="C486" s="1">
        <v>45629</v>
      </c>
      <c r="D486" t="s">
        <v>508</v>
      </c>
      <c r="E486" t="s">
        <v>519</v>
      </c>
      <c r="F486" t="str">
        <f>LOWER(Table1[[#This Row],[City]])</f>
        <v>mumbai</v>
      </c>
      <c r="G486" t="str">
        <f>UPPER(Table1[[#This Row],[City]])</f>
        <v>MUMBAI</v>
      </c>
      <c r="H486" t="str">
        <f>PROPER(Table1[[#This Row],[City]])</f>
        <v>Mumbai</v>
      </c>
      <c r="I486" t="str">
        <f t="shared" si="21"/>
        <v>ValueShop _ Mumbai</v>
      </c>
      <c r="J486" t="s">
        <v>524</v>
      </c>
      <c r="K486">
        <f t="shared" si="22"/>
        <v>4</v>
      </c>
      <c r="L486" t="str">
        <f>LEFT(Table1[[#This Row],[Category]],3)</f>
        <v>Toy</v>
      </c>
      <c r="M486">
        <v>19</v>
      </c>
      <c r="N486" s="4" t="str">
        <f t="shared" si="23"/>
        <v>bulk order</v>
      </c>
      <c r="O486">
        <f>SQRT(Table1[[#This Row],[Quantity]])</f>
        <v>4.358898943540674</v>
      </c>
      <c r="P486">
        <v>1214</v>
      </c>
      <c r="Q486">
        <v>23066</v>
      </c>
    </row>
    <row r="487" spans="1:18" x14ac:dyDescent="0.25">
      <c r="A487" t="s">
        <v>493</v>
      </c>
      <c r="B487" t="str">
        <f>MID(Table1[[#This Row],[Order_ID]],2,5)</f>
        <v>RD148</v>
      </c>
      <c r="C487" s="1">
        <v>45390</v>
      </c>
      <c r="D487" t="s">
        <v>512</v>
      </c>
      <c r="E487" t="s">
        <v>514</v>
      </c>
      <c r="F487" t="str">
        <f>LOWER(Table1[[#This Row],[City]])</f>
        <v>delhi</v>
      </c>
      <c r="G487" t="str">
        <f>UPPER(Table1[[#This Row],[City]])</f>
        <v>DELHI</v>
      </c>
      <c r="H487" t="str">
        <f>PROPER(Table1[[#This Row],[City]])</f>
        <v>Delhi</v>
      </c>
      <c r="I487" t="str">
        <f t="shared" si="21"/>
        <v>Trendz _ Delhi</v>
      </c>
      <c r="J487" t="s">
        <v>523</v>
      </c>
      <c r="K487">
        <f t="shared" si="22"/>
        <v>14</v>
      </c>
      <c r="L487" t="str">
        <f>LEFT(Table1[[#This Row],[Category]],3)</f>
        <v>Hom</v>
      </c>
      <c r="M487">
        <v>4</v>
      </c>
      <c r="N487" s="4" t="str">
        <f t="shared" si="23"/>
        <v>normal order</v>
      </c>
      <c r="O487">
        <f>SQRT(Table1[[#This Row],[Quantity]])</f>
        <v>2</v>
      </c>
      <c r="P487">
        <v>1579.66</v>
      </c>
      <c r="Q487">
        <v>6318.64</v>
      </c>
    </row>
    <row r="488" spans="1:18" x14ac:dyDescent="0.25">
      <c r="A488" t="s">
        <v>494</v>
      </c>
      <c r="B488" t="str">
        <f>MID(Table1[[#This Row],[Order_ID]],2,5)</f>
        <v>RD148</v>
      </c>
      <c r="C488" s="1">
        <v>45496</v>
      </c>
      <c r="D488" t="s">
        <v>508</v>
      </c>
      <c r="E488" t="s">
        <v>518</v>
      </c>
      <c r="F488" t="str">
        <f>LOWER(Table1[[#This Row],[City]])</f>
        <v>pune</v>
      </c>
      <c r="G488" t="str">
        <f>UPPER(Table1[[#This Row],[City]])</f>
        <v>PUNE</v>
      </c>
      <c r="H488" t="str">
        <f>PROPER(Table1[[#This Row],[City]])</f>
        <v>Pune</v>
      </c>
      <c r="I488" t="str">
        <f t="shared" si="21"/>
        <v>ValueShop _ Pune</v>
      </c>
      <c r="J488" t="s">
        <v>521</v>
      </c>
      <c r="K488">
        <f t="shared" si="22"/>
        <v>8</v>
      </c>
      <c r="L488" t="str">
        <f>LEFT(Table1[[#This Row],[Category]],3)</f>
        <v>Clo</v>
      </c>
      <c r="M488">
        <v>7</v>
      </c>
      <c r="N488" s="4" t="str">
        <f t="shared" si="23"/>
        <v>normal order</v>
      </c>
      <c r="O488">
        <f>SQRT(Table1[[#This Row],[Quantity]])</f>
        <v>2.6457513110645907</v>
      </c>
      <c r="P488">
        <v>1734.25</v>
      </c>
      <c r="Q488">
        <v>12139.75</v>
      </c>
    </row>
    <row r="489" spans="1:18" x14ac:dyDescent="0.25">
      <c r="A489" t="s">
        <v>495</v>
      </c>
      <c r="B489" t="str">
        <f>MID(Table1[[#This Row],[Order_ID]],2,5)</f>
        <v>RD148</v>
      </c>
      <c r="C489" s="1">
        <v>45460</v>
      </c>
      <c r="D489" t="s">
        <v>508</v>
      </c>
      <c r="E489" t="s">
        <v>515</v>
      </c>
      <c r="F489" t="str">
        <f>LOWER(Table1[[#This Row],[City]])</f>
        <v>kolkata</v>
      </c>
      <c r="G489" t="str">
        <f>UPPER(Table1[[#This Row],[City]])</f>
        <v>KOLKATA</v>
      </c>
      <c r="H489" t="str">
        <f>PROPER(Table1[[#This Row],[City]])</f>
        <v>Kolkata</v>
      </c>
      <c r="I489" t="str">
        <f t="shared" si="21"/>
        <v>ValueShop _ Kolkata</v>
      </c>
      <c r="J489" t="s">
        <v>521</v>
      </c>
      <c r="K489">
        <f t="shared" si="22"/>
        <v>8</v>
      </c>
      <c r="L489" t="str">
        <f>LEFT(Table1[[#This Row],[Category]],3)</f>
        <v>Clo</v>
      </c>
      <c r="M489">
        <v>1</v>
      </c>
      <c r="N489" s="4" t="str">
        <f t="shared" si="23"/>
        <v>normal order</v>
      </c>
      <c r="O489">
        <f>SQRT(Table1[[#This Row],[Quantity]])</f>
        <v>1</v>
      </c>
      <c r="P489">
        <v>74.06</v>
      </c>
      <c r="Q489">
        <v>74.06</v>
      </c>
    </row>
    <row r="490" spans="1:18" x14ac:dyDescent="0.25">
      <c r="A490" t="s">
        <v>496</v>
      </c>
      <c r="B490" t="str">
        <f>MID(Table1[[#This Row],[Order_ID]],2,5)</f>
        <v>RD148</v>
      </c>
      <c r="C490" s="1">
        <v>45434</v>
      </c>
      <c r="D490" t="s">
        <v>511</v>
      </c>
      <c r="E490" t="s">
        <v>514</v>
      </c>
      <c r="F490" t="str">
        <f>LOWER(Table1[[#This Row],[City]])</f>
        <v>delhi</v>
      </c>
      <c r="G490" t="str">
        <f>UPPER(Table1[[#This Row],[City]])</f>
        <v>DELHI</v>
      </c>
      <c r="H490" t="str">
        <f>PROPER(Table1[[#This Row],[City]])</f>
        <v>Delhi</v>
      </c>
      <c r="I490" t="str">
        <f t="shared" si="21"/>
        <v>MegaMart _ Delhi</v>
      </c>
      <c r="J490" t="s">
        <v>524</v>
      </c>
      <c r="K490">
        <f t="shared" si="22"/>
        <v>4</v>
      </c>
      <c r="L490" t="str">
        <f>LEFT(Table1[[#This Row],[Category]],3)</f>
        <v>Toy</v>
      </c>
      <c r="M490">
        <v>15</v>
      </c>
      <c r="N490" s="4" t="str">
        <f t="shared" si="23"/>
        <v>bulk order</v>
      </c>
      <c r="O490">
        <f>SQRT(Table1[[#This Row],[Quantity]])</f>
        <v>3.872983346207417</v>
      </c>
      <c r="P490">
        <v>856.93</v>
      </c>
      <c r="Q490">
        <v>12853.95</v>
      </c>
    </row>
    <row r="491" spans="1:18" x14ac:dyDescent="0.25">
      <c r="A491" t="s">
        <v>497</v>
      </c>
      <c r="B491" t="str">
        <f>MID(Table1[[#This Row],[Order_ID]],2,5)</f>
        <v>RD148</v>
      </c>
      <c r="C491" s="1">
        <v>45327</v>
      </c>
      <c r="D491" t="s">
        <v>509</v>
      </c>
      <c r="E491" t="s">
        <v>519</v>
      </c>
      <c r="F491" t="str">
        <f>LOWER(Table1[[#This Row],[City]])</f>
        <v>mumbai</v>
      </c>
      <c r="G491" t="str">
        <f>UPPER(Table1[[#This Row],[City]])</f>
        <v>MUMBAI</v>
      </c>
      <c r="H491" t="str">
        <f>PROPER(Table1[[#This Row],[City]])</f>
        <v>Mumbai</v>
      </c>
      <c r="I491" t="str">
        <f t="shared" si="21"/>
        <v>CityStore _ Mumbai</v>
      </c>
      <c r="J491" t="s">
        <v>521</v>
      </c>
      <c r="K491">
        <f t="shared" si="22"/>
        <v>8</v>
      </c>
      <c r="L491" t="str">
        <f>LEFT(Table1[[#This Row],[Category]],3)</f>
        <v>Clo</v>
      </c>
      <c r="M491">
        <v>11</v>
      </c>
      <c r="N491" s="4" t="str">
        <f t="shared" si="23"/>
        <v>bulk order</v>
      </c>
      <c r="O491">
        <f>SQRT(Table1[[#This Row],[Quantity]])</f>
        <v>3.3166247903553998</v>
      </c>
      <c r="P491">
        <v>1569.38</v>
      </c>
      <c r="Q491">
        <v>17263.18</v>
      </c>
    </row>
    <row r="492" spans="1:18" x14ac:dyDescent="0.25">
      <c r="A492" t="s">
        <v>498</v>
      </c>
      <c r="B492" t="str">
        <f>MID(Table1[[#This Row],[Order_ID]],2,5)</f>
        <v>RD149</v>
      </c>
      <c r="C492" s="1">
        <v>45434</v>
      </c>
      <c r="D492" t="s">
        <v>508</v>
      </c>
      <c r="E492" t="s">
        <v>514</v>
      </c>
      <c r="F492" t="str">
        <f>LOWER(Table1[[#This Row],[City]])</f>
        <v>delhi</v>
      </c>
      <c r="G492" t="str">
        <f>UPPER(Table1[[#This Row],[City]])</f>
        <v>DELHI</v>
      </c>
      <c r="H492" t="str">
        <f>PROPER(Table1[[#This Row],[City]])</f>
        <v>Delhi</v>
      </c>
      <c r="I492" t="str">
        <f t="shared" si="21"/>
        <v>ValueShop _ Delhi</v>
      </c>
      <c r="J492" t="s">
        <v>525</v>
      </c>
      <c r="K492">
        <f t="shared" si="22"/>
        <v>9</v>
      </c>
      <c r="L492" t="str">
        <f>LEFT(Table1[[#This Row],[Category]],3)</f>
        <v>Gro</v>
      </c>
      <c r="M492">
        <v>14</v>
      </c>
      <c r="N492" s="4" t="str">
        <f t="shared" si="23"/>
        <v>bulk order</v>
      </c>
      <c r="O492">
        <f>SQRT(Table1[[#This Row],[Quantity]])</f>
        <v>3.7416573867739413</v>
      </c>
      <c r="P492">
        <v>1463.45</v>
      </c>
      <c r="Q492">
        <v>20488.3</v>
      </c>
    </row>
    <row r="493" spans="1:18" x14ac:dyDescent="0.25">
      <c r="A493" t="s">
        <v>499</v>
      </c>
      <c r="B493" t="str">
        <f>MID(Table1[[#This Row],[Order_ID]],2,5)</f>
        <v>RD149</v>
      </c>
      <c r="C493" s="1">
        <v>45471</v>
      </c>
      <c r="D493" t="s">
        <v>512</v>
      </c>
      <c r="E493" t="s">
        <v>513</v>
      </c>
      <c r="F493" t="str">
        <f>LOWER(Table1[[#This Row],[City]])</f>
        <v>bangalore</v>
      </c>
      <c r="G493" t="str">
        <f>UPPER(Table1[[#This Row],[City]])</f>
        <v>BANGALORE</v>
      </c>
      <c r="H493" t="str">
        <f>PROPER(Table1[[#This Row],[City]])</f>
        <v>Bangalore</v>
      </c>
      <c r="I493" t="str">
        <f t="shared" si="21"/>
        <v>Trendz _ Bangalore</v>
      </c>
      <c r="J493" t="s">
        <v>520</v>
      </c>
      <c r="K493">
        <f t="shared" si="22"/>
        <v>11</v>
      </c>
      <c r="L493" t="str">
        <f>LEFT(Table1[[#This Row],[Category]],3)</f>
        <v>Ele</v>
      </c>
      <c r="M493">
        <v>5</v>
      </c>
      <c r="N493" s="4" t="str">
        <f t="shared" si="23"/>
        <v>normal order</v>
      </c>
      <c r="O493">
        <f>SQRT(Table1[[#This Row],[Quantity]])</f>
        <v>2.2360679774997898</v>
      </c>
      <c r="P493">
        <v>1141.0999999999999</v>
      </c>
      <c r="Q493">
        <v>5705.5</v>
      </c>
    </row>
    <row r="494" spans="1:18" x14ac:dyDescent="0.25">
      <c r="A494" t="s">
        <v>500</v>
      </c>
      <c r="B494" t="str">
        <f>MID(Table1[[#This Row],[Order_ID]],2,5)</f>
        <v>RD149</v>
      </c>
      <c r="C494" s="1">
        <v>45620</v>
      </c>
      <c r="D494" t="s">
        <v>512</v>
      </c>
      <c r="E494" t="s">
        <v>515</v>
      </c>
      <c r="F494" t="str">
        <f>LOWER(Table1[[#This Row],[City]])</f>
        <v>kolkata</v>
      </c>
      <c r="G494" t="str">
        <f>UPPER(Table1[[#This Row],[City]])</f>
        <v>KOLKATA</v>
      </c>
      <c r="H494" t="str">
        <f>PROPER(Table1[[#This Row],[City]])</f>
        <v>Kolkata</v>
      </c>
      <c r="I494" t="str">
        <f t="shared" si="21"/>
        <v>Trendz _ Kolkata</v>
      </c>
      <c r="J494" t="s">
        <v>522</v>
      </c>
      <c r="K494">
        <f t="shared" si="22"/>
        <v>5</v>
      </c>
      <c r="L494" t="str">
        <f>LEFT(Table1[[#This Row],[Category]],3)</f>
        <v>Boo</v>
      </c>
      <c r="M494">
        <v>14</v>
      </c>
      <c r="N494" s="4" t="str">
        <f t="shared" si="23"/>
        <v>bulk order</v>
      </c>
      <c r="O494">
        <f>SQRT(Table1[[#This Row],[Quantity]])</f>
        <v>3.7416573867739413</v>
      </c>
      <c r="P494">
        <v>1985.82</v>
      </c>
      <c r="Q494">
        <v>27801.48</v>
      </c>
    </row>
    <row r="495" spans="1:18" x14ac:dyDescent="0.25">
      <c r="A495" t="s">
        <v>501</v>
      </c>
      <c r="B495" t="str">
        <f>MID(Table1[[#This Row],[Order_ID]],2,5)</f>
        <v>RD149</v>
      </c>
      <c r="C495" s="1">
        <v>45552</v>
      </c>
      <c r="D495" t="s">
        <v>508</v>
      </c>
      <c r="E495" t="s">
        <v>515</v>
      </c>
      <c r="F495" t="str">
        <f>LOWER(Table1[[#This Row],[City]])</f>
        <v>kolkata</v>
      </c>
      <c r="G495" t="str">
        <f>UPPER(Table1[[#This Row],[City]])</f>
        <v>KOLKATA</v>
      </c>
      <c r="H495" t="str">
        <f>PROPER(Table1[[#This Row],[City]])</f>
        <v>Kolkata</v>
      </c>
      <c r="I495" t="str">
        <f t="shared" si="21"/>
        <v>ValueShop _ Kolkata</v>
      </c>
      <c r="J495" t="s">
        <v>523</v>
      </c>
      <c r="K495">
        <f t="shared" si="22"/>
        <v>14</v>
      </c>
      <c r="L495" t="str">
        <f>LEFT(Table1[[#This Row],[Category]],3)</f>
        <v>Hom</v>
      </c>
      <c r="M495">
        <v>7</v>
      </c>
      <c r="N495" s="4" t="str">
        <f t="shared" si="23"/>
        <v>normal order</v>
      </c>
      <c r="O495">
        <f>SQRT(Table1[[#This Row],[Quantity]])</f>
        <v>2.6457513110645907</v>
      </c>
      <c r="P495">
        <v>523.35</v>
      </c>
      <c r="Q495">
        <v>3663.45</v>
      </c>
    </row>
    <row r="496" spans="1:18" x14ac:dyDescent="0.25">
      <c r="A496" t="s">
        <v>502</v>
      </c>
      <c r="B496" t="str">
        <f>MID(Table1[[#This Row],[Order_ID]],2,5)</f>
        <v>RD149</v>
      </c>
      <c r="C496" s="1">
        <v>45496</v>
      </c>
      <c r="D496" t="s">
        <v>512</v>
      </c>
      <c r="E496" t="s">
        <v>519</v>
      </c>
      <c r="F496" t="str">
        <f>LOWER(Table1[[#This Row],[City]])</f>
        <v>mumbai</v>
      </c>
      <c r="G496" t="str">
        <f>UPPER(Table1[[#This Row],[City]])</f>
        <v>MUMBAI</v>
      </c>
      <c r="H496" t="str">
        <f>PROPER(Table1[[#This Row],[City]])</f>
        <v>Mumbai</v>
      </c>
      <c r="I496" t="str">
        <f t="shared" si="21"/>
        <v>Trendz _ Mumbai</v>
      </c>
      <c r="J496" t="s">
        <v>525</v>
      </c>
      <c r="K496">
        <f t="shared" si="22"/>
        <v>9</v>
      </c>
      <c r="L496" t="str">
        <f>LEFT(Table1[[#This Row],[Category]],3)</f>
        <v>Gro</v>
      </c>
      <c r="M496">
        <v>14</v>
      </c>
      <c r="N496" s="4" t="str">
        <f t="shared" si="23"/>
        <v>bulk order</v>
      </c>
      <c r="O496">
        <f>SQRT(Table1[[#This Row],[Quantity]])</f>
        <v>3.7416573867739413</v>
      </c>
      <c r="P496">
        <v>1066.1500000000001</v>
      </c>
      <c r="Q496">
        <v>14926.1</v>
      </c>
    </row>
    <row r="497" spans="1:17" x14ac:dyDescent="0.25">
      <c r="A497" t="s">
        <v>503</v>
      </c>
      <c r="B497" t="str">
        <f>MID(Table1[[#This Row],[Order_ID]],2,5)</f>
        <v>RD149</v>
      </c>
      <c r="C497" s="1">
        <v>45639</v>
      </c>
      <c r="D497" t="s">
        <v>510</v>
      </c>
      <c r="E497" t="s">
        <v>517</v>
      </c>
      <c r="F497" t="str">
        <f>LOWER(Table1[[#This Row],[City]])</f>
        <v>hyderabad</v>
      </c>
      <c r="G497" t="str">
        <f>UPPER(Table1[[#This Row],[City]])</f>
        <v>HYDERABAD</v>
      </c>
      <c r="H497" t="str">
        <f>PROPER(Table1[[#This Row],[City]])</f>
        <v>Hyderabad</v>
      </c>
      <c r="I497" t="str">
        <f t="shared" si="21"/>
        <v>QuickBuy _ Hyderabad</v>
      </c>
      <c r="J497" t="s">
        <v>524</v>
      </c>
      <c r="K497">
        <f t="shared" si="22"/>
        <v>4</v>
      </c>
      <c r="L497" t="str">
        <f>LEFT(Table1[[#This Row],[Category]],3)</f>
        <v>Toy</v>
      </c>
      <c r="M497">
        <v>17</v>
      </c>
      <c r="N497" s="4" t="str">
        <f t="shared" si="23"/>
        <v>bulk order</v>
      </c>
      <c r="O497">
        <f>SQRT(Table1[[#This Row],[Quantity]])</f>
        <v>4.1231056256176606</v>
      </c>
      <c r="P497">
        <v>1386.37</v>
      </c>
      <c r="Q497">
        <v>23568.29</v>
      </c>
    </row>
    <row r="498" spans="1:17" x14ac:dyDescent="0.25">
      <c r="A498" t="s">
        <v>504</v>
      </c>
      <c r="B498" t="str">
        <f>MID(Table1[[#This Row],[Order_ID]],2,5)</f>
        <v>RD149</v>
      </c>
      <c r="C498" s="1">
        <v>45566</v>
      </c>
      <c r="D498" t="s">
        <v>511</v>
      </c>
      <c r="E498" t="s">
        <v>513</v>
      </c>
      <c r="F498" t="str">
        <f>LOWER(Table1[[#This Row],[City]])</f>
        <v>bangalore</v>
      </c>
      <c r="G498" t="str">
        <f>UPPER(Table1[[#This Row],[City]])</f>
        <v>BANGALORE</v>
      </c>
      <c r="H498" t="str">
        <f>PROPER(Table1[[#This Row],[City]])</f>
        <v>Bangalore</v>
      </c>
      <c r="I498" t="str">
        <f t="shared" si="21"/>
        <v>MegaMart _ Bangalore</v>
      </c>
      <c r="J498" t="s">
        <v>520</v>
      </c>
      <c r="K498">
        <f t="shared" si="22"/>
        <v>11</v>
      </c>
      <c r="L498" t="str">
        <f>LEFT(Table1[[#This Row],[Category]],3)</f>
        <v>Ele</v>
      </c>
      <c r="M498">
        <v>20</v>
      </c>
      <c r="N498" s="4" t="str">
        <f t="shared" si="23"/>
        <v>bulk order</v>
      </c>
      <c r="O498">
        <f>SQRT(Table1[[#This Row],[Quantity]])</f>
        <v>4.4721359549995796</v>
      </c>
      <c r="P498">
        <v>380.53</v>
      </c>
      <c r="Q498">
        <v>7610.5999999999995</v>
      </c>
    </row>
    <row r="499" spans="1:17" x14ac:dyDescent="0.25">
      <c r="A499" t="s">
        <v>505</v>
      </c>
      <c r="B499" t="str">
        <f>MID(Table1[[#This Row],[Order_ID]],2,5)</f>
        <v>RD149</v>
      </c>
      <c r="C499" s="1">
        <v>45461</v>
      </c>
      <c r="D499" t="s">
        <v>512</v>
      </c>
      <c r="E499" t="s">
        <v>514</v>
      </c>
      <c r="F499" t="str">
        <f>LOWER(Table1[[#This Row],[City]])</f>
        <v>delhi</v>
      </c>
      <c r="G499" t="str">
        <f>UPPER(Table1[[#This Row],[City]])</f>
        <v>DELHI</v>
      </c>
      <c r="H499" t="str">
        <f>PROPER(Table1[[#This Row],[City]])</f>
        <v>Delhi</v>
      </c>
      <c r="I499" t="str">
        <f t="shared" si="21"/>
        <v>Trendz _ Delhi</v>
      </c>
      <c r="J499" t="s">
        <v>522</v>
      </c>
      <c r="K499">
        <f t="shared" si="22"/>
        <v>5</v>
      </c>
      <c r="L499" t="str">
        <f>LEFT(Table1[[#This Row],[Category]],3)</f>
        <v>Boo</v>
      </c>
      <c r="M499">
        <v>16</v>
      </c>
      <c r="N499" s="4" t="str">
        <f t="shared" si="23"/>
        <v>bulk order</v>
      </c>
      <c r="O499">
        <f>SQRT(Table1[[#This Row],[Quantity]])</f>
        <v>4</v>
      </c>
      <c r="P499">
        <v>574.39</v>
      </c>
      <c r="Q499">
        <v>9190.24</v>
      </c>
    </row>
    <row r="500" spans="1:17" x14ac:dyDescent="0.25">
      <c r="A500" t="s">
        <v>506</v>
      </c>
      <c r="B500" t="str">
        <f>MID(Table1[[#This Row],[Order_ID]],2,5)</f>
        <v>RD149</v>
      </c>
      <c r="C500" s="1">
        <v>45306</v>
      </c>
      <c r="D500" t="s">
        <v>511</v>
      </c>
      <c r="E500" t="s">
        <v>519</v>
      </c>
      <c r="F500" t="str">
        <f>LOWER(Table1[[#This Row],[City]])</f>
        <v>mumbai</v>
      </c>
      <c r="G500" t="str">
        <f>UPPER(Table1[[#This Row],[City]])</f>
        <v>MUMBAI</v>
      </c>
      <c r="H500" t="str">
        <f>PROPER(Table1[[#This Row],[City]])</f>
        <v>Mumbai</v>
      </c>
      <c r="I500" t="str">
        <f t="shared" si="21"/>
        <v>MegaMart _ Mumbai</v>
      </c>
      <c r="J500" t="s">
        <v>524</v>
      </c>
      <c r="K500">
        <f t="shared" si="22"/>
        <v>4</v>
      </c>
      <c r="L500" t="str">
        <f>LEFT(Table1[[#This Row],[Category]],3)</f>
        <v>Toy</v>
      </c>
      <c r="M500">
        <v>2</v>
      </c>
      <c r="N500" s="4" t="str">
        <f t="shared" si="23"/>
        <v>normal order</v>
      </c>
      <c r="O500">
        <f>SQRT(Table1[[#This Row],[Quantity]])</f>
        <v>1.4142135623730951</v>
      </c>
      <c r="P500">
        <v>573.39</v>
      </c>
      <c r="Q500">
        <v>1146.78</v>
      </c>
    </row>
    <row r="501" spans="1:17" x14ac:dyDescent="0.25">
      <c r="A501" t="s">
        <v>507</v>
      </c>
      <c r="B501" t="str">
        <f>MID(Table1[[#This Row],[Order_ID]],2,5)</f>
        <v>RD149</v>
      </c>
      <c r="C501" s="1">
        <v>45351</v>
      </c>
      <c r="D501" t="s">
        <v>508</v>
      </c>
      <c r="E501" t="s">
        <v>513</v>
      </c>
      <c r="F501" t="str">
        <f>LOWER(Table1[[#This Row],[City]])</f>
        <v>bangalore</v>
      </c>
      <c r="G501" t="str">
        <f>UPPER(Table1[[#This Row],[City]])</f>
        <v>BANGALORE</v>
      </c>
      <c r="H501" t="str">
        <f>PROPER(Table1[[#This Row],[City]])</f>
        <v>Bangalore</v>
      </c>
      <c r="I501" t="str">
        <f t="shared" si="21"/>
        <v>ValueShop _ Bangalore</v>
      </c>
      <c r="J501" t="s">
        <v>520</v>
      </c>
      <c r="K501">
        <f t="shared" si="22"/>
        <v>11</v>
      </c>
      <c r="L501" t="str">
        <f>LEFT(Table1[[#This Row],[Category]],3)</f>
        <v>Ele</v>
      </c>
      <c r="M501">
        <v>5</v>
      </c>
      <c r="N501" s="4" t="str">
        <f t="shared" si="23"/>
        <v>normal order</v>
      </c>
      <c r="O501">
        <f>SQRT(Table1[[#This Row],[Quantity]])</f>
        <v>2.2360679774997898</v>
      </c>
      <c r="P501">
        <v>334.57</v>
      </c>
      <c r="Q501">
        <v>1672.85</v>
      </c>
    </row>
    <row r="502" spans="1:17" x14ac:dyDescent="0.25">
      <c r="C502" s="1"/>
      <c r="P502" t="s">
        <v>527</v>
      </c>
      <c r="Q502">
        <f>SUM(Q2:Q501)</f>
        <v>5685144.3499999978</v>
      </c>
    </row>
  </sheetData>
  <phoneticPr fontId="3" type="noConversion"/>
  <conditionalFormatting sqref="M11:N11">
    <cfRule type="cellIs" dxfId="1" priority="1" operator="greaterThan">
      <formula>15</formula>
    </cfRule>
  </conditionalFormatting>
  <conditionalFormatting sqref="M2:O501">
    <cfRule type="cellIs" dxfId="0" priority="2" operator="greaterThan">
      <formula>15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2025-09-26T04:35:16Z</dcterms:created>
  <dcterms:modified xsi:type="dcterms:W3CDTF">2025-11-11T21:09:23Z</dcterms:modified>
</cp:coreProperties>
</file>