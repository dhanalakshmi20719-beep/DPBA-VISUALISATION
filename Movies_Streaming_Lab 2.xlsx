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FCF524D1-1CBB-4461-BB98-00332353043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ovie streamin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6" i="1" l="1"/>
  <c r="Z14" i="1"/>
  <c r="Z11" i="1"/>
  <c r="I2" i="1" a="1"/>
  <c r="I2" i="1"/>
  <c r="I3" i="1" a="1"/>
  <c r="I3" i="1"/>
  <c r="I4" i="1" a="1"/>
  <c r="I4" i="1"/>
  <c r="I5" i="1" a="1"/>
  <c r="I5" i="1"/>
  <c r="I6" i="1" a="1"/>
  <c r="I6" i="1"/>
  <c r="I7" i="1" a="1"/>
  <c r="I7" i="1"/>
  <c r="I8" i="1" a="1"/>
  <c r="I8" i="1"/>
  <c r="I9" i="1" a="1"/>
  <c r="I9" i="1"/>
  <c r="I10" i="1" a="1"/>
  <c r="I10" i="1"/>
  <c r="I11" i="1" a="1"/>
  <c r="I11" i="1"/>
  <c r="I12" i="1" a="1"/>
  <c r="I12" i="1"/>
  <c r="I13" i="1" a="1"/>
  <c r="I13" i="1"/>
  <c r="I14" i="1" a="1"/>
  <c r="I14" i="1"/>
  <c r="I15" i="1" a="1"/>
  <c r="I15" i="1"/>
  <c r="I16" i="1" a="1"/>
  <c r="I16" i="1"/>
  <c r="I17" i="1" a="1"/>
  <c r="I17" i="1"/>
  <c r="I18" i="1" a="1"/>
  <c r="I18" i="1"/>
  <c r="I19" i="1" a="1"/>
  <c r="I19" i="1"/>
  <c r="I20" i="1" a="1"/>
  <c r="I20" i="1"/>
  <c r="I21" i="1" a="1"/>
  <c r="I21" i="1"/>
  <c r="I22" i="1" a="1"/>
  <c r="I22" i="1"/>
  <c r="I23" i="1" a="1"/>
  <c r="I23" i="1"/>
  <c r="I24" i="1" a="1"/>
  <c r="I24" i="1"/>
  <c r="I25" i="1" a="1"/>
  <c r="I25" i="1"/>
  <c r="I26" i="1" a="1"/>
  <c r="I26" i="1"/>
  <c r="I27" i="1" a="1"/>
  <c r="I27" i="1"/>
  <c r="I28" i="1" a="1"/>
  <c r="I28" i="1"/>
  <c r="I29" i="1" a="1"/>
  <c r="I29" i="1"/>
  <c r="I30" i="1" a="1"/>
  <c r="I30" i="1"/>
  <c r="I31" i="1" a="1"/>
  <c r="I31" i="1"/>
  <c r="I32" i="1" a="1"/>
  <c r="I32" i="1"/>
  <c r="I33" i="1" a="1"/>
  <c r="I33" i="1"/>
  <c r="I34" i="1" a="1"/>
  <c r="I34" i="1"/>
  <c r="I35" i="1" a="1"/>
  <c r="I35" i="1"/>
  <c r="I36" i="1" a="1"/>
  <c r="I36" i="1"/>
  <c r="I37" i="1" a="1"/>
  <c r="I37" i="1"/>
  <c r="I38" i="1" a="1"/>
  <c r="I38" i="1"/>
  <c r="I39" i="1" a="1"/>
  <c r="I39" i="1"/>
  <c r="I40" i="1" a="1"/>
  <c r="I40" i="1"/>
  <c r="I41" i="1" a="1"/>
  <c r="I41" i="1"/>
  <c r="I42" i="1" a="1"/>
  <c r="I42" i="1"/>
  <c r="I43" i="1" a="1"/>
  <c r="I43" i="1"/>
  <c r="I44" i="1" a="1"/>
  <c r="I44" i="1"/>
  <c r="I45" i="1" a="1"/>
  <c r="I45" i="1"/>
  <c r="I46" i="1" a="1"/>
  <c r="I46" i="1"/>
  <c r="I47" i="1" a="1"/>
  <c r="I47" i="1"/>
  <c r="I48" i="1" a="1"/>
  <c r="I48" i="1"/>
  <c r="I49" i="1" a="1"/>
  <c r="I49" i="1"/>
  <c r="I50" i="1" a="1"/>
  <c r="I50" i="1"/>
  <c r="I51" i="1" a="1"/>
  <c r="I51" i="1"/>
  <c r="I52" i="1" a="1"/>
  <c r="I52" i="1"/>
  <c r="I53" i="1" a="1"/>
  <c r="I53" i="1"/>
  <c r="I54" i="1" a="1"/>
  <c r="I54" i="1"/>
  <c r="I55" i="1" a="1"/>
  <c r="I55" i="1"/>
  <c r="I56" i="1" a="1"/>
  <c r="I56" i="1"/>
  <c r="I57" i="1" a="1"/>
  <c r="I57" i="1"/>
  <c r="I58" i="1" a="1"/>
  <c r="I58" i="1"/>
  <c r="I59" i="1" a="1"/>
  <c r="I59" i="1"/>
  <c r="I60" i="1" a="1"/>
  <c r="I60" i="1"/>
  <c r="I61" i="1" a="1"/>
  <c r="I61" i="1"/>
  <c r="I62" i="1" a="1"/>
  <c r="I62" i="1"/>
  <c r="I63" i="1" a="1"/>
  <c r="I63" i="1"/>
  <c r="I64" i="1" a="1"/>
  <c r="I64" i="1"/>
  <c r="I65" i="1" a="1"/>
  <c r="I65" i="1"/>
  <c r="I66" i="1" a="1"/>
  <c r="I66" i="1"/>
  <c r="I67" i="1" a="1"/>
  <c r="I67" i="1"/>
  <c r="I68" i="1" a="1"/>
  <c r="I68" i="1"/>
  <c r="I69" i="1" a="1"/>
  <c r="I69" i="1"/>
  <c r="I70" i="1" a="1"/>
  <c r="I70" i="1"/>
  <c r="I71" i="1" a="1"/>
  <c r="I71" i="1"/>
  <c r="I72" i="1" a="1"/>
  <c r="I72" i="1"/>
  <c r="I73" i="1" a="1"/>
  <c r="I73" i="1"/>
  <c r="I74" i="1" a="1"/>
  <c r="I74" i="1"/>
  <c r="I75" i="1" a="1"/>
  <c r="I75" i="1"/>
  <c r="I76" i="1" a="1"/>
  <c r="I76" i="1"/>
  <c r="I77" i="1" a="1"/>
  <c r="I77" i="1"/>
  <c r="I78" i="1" a="1"/>
  <c r="I78" i="1"/>
  <c r="I79" i="1" a="1"/>
  <c r="I79" i="1"/>
  <c r="I80" i="1" a="1"/>
  <c r="I80" i="1"/>
  <c r="I81" i="1" a="1"/>
  <c r="I81" i="1"/>
  <c r="I82" i="1" a="1"/>
  <c r="I82" i="1"/>
  <c r="I83" i="1" a="1"/>
  <c r="I83" i="1"/>
  <c r="I84" i="1" a="1"/>
  <c r="I84" i="1"/>
  <c r="I85" i="1" a="1"/>
  <c r="I85" i="1"/>
  <c r="I86" i="1" a="1"/>
  <c r="I86" i="1"/>
  <c r="I87" i="1" a="1"/>
  <c r="I87" i="1"/>
  <c r="I88" i="1" a="1"/>
  <c r="I88" i="1"/>
  <c r="I89" i="1" a="1"/>
  <c r="I89" i="1"/>
  <c r="I90" i="1" a="1"/>
  <c r="I90" i="1"/>
  <c r="I91" i="1" a="1"/>
  <c r="I91" i="1"/>
  <c r="I92" i="1" a="1"/>
  <c r="I92" i="1"/>
  <c r="I93" i="1" a="1"/>
  <c r="I93" i="1"/>
  <c r="I94" i="1" a="1"/>
  <c r="I94" i="1"/>
  <c r="I95" i="1" a="1"/>
  <c r="I95" i="1"/>
  <c r="I96" i="1" a="1"/>
  <c r="I96" i="1"/>
  <c r="I97" i="1" a="1"/>
  <c r="I97" i="1"/>
  <c r="I98" i="1" a="1"/>
  <c r="I98" i="1"/>
  <c r="I99" i="1" a="1"/>
  <c r="I99" i="1"/>
  <c r="I100" i="1" a="1"/>
  <c r="I100" i="1"/>
  <c r="I101" i="1" a="1"/>
  <c r="I101" i="1"/>
  <c r="I102" i="1" a="1"/>
  <c r="I102" i="1"/>
  <c r="I103" i="1" a="1"/>
  <c r="I103" i="1"/>
  <c r="I104" i="1" a="1"/>
  <c r="I104" i="1"/>
  <c r="I105" i="1" a="1"/>
  <c r="I105" i="1"/>
  <c r="I106" i="1" a="1"/>
  <c r="I106" i="1"/>
  <c r="I107" i="1" a="1"/>
  <c r="I107" i="1"/>
  <c r="I108" i="1" a="1"/>
  <c r="I108" i="1"/>
  <c r="I109" i="1" a="1"/>
  <c r="I109" i="1"/>
  <c r="I110" i="1" a="1"/>
  <c r="I110" i="1"/>
  <c r="I111" i="1" a="1"/>
  <c r="I111" i="1"/>
  <c r="I112" i="1" a="1"/>
  <c r="I112" i="1"/>
  <c r="I113" i="1" a="1"/>
  <c r="I113" i="1"/>
  <c r="I114" i="1" a="1"/>
  <c r="I114" i="1"/>
  <c r="I115" i="1" a="1"/>
  <c r="I115" i="1"/>
  <c r="I116" i="1" a="1"/>
  <c r="I116" i="1"/>
  <c r="I117" i="1" a="1"/>
  <c r="I117" i="1"/>
  <c r="I118" i="1" a="1"/>
  <c r="I118" i="1"/>
  <c r="I119" i="1" a="1"/>
  <c r="I119" i="1"/>
  <c r="I120" i="1" a="1"/>
  <c r="I120" i="1"/>
  <c r="I121" i="1" a="1"/>
  <c r="I121" i="1"/>
  <c r="I122" i="1" a="1"/>
  <c r="I122" i="1"/>
  <c r="I123" i="1" a="1"/>
  <c r="I123" i="1"/>
  <c r="I124" i="1" a="1"/>
  <c r="I124" i="1"/>
  <c r="I125" i="1" a="1"/>
  <c r="I125" i="1"/>
  <c r="I126" i="1" a="1"/>
  <c r="I126" i="1"/>
  <c r="I127" i="1" a="1"/>
  <c r="I127" i="1"/>
  <c r="I128" i="1" a="1"/>
  <c r="I128" i="1"/>
  <c r="I129" i="1" a="1"/>
  <c r="I129" i="1"/>
  <c r="I130" i="1" a="1"/>
  <c r="I130" i="1"/>
  <c r="I131" i="1" a="1"/>
  <c r="I131" i="1"/>
  <c r="I132" i="1" a="1"/>
  <c r="I132" i="1"/>
  <c r="I133" i="1" a="1"/>
  <c r="I133" i="1"/>
  <c r="I134" i="1" a="1"/>
  <c r="I134" i="1"/>
  <c r="I135" i="1" a="1"/>
  <c r="I135" i="1"/>
  <c r="I136" i="1" a="1"/>
  <c r="I136" i="1"/>
  <c r="I137" i="1" a="1"/>
  <c r="I137" i="1"/>
  <c r="I138" i="1" a="1"/>
  <c r="I138" i="1"/>
  <c r="I139" i="1" a="1"/>
  <c r="I139" i="1"/>
  <c r="I140" i="1" a="1"/>
  <c r="I140" i="1"/>
  <c r="I141" i="1" a="1"/>
  <c r="I141" i="1"/>
  <c r="I142" i="1" a="1"/>
  <c r="I142" i="1"/>
  <c r="I143" i="1" a="1"/>
  <c r="I143" i="1"/>
  <c r="I144" i="1" a="1"/>
  <c r="I144" i="1"/>
  <c r="I145" i="1" a="1"/>
  <c r="I145" i="1"/>
  <c r="I146" i="1" a="1"/>
  <c r="I146" i="1"/>
  <c r="I147" i="1" a="1"/>
  <c r="I147" i="1"/>
  <c r="I148" i="1" a="1"/>
  <c r="I148" i="1"/>
  <c r="I149" i="1" a="1"/>
  <c r="I149" i="1"/>
  <c r="I150" i="1" a="1"/>
  <c r="I150" i="1"/>
  <c r="I151" i="1" a="1"/>
  <c r="I151" i="1"/>
  <c r="I152" i="1" a="1"/>
  <c r="I152" i="1"/>
  <c r="I153" i="1" a="1"/>
  <c r="I153" i="1"/>
  <c r="I154" i="1" a="1"/>
  <c r="I154" i="1"/>
  <c r="I155" i="1" a="1"/>
  <c r="I155" i="1"/>
  <c r="I156" i="1" a="1"/>
  <c r="I156" i="1"/>
  <c r="I157" i="1" a="1"/>
  <c r="I157" i="1"/>
  <c r="I158" i="1" a="1"/>
  <c r="I158" i="1"/>
  <c r="I159" i="1" a="1"/>
  <c r="I159" i="1"/>
  <c r="I160" i="1" a="1"/>
  <c r="I160" i="1"/>
  <c r="I161" i="1" a="1"/>
  <c r="I161" i="1"/>
  <c r="I162" i="1" a="1"/>
  <c r="I162" i="1"/>
  <c r="I163" i="1" a="1"/>
  <c r="I163" i="1"/>
  <c r="I164" i="1" a="1"/>
  <c r="I164" i="1"/>
  <c r="I165" i="1" a="1"/>
  <c r="I165" i="1"/>
  <c r="I166" i="1" a="1"/>
  <c r="I166" i="1"/>
  <c r="I167" i="1" a="1"/>
  <c r="I167" i="1"/>
  <c r="I168" i="1" a="1"/>
  <c r="I168" i="1"/>
  <c r="I169" i="1" a="1"/>
  <c r="I169" i="1"/>
  <c r="I170" i="1" a="1"/>
  <c r="I170" i="1"/>
  <c r="I171" i="1" a="1"/>
  <c r="I171" i="1"/>
  <c r="I172" i="1" a="1"/>
  <c r="I172" i="1"/>
  <c r="I173" i="1" a="1"/>
  <c r="I173" i="1"/>
  <c r="I174" i="1" a="1"/>
  <c r="I174" i="1"/>
  <c r="I175" i="1" a="1"/>
  <c r="I175" i="1"/>
  <c r="I176" i="1" a="1"/>
  <c r="I176" i="1"/>
  <c r="I177" i="1" a="1"/>
  <c r="I177" i="1"/>
  <c r="I178" i="1" a="1"/>
  <c r="I178" i="1"/>
  <c r="I179" i="1" a="1"/>
  <c r="I179" i="1"/>
  <c r="I180" i="1" a="1"/>
  <c r="I180" i="1"/>
  <c r="I181" i="1" a="1"/>
  <c r="I181" i="1"/>
  <c r="I182" i="1" a="1"/>
  <c r="I182" i="1"/>
  <c r="I183" i="1" a="1"/>
  <c r="I183" i="1"/>
  <c r="I184" i="1" a="1"/>
  <c r="I184" i="1"/>
  <c r="I185" i="1" a="1"/>
  <c r="I185" i="1"/>
  <c r="I186" i="1" a="1"/>
  <c r="I186" i="1"/>
  <c r="I187" i="1" a="1"/>
  <c r="I187" i="1"/>
  <c r="I188" i="1" a="1"/>
  <c r="I188" i="1"/>
  <c r="I189" i="1" a="1"/>
  <c r="I189" i="1"/>
  <c r="I190" i="1" a="1"/>
  <c r="I190" i="1"/>
  <c r="I191" i="1" a="1"/>
  <c r="I191" i="1"/>
  <c r="I192" i="1" a="1"/>
  <c r="I192" i="1"/>
  <c r="I193" i="1" a="1"/>
  <c r="I193" i="1"/>
  <c r="I194" i="1" a="1"/>
  <c r="I194" i="1"/>
  <c r="I195" i="1" a="1"/>
  <c r="I195" i="1"/>
  <c r="I196" i="1" a="1"/>
  <c r="I196" i="1"/>
  <c r="I197" i="1" a="1"/>
  <c r="I197" i="1"/>
  <c r="I198" i="1" a="1"/>
  <c r="I198" i="1"/>
  <c r="I199" i="1" a="1"/>
  <c r="I199" i="1"/>
  <c r="I200" i="1" a="1"/>
  <c r="I200" i="1"/>
  <c r="I201" i="1" a="1"/>
  <c r="I201" i="1"/>
  <c r="I202" i="1" a="1"/>
  <c r="I202" i="1"/>
  <c r="I203" i="1" a="1"/>
  <c r="I203" i="1"/>
  <c r="I204" i="1" a="1"/>
  <c r="I204" i="1"/>
  <c r="I205" i="1" a="1"/>
  <c r="I205" i="1"/>
  <c r="I206" i="1" a="1"/>
  <c r="I206" i="1"/>
  <c r="I207" i="1" a="1"/>
  <c r="I207" i="1"/>
  <c r="I208" i="1" a="1"/>
  <c r="I208" i="1"/>
  <c r="I209" i="1" a="1"/>
  <c r="I209" i="1"/>
  <c r="I210" i="1" a="1"/>
  <c r="I210" i="1"/>
  <c r="I211" i="1" a="1"/>
  <c r="I211" i="1"/>
  <c r="I212" i="1" a="1"/>
  <c r="I212" i="1"/>
  <c r="I213" i="1" a="1"/>
  <c r="I213" i="1"/>
  <c r="I214" i="1" a="1"/>
  <c r="I214" i="1"/>
  <c r="I215" i="1" a="1"/>
  <c r="I215" i="1"/>
  <c r="I216" i="1" a="1"/>
  <c r="I216" i="1"/>
  <c r="I217" i="1" a="1"/>
  <c r="I217" i="1"/>
  <c r="I218" i="1" a="1"/>
  <c r="I218" i="1"/>
  <c r="I219" i="1" a="1"/>
  <c r="I219" i="1"/>
  <c r="I220" i="1" a="1"/>
  <c r="I220" i="1"/>
  <c r="I221" i="1" a="1"/>
  <c r="I221" i="1"/>
  <c r="I222" i="1" a="1"/>
  <c r="I222" i="1"/>
  <c r="I223" i="1" a="1"/>
  <c r="I223" i="1"/>
  <c r="I224" i="1" a="1"/>
  <c r="I224" i="1"/>
  <c r="I225" i="1" a="1"/>
  <c r="I225" i="1"/>
  <c r="I226" i="1" a="1"/>
  <c r="I226" i="1"/>
  <c r="I227" i="1" a="1"/>
  <c r="I227" i="1"/>
  <c r="I228" i="1" a="1"/>
  <c r="I228" i="1"/>
  <c r="I229" i="1" a="1"/>
  <c r="I229" i="1"/>
  <c r="I230" i="1" a="1"/>
  <c r="I230" i="1"/>
  <c r="I231" i="1" a="1"/>
  <c r="I231" i="1"/>
  <c r="I232" i="1" a="1"/>
  <c r="I232" i="1"/>
  <c r="I233" i="1" a="1"/>
  <c r="I233" i="1"/>
  <c r="I234" i="1" a="1"/>
  <c r="I234" i="1"/>
  <c r="I235" i="1" a="1"/>
  <c r="I235" i="1"/>
  <c r="I236" i="1" a="1"/>
  <c r="I236" i="1"/>
  <c r="I237" i="1" a="1"/>
  <c r="I237" i="1"/>
  <c r="I238" i="1" a="1"/>
  <c r="I238" i="1"/>
  <c r="I239" i="1" a="1"/>
  <c r="I239" i="1"/>
  <c r="I240" i="1" a="1"/>
  <c r="I240" i="1"/>
  <c r="I241" i="1" a="1"/>
  <c r="I241" i="1"/>
  <c r="I242" i="1" a="1"/>
  <c r="I242" i="1"/>
  <c r="I243" i="1" a="1"/>
  <c r="I243" i="1"/>
  <c r="I244" i="1" a="1"/>
  <c r="I244" i="1"/>
  <c r="I245" i="1" a="1"/>
  <c r="I245" i="1"/>
  <c r="I246" i="1" a="1"/>
  <c r="I246" i="1"/>
  <c r="I247" i="1" a="1"/>
  <c r="I247" i="1"/>
  <c r="I248" i="1" a="1"/>
  <c r="I248" i="1"/>
  <c r="I249" i="1" a="1"/>
  <c r="I249" i="1"/>
  <c r="I250" i="1" a="1"/>
  <c r="I250" i="1"/>
  <c r="I251" i="1" a="1"/>
  <c r="I251" i="1"/>
  <c r="I252" i="1" a="1"/>
  <c r="I252" i="1"/>
  <c r="I253" i="1" a="1"/>
  <c r="I253" i="1"/>
  <c r="I254" i="1" a="1"/>
  <c r="I254" i="1"/>
  <c r="I255" i="1" a="1"/>
  <c r="I255" i="1"/>
  <c r="I256" i="1" a="1"/>
  <c r="I256" i="1"/>
  <c r="I257" i="1" a="1"/>
  <c r="I257" i="1"/>
  <c r="I258" i="1" a="1"/>
  <c r="I258" i="1"/>
  <c r="I259" i="1" a="1"/>
  <c r="I259" i="1"/>
  <c r="I260" i="1" a="1"/>
  <c r="I260" i="1"/>
  <c r="I261" i="1" a="1"/>
  <c r="I261" i="1"/>
  <c r="I262" i="1" a="1"/>
  <c r="I262" i="1"/>
  <c r="I263" i="1" a="1"/>
  <c r="I263" i="1"/>
  <c r="I264" i="1" a="1"/>
  <c r="I264" i="1"/>
  <c r="I265" i="1" a="1"/>
  <c r="I265" i="1"/>
  <c r="I266" i="1" a="1"/>
  <c r="I266" i="1"/>
  <c r="I267" i="1" a="1"/>
  <c r="I267" i="1"/>
  <c r="I268" i="1" a="1"/>
  <c r="I268" i="1"/>
  <c r="I269" i="1" a="1"/>
  <c r="I269" i="1"/>
  <c r="I270" i="1" a="1"/>
  <c r="I270" i="1"/>
  <c r="I271" i="1" a="1"/>
  <c r="I271" i="1"/>
  <c r="I272" i="1" a="1"/>
  <c r="I272" i="1"/>
  <c r="I273" i="1" a="1"/>
  <c r="I273" i="1"/>
  <c r="I274" i="1" a="1"/>
  <c r="I274" i="1"/>
  <c r="I275" i="1" a="1"/>
  <c r="I275" i="1"/>
  <c r="I276" i="1" a="1"/>
  <c r="I276" i="1"/>
  <c r="I277" i="1" a="1"/>
  <c r="I277" i="1"/>
  <c r="I278" i="1" a="1"/>
  <c r="I278" i="1"/>
  <c r="I279" i="1" a="1"/>
  <c r="I279" i="1"/>
  <c r="I280" i="1" a="1"/>
  <c r="I280" i="1"/>
  <c r="I281" i="1" a="1"/>
  <c r="I281" i="1"/>
  <c r="I282" i="1" a="1"/>
  <c r="I282" i="1"/>
  <c r="I283" i="1" a="1"/>
  <c r="I283" i="1"/>
  <c r="I284" i="1" a="1"/>
  <c r="I284" i="1"/>
  <c r="I285" i="1" a="1"/>
  <c r="I285" i="1"/>
  <c r="I286" i="1" a="1"/>
  <c r="I286" i="1"/>
  <c r="I287" i="1" a="1"/>
  <c r="I287" i="1"/>
  <c r="I288" i="1" a="1"/>
  <c r="I288" i="1"/>
  <c r="I289" i="1" a="1"/>
  <c r="I289" i="1"/>
  <c r="I290" i="1" a="1"/>
  <c r="I290" i="1"/>
  <c r="I291" i="1" a="1"/>
  <c r="I291" i="1"/>
  <c r="I292" i="1" a="1"/>
  <c r="I292" i="1"/>
  <c r="I293" i="1" a="1"/>
  <c r="I293" i="1"/>
  <c r="I294" i="1" a="1"/>
  <c r="I294" i="1"/>
  <c r="I295" i="1" a="1"/>
  <c r="I295" i="1"/>
  <c r="I296" i="1" a="1"/>
  <c r="I296" i="1"/>
  <c r="I297" i="1" a="1"/>
  <c r="I297" i="1"/>
  <c r="I298" i="1" a="1"/>
  <c r="I298" i="1"/>
  <c r="I299" i="1" a="1"/>
  <c r="I299" i="1"/>
  <c r="I300" i="1" a="1"/>
  <c r="I300" i="1"/>
  <c r="I301" i="1" a="1"/>
  <c r="I301" i="1"/>
  <c r="I302" i="1" a="1"/>
  <c r="I302" i="1"/>
  <c r="I303" i="1" a="1"/>
  <c r="I303" i="1"/>
  <c r="I304" i="1" a="1"/>
  <c r="I304" i="1"/>
  <c r="I305" i="1" a="1"/>
  <c r="I305" i="1"/>
  <c r="I306" i="1" a="1"/>
  <c r="I306" i="1"/>
  <c r="I307" i="1" a="1"/>
  <c r="I307" i="1"/>
  <c r="I308" i="1" a="1"/>
  <c r="I308" i="1"/>
  <c r="I309" i="1" a="1"/>
  <c r="I309" i="1"/>
  <c r="I310" i="1" a="1"/>
  <c r="I310" i="1"/>
  <c r="I311" i="1" a="1"/>
  <c r="I311" i="1"/>
  <c r="I312" i="1" a="1"/>
  <c r="I312" i="1"/>
  <c r="I313" i="1" a="1"/>
  <c r="I313" i="1"/>
  <c r="I314" i="1" a="1"/>
  <c r="I314" i="1"/>
  <c r="I315" i="1" a="1"/>
  <c r="I315" i="1"/>
  <c r="I316" i="1" a="1"/>
  <c r="I316" i="1"/>
  <c r="I317" i="1" a="1"/>
  <c r="I317" i="1"/>
  <c r="I318" i="1" a="1"/>
  <c r="I318" i="1"/>
  <c r="I319" i="1" a="1"/>
  <c r="I319" i="1"/>
  <c r="I320" i="1" a="1"/>
  <c r="I320" i="1"/>
  <c r="I321" i="1" a="1"/>
  <c r="I321" i="1"/>
  <c r="I322" i="1" a="1"/>
  <c r="I322" i="1"/>
  <c r="I323" i="1" a="1"/>
  <c r="I323" i="1"/>
  <c r="I324" i="1" a="1"/>
  <c r="I324" i="1"/>
  <c r="I325" i="1" a="1"/>
  <c r="I325" i="1"/>
  <c r="I326" i="1" a="1"/>
  <c r="I326" i="1"/>
  <c r="I327" i="1" a="1"/>
  <c r="I327" i="1"/>
  <c r="I328" i="1" a="1"/>
  <c r="I328" i="1"/>
  <c r="I329" i="1" a="1"/>
  <c r="I329" i="1"/>
  <c r="I330" i="1" a="1"/>
  <c r="I330" i="1"/>
  <c r="I331" i="1" a="1"/>
  <c r="I331" i="1"/>
  <c r="I332" i="1" a="1"/>
  <c r="I332" i="1"/>
  <c r="I333" i="1" a="1"/>
  <c r="I333" i="1"/>
  <c r="I334" i="1" a="1"/>
  <c r="I334" i="1"/>
  <c r="I335" i="1" a="1"/>
  <c r="I335" i="1"/>
  <c r="I336" i="1" a="1"/>
  <c r="I336" i="1"/>
  <c r="I337" i="1" a="1"/>
  <c r="I337" i="1"/>
  <c r="I338" i="1" a="1"/>
  <c r="I338" i="1"/>
  <c r="I339" i="1" a="1"/>
  <c r="I339" i="1"/>
  <c r="I340" i="1" a="1"/>
  <c r="I340" i="1"/>
  <c r="I341" i="1" a="1"/>
  <c r="I341" i="1"/>
  <c r="I342" i="1" a="1"/>
  <c r="I342" i="1"/>
  <c r="I343" i="1" a="1"/>
  <c r="I343" i="1"/>
  <c r="I344" i="1" a="1"/>
  <c r="I344" i="1"/>
  <c r="I345" i="1" a="1"/>
  <c r="I345" i="1"/>
  <c r="I346" i="1" a="1"/>
  <c r="I346" i="1"/>
  <c r="I347" i="1" a="1"/>
  <c r="I347" i="1"/>
  <c r="I348" i="1" a="1"/>
  <c r="I348" i="1"/>
  <c r="I349" i="1" a="1"/>
  <c r="I349" i="1"/>
  <c r="I350" i="1" a="1"/>
  <c r="I350" i="1"/>
  <c r="I351" i="1" a="1"/>
  <c r="I351" i="1"/>
  <c r="I352" i="1" a="1"/>
  <c r="I352" i="1"/>
  <c r="I353" i="1" a="1"/>
  <c r="I353" i="1"/>
  <c r="I354" i="1" a="1"/>
  <c r="I354" i="1"/>
  <c r="I355" i="1" a="1"/>
  <c r="I355" i="1"/>
  <c r="I356" i="1" a="1"/>
  <c r="I356" i="1"/>
  <c r="I357" i="1" a="1"/>
  <c r="I357" i="1"/>
  <c r="I358" i="1" a="1"/>
  <c r="I358" i="1"/>
  <c r="I359" i="1" a="1"/>
  <c r="I359" i="1"/>
  <c r="I360" i="1" a="1"/>
  <c r="I360" i="1"/>
  <c r="I361" i="1" a="1"/>
  <c r="I361" i="1"/>
  <c r="I362" i="1" a="1"/>
  <c r="I362" i="1"/>
  <c r="I363" i="1" a="1"/>
  <c r="I363" i="1"/>
  <c r="I364" i="1" a="1"/>
  <c r="I364" i="1"/>
  <c r="I365" i="1" a="1"/>
  <c r="I365" i="1"/>
  <c r="I366" i="1" a="1"/>
  <c r="I366" i="1"/>
  <c r="I367" i="1" a="1"/>
  <c r="I367" i="1"/>
  <c r="I368" i="1" a="1"/>
  <c r="I368" i="1"/>
  <c r="I369" i="1" a="1"/>
  <c r="I369" i="1"/>
  <c r="I370" i="1" a="1"/>
  <c r="I370" i="1"/>
  <c r="I371" i="1" a="1"/>
  <c r="I371" i="1"/>
  <c r="I372" i="1" a="1"/>
  <c r="I372" i="1"/>
  <c r="I373" i="1" a="1"/>
  <c r="I373" i="1"/>
  <c r="I374" i="1" a="1"/>
  <c r="I374" i="1"/>
  <c r="I375" i="1" a="1"/>
  <c r="I375" i="1"/>
  <c r="I376" i="1" a="1"/>
  <c r="I376" i="1"/>
  <c r="I377" i="1" a="1"/>
  <c r="I377" i="1"/>
  <c r="I378" i="1" a="1"/>
  <c r="I378" i="1"/>
  <c r="I379" i="1" a="1"/>
  <c r="I379" i="1"/>
  <c r="I380" i="1" a="1"/>
  <c r="I380" i="1"/>
  <c r="I381" i="1" a="1"/>
  <c r="I381" i="1"/>
  <c r="I382" i="1" a="1"/>
  <c r="I382" i="1"/>
  <c r="I383" i="1" a="1"/>
  <c r="I383" i="1"/>
  <c r="I384" i="1" a="1"/>
  <c r="I384" i="1"/>
  <c r="I385" i="1" a="1"/>
  <c r="I385" i="1"/>
  <c r="I386" i="1" a="1"/>
  <c r="I386" i="1"/>
  <c r="I387" i="1" a="1"/>
  <c r="I387" i="1"/>
  <c r="I388" i="1" a="1"/>
  <c r="I388" i="1"/>
  <c r="I389" i="1" a="1"/>
  <c r="I389" i="1"/>
  <c r="I390" i="1" a="1"/>
  <c r="I390" i="1"/>
  <c r="I391" i="1" a="1"/>
  <c r="I391" i="1"/>
  <c r="I392" i="1" a="1"/>
  <c r="I392" i="1"/>
  <c r="I393" i="1" a="1"/>
  <c r="I393" i="1"/>
  <c r="I394" i="1" a="1"/>
  <c r="I394" i="1"/>
  <c r="I395" i="1" a="1"/>
  <c r="I395" i="1"/>
  <c r="I396" i="1" a="1"/>
  <c r="I396" i="1"/>
  <c r="I397" i="1" a="1"/>
  <c r="I397" i="1"/>
  <c r="I398" i="1" a="1"/>
  <c r="I398" i="1"/>
  <c r="I399" i="1" a="1"/>
  <c r="I399" i="1"/>
  <c r="I400" i="1" a="1"/>
  <c r="I400" i="1"/>
  <c r="I401" i="1" a="1"/>
  <c r="I401" i="1"/>
  <c r="I402" i="1" a="1"/>
  <c r="I402" i="1"/>
  <c r="I403" i="1" a="1"/>
  <c r="I403" i="1"/>
  <c r="I404" i="1" a="1"/>
  <c r="I404" i="1"/>
  <c r="I405" i="1" a="1"/>
  <c r="I405" i="1"/>
  <c r="I406" i="1" a="1"/>
  <c r="I406" i="1"/>
  <c r="I407" i="1" a="1"/>
  <c r="I407" i="1"/>
  <c r="I408" i="1" a="1"/>
  <c r="I408" i="1"/>
  <c r="I409" i="1" a="1"/>
  <c r="I409" i="1"/>
  <c r="I410" i="1" a="1"/>
  <c r="I410" i="1"/>
  <c r="I411" i="1" a="1"/>
  <c r="I411" i="1"/>
  <c r="I412" i="1" a="1"/>
  <c r="I412" i="1"/>
  <c r="I413" i="1" a="1"/>
  <c r="I413" i="1"/>
  <c r="I414" i="1" a="1"/>
  <c r="I414" i="1"/>
  <c r="I415" i="1" a="1"/>
  <c r="I415" i="1"/>
  <c r="I416" i="1" a="1"/>
  <c r="I416" i="1"/>
  <c r="I417" i="1" a="1"/>
  <c r="I417" i="1"/>
  <c r="I418" i="1" a="1"/>
  <c r="I418" i="1"/>
  <c r="I419" i="1" a="1"/>
  <c r="I419" i="1"/>
  <c r="I420" i="1" a="1"/>
  <c r="I420" i="1"/>
  <c r="I421" i="1" a="1"/>
  <c r="I421" i="1"/>
  <c r="I422" i="1" a="1"/>
  <c r="I422" i="1"/>
  <c r="I423" i="1" a="1"/>
  <c r="I423" i="1"/>
  <c r="I424" i="1" a="1"/>
  <c r="I424" i="1"/>
  <c r="I425" i="1" a="1"/>
  <c r="I425" i="1"/>
  <c r="I426" i="1" a="1"/>
  <c r="I426" i="1"/>
  <c r="I427" i="1" a="1"/>
  <c r="I427" i="1"/>
  <c r="I428" i="1" a="1"/>
  <c r="I428" i="1"/>
  <c r="I429" i="1" a="1"/>
  <c r="I429" i="1"/>
  <c r="I430" i="1" a="1"/>
  <c r="I430" i="1"/>
  <c r="I431" i="1" a="1"/>
  <c r="I431" i="1"/>
  <c r="I432" i="1" a="1"/>
  <c r="I432" i="1"/>
  <c r="I433" i="1" a="1"/>
  <c r="I433" i="1"/>
  <c r="I434" i="1" a="1"/>
  <c r="I434" i="1"/>
  <c r="I435" i="1" a="1"/>
  <c r="I435" i="1"/>
  <c r="I436" i="1" a="1"/>
  <c r="I436" i="1"/>
  <c r="I437" i="1" a="1"/>
  <c r="I437" i="1"/>
  <c r="I438" i="1" a="1"/>
  <c r="I438" i="1"/>
  <c r="I439" i="1" a="1"/>
  <c r="I439" i="1"/>
  <c r="I440" i="1" a="1"/>
  <c r="I440" i="1"/>
  <c r="I441" i="1" a="1"/>
  <c r="I441" i="1"/>
  <c r="I442" i="1" a="1"/>
  <c r="I442" i="1"/>
  <c r="I443" i="1" a="1"/>
  <c r="I443" i="1"/>
  <c r="I444" i="1" a="1"/>
  <c r="I444" i="1"/>
  <c r="I445" i="1" a="1"/>
  <c r="I445" i="1"/>
  <c r="I446" i="1" a="1"/>
  <c r="I446" i="1"/>
  <c r="I447" i="1" a="1"/>
  <c r="I447" i="1"/>
  <c r="I448" i="1" a="1"/>
  <c r="I448" i="1"/>
  <c r="I449" i="1" a="1"/>
  <c r="I449" i="1"/>
  <c r="I450" i="1" a="1"/>
  <c r="I450" i="1"/>
  <c r="I451" i="1" a="1"/>
  <c r="I451" i="1"/>
  <c r="I452" i="1" a="1"/>
  <c r="I452" i="1"/>
  <c r="I453" i="1" a="1"/>
  <c r="I453" i="1"/>
  <c r="I454" i="1" a="1"/>
  <c r="I454" i="1"/>
  <c r="I455" i="1" a="1"/>
  <c r="I455" i="1"/>
  <c r="I456" i="1" a="1"/>
  <c r="I456" i="1"/>
  <c r="I457" i="1" a="1"/>
  <c r="I457" i="1"/>
  <c r="I458" i="1" a="1"/>
  <c r="I458" i="1"/>
  <c r="I459" i="1" a="1"/>
  <c r="I459" i="1"/>
  <c r="I460" i="1" a="1"/>
  <c r="I460" i="1"/>
  <c r="I461" i="1" a="1"/>
  <c r="I461" i="1"/>
  <c r="I462" i="1" a="1"/>
  <c r="I462" i="1"/>
  <c r="I463" i="1" a="1"/>
  <c r="I463" i="1"/>
  <c r="I464" i="1" a="1"/>
  <c r="I464" i="1"/>
  <c r="I465" i="1" a="1"/>
  <c r="I465" i="1"/>
  <c r="I466" i="1" a="1"/>
  <c r="I466" i="1"/>
  <c r="I467" i="1" a="1"/>
  <c r="I467" i="1"/>
  <c r="I468" i="1" a="1"/>
  <c r="I468" i="1"/>
  <c r="I469" i="1" a="1"/>
  <c r="I469" i="1"/>
  <c r="I470" i="1" a="1"/>
  <c r="I470" i="1"/>
  <c r="I471" i="1" a="1"/>
  <c r="I471" i="1"/>
  <c r="I472" i="1" a="1"/>
  <c r="I472" i="1"/>
  <c r="I473" i="1" a="1"/>
  <c r="I473" i="1"/>
  <c r="I474" i="1" a="1"/>
  <c r="I474" i="1"/>
  <c r="I475" i="1" a="1"/>
  <c r="I475" i="1"/>
  <c r="I476" i="1" a="1"/>
  <c r="I476" i="1"/>
  <c r="I477" i="1" a="1"/>
  <c r="I477" i="1"/>
  <c r="I478" i="1" a="1"/>
  <c r="I478" i="1"/>
  <c r="I479" i="1" a="1"/>
  <c r="I479" i="1"/>
  <c r="I480" i="1" a="1"/>
  <c r="I480" i="1"/>
  <c r="I481" i="1" a="1"/>
  <c r="I481" i="1"/>
  <c r="I482" i="1" a="1"/>
  <c r="I482" i="1"/>
  <c r="I483" i="1" a="1"/>
  <c r="I483" i="1"/>
  <c r="I484" i="1" a="1"/>
  <c r="I484" i="1"/>
  <c r="I485" i="1" a="1"/>
  <c r="I485" i="1"/>
  <c r="I486" i="1" a="1"/>
  <c r="I486" i="1"/>
  <c r="I487" i="1" a="1"/>
  <c r="I487" i="1"/>
  <c r="I488" i="1" a="1"/>
  <c r="I488" i="1"/>
  <c r="I489" i="1" a="1"/>
  <c r="I489" i="1"/>
  <c r="I490" i="1" a="1"/>
  <c r="I490" i="1"/>
  <c r="I491" i="1" a="1"/>
  <c r="I491" i="1"/>
  <c r="I492" i="1" a="1"/>
  <c r="I492" i="1"/>
  <c r="I493" i="1" a="1"/>
  <c r="I493" i="1"/>
  <c r="I494" i="1" a="1"/>
  <c r="I494" i="1"/>
  <c r="I495" i="1" a="1"/>
  <c r="I495" i="1"/>
  <c r="I496" i="1" a="1"/>
  <c r="I496" i="1"/>
  <c r="I497" i="1" a="1"/>
  <c r="I497" i="1"/>
  <c r="I498" i="1" a="1"/>
  <c r="I498" i="1"/>
  <c r="I499" i="1" a="1"/>
  <c r="I499" i="1"/>
  <c r="I500" i="1" a="1"/>
  <c r="I500" i="1"/>
  <c r="I501" i="1" a="1"/>
  <c r="I501" i="1"/>
  <c r="P2" i="1"/>
  <c r="Z7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2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T7" i="1"/>
  <c r="T5" i="1"/>
  <c r="T2" i="1"/>
  <c r="S3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P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<sst xmlns="http://schemas.openxmlformats.org/spreadsheetml/2006/main" count="2529" uniqueCount="1043">
  <si>
    <t>MovieID</t>
  </si>
  <si>
    <t>Title</t>
  </si>
  <si>
    <t>Genre</t>
  </si>
  <si>
    <t>Duration_Minutes</t>
  </si>
  <si>
    <t>Rating</t>
  </si>
  <si>
    <t>Language</t>
  </si>
  <si>
    <t>Available</t>
  </si>
  <si>
    <t>LastWatchedDate</t>
  </si>
  <si>
    <t>M1000</t>
  </si>
  <si>
    <t>M1001</t>
  </si>
  <si>
    <t>M1002</t>
  </si>
  <si>
    <t>M1003</t>
  </si>
  <si>
    <t>M1004</t>
  </si>
  <si>
    <t>M1005</t>
  </si>
  <si>
    <t>M1006</t>
  </si>
  <si>
    <t>M1007</t>
  </si>
  <si>
    <t>M1008</t>
  </si>
  <si>
    <t>M1009</t>
  </si>
  <si>
    <t>M1010</t>
  </si>
  <si>
    <t>M1011</t>
  </si>
  <si>
    <t>M1012</t>
  </si>
  <si>
    <t>M1013</t>
  </si>
  <si>
    <t>M1014</t>
  </si>
  <si>
    <t>M1015</t>
  </si>
  <si>
    <t>M1016</t>
  </si>
  <si>
    <t>M1017</t>
  </si>
  <si>
    <t>M1018</t>
  </si>
  <si>
    <t>M1019</t>
  </si>
  <si>
    <t>M1020</t>
  </si>
  <si>
    <t>M1021</t>
  </si>
  <si>
    <t>M1022</t>
  </si>
  <si>
    <t>M1023</t>
  </si>
  <si>
    <t>M1024</t>
  </si>
  <si>
    <t>M1025</t>
  </si>
  <si>
    <t>M1026</t>
  </si>
  <si>
    <t>M1027</t>
  </si>
  <si>
    <t>M1028</t>
  </si>
  <si>
    <t>M1029</t>
  </si>
  <si>
    <t>M1030</t>
  </si>
  <si>
    <t>M1031</t>
  </si>
  <si>
    <t>M1032</t>
  </si>
  <si>
    <t>M1033</t>
  </si>
  <si>
    <t>M1034</t>
  </si>
  <si>
    <t>M1035</t>
  </si>
  <si>
    <t>M1036</t>
  </si>
  <si>
    <t>M1037</t>
  </si>
  <si>
    <t>M1038</t>
  </si>
  <si>
    <t>M1039</t>
  </si>
  <si>
    <t>M1040</t>
  </si>
  <si>
    <t>M1041</t>
  </si>
  <si>
    <t>M1042</t>
  </si>
  <si>
    <t>M1043</t>
  </si>
  <si>
    <t>M1044</t>
  </si>
  <si>
    <t>M1045</t>
  </si>
  <si>
    <t>M1046</t>
  </si>
  <si>
    <t>M1047</t>
  </si>
  <si>
    <t>M1048</t>
  </si>
  <si>
    <t>M1049</t>
  </si>
  <si>
    <t>M1050</t>
  </si>
  <si>
    <t>M1051</t>
  </si>
  <si>
    <t>M1052</t>
  </si>
  <si>
    <t>M1053</t>
  </si>
  <si>
    <t>M1054</t>
  </si>
  <si>
    <t>M1055</t>
  </si>
  <si>
    <t>M1056</t>
  </si>
  <si>
    <t>M1057</t>
  </si>
  <si>
    <t>M1058</t>
  </si>
  <si>
    <t>M1059</t>
  </si>
  <si>
    <t>M1060</t>
  </si>
  <si>
    <t>M1061</t>
  </si>
  <si>
    <t>M1062</t>
  </si>
  <si>
    <t>M1063</t>
  </si>
  <si>
    <t>M1064</t>
  </si>
  <si>
    <t>M1065</t>
  </si>
  <si>
    <t>M1066</t>
  </si>
  <si>
    <t>M1067</t>
  </si>
  <si>
    <t>M1068</t>
  </si>
  <si>
    <t>M1069</t>
  </si>
  <si>
    <t>M1070</t>
  </si>
  <si>
    <t>M1071</t>
  </si>
  <si>
    <t>M1072</t>
  </si>
  <si>
    <t>M1073</t>
  </si>
  <si>
    <t>M1074</t>
  </si>
  <si>
    <t>M1075</t>
  </si>
  <si>
    <t>M1076</t>
  </si>
  <si>
    <t>M1077</t>
  </si>
  <si>
    <t>M1078</t>
  </si>
  <si>
    <t>M1079</t>
  </si>
  <si>
    <t>M1080</t>
  </si>
  <si>
    <t>M1081</t>
  </si>
  <si>
    <t>M1082</t>
  </si>
  <si>
    <t>M1083</t>
  </si>
  <si>
    <t>M1084</t>
  </si>
  <si>
    <t>M1085</t>
  </si>
  <si>
    <t>M1086</t>
  </si>
  <si>
    <t>M1087</t>
  </si>
  <si>
    <t>M1088</t>
  </si>
  <si>
    <t>M1089</t>
  </si>
  <si>
    <t>M1090</t>
  </si>
  <si>
    <t>M1091</t>
  </si>
  <si>
    <t>M1092</t>
  </si>
  <si>
    <t>M1093</t>
  </si>
  <si>
    <t>M1094</t>
  </si>
  <si>
    <t>M1095</t>
  </si>
  <si>
    <t>M1096</t>
  </si>
  <si>
    <t>M1097</t>
  </si>
  <si>
    <t>M1098</t>
  </si>
  <si>
    <t>M1099</t>
  </si>
  <si>
    <t>M1100</t>
  </si>
  <si>
    <t>M1101</t>
  </si>
  <si>
    <t>M1102</t>
  </si>
  <si>
    <t>M1103</t>
  </si>
  <si>
    <t>M1104</t>
  </si>
  <si>
    <t>M1105</t>
  </si>
  <si>
    <t>M1106</t>
  </si>
  <si>
    <t>M1107</t>
  </si>
  <si>
    <t>M1108</t>
  </si>
  <si>
    <t>M1109</t>
  </si>
  <si>
    <t>M1110</t>
  </si>
  <si>
    <t>M1111</t>
  </si>
  <si>
    <t>M1112</t>
  </si>
  <si>
    <t>M1113</t>
  </si>
  <si>
    <t>M1114</t>
  </si>
  <si>
    <t>M1115</t>
  </si>
  <si>
    <t>M1116</t>
  </si>
  <si>
    <t>M1117</t>
  </si>
  <si>
    <t>M1118</t>
  </si>
  <si>
    <t>M1119</t>
  </si>
  <si>
    <t>M1120</t>
  </si>
  <si>
    <t>M1121</t>
  </si>
  <si>
    <t>M1122</t>
  </si>
  <si>
    <t>M1123</t>
  </si>
  <si>
    <t>M1124</t>
  </si>
  <si>
    <t>M1125</t>
  </si>
  <si>
    <t>M1126</t>
  </si>
  <si>
    <t>M1127</t>
  </si>
  <si>
    <t>M1128</t>
  </si>
  <si>
    <t>M1129</t>
  </si>
  <si>
    <t>M1130</t>
  </si>
  <si>
    <t>M1131</t>
  </si>
  <si>
    <t>M1132</t>
  </si>
  <si>
    <t>M1133</t>
  </si>
  <si>
    <t>M1134</t>
  </si>
  <si>
    <t>M1135</t>
  </si>
  <si>
    <t>M1136</t>
  </si>
  <si>
    <t>M1137</t>
  </si>
  <si>
    <t>M1138</t>
  </si>
  <si>
    <t>M1139</t>
  </si>
  <si>
    <t>M1140</t>
  </si>
  <si>
    <t>M1141</t>
  </si>
  <si>
    <t>M1142</t>
  </si>
  <si>
    <t>M1143</t>
  </si>
  <si>
    <t>M1144</t>
  </si>
  <si>
    <t>M1145</t>
  </si>
  <si>
    <t>M1146</t>
  </si>
  <si>
    <t>M1147</t>
  </si>
  <si>
    <t>M1148</t>
  </si>
  <si>
    <t>M1149</t>
  </si>
  <si>
    <t>M1150</t>
  </si>
  <si>
    <t>M1151</t>
  </si>
  <si>
    <t>M1152</t>
  </si>
  <si>
    <t>M1153</t>
  </si>
  <si>
    <t>M1154</t>
  </si>
  <si>
    <t>M1155</t>
  </si>
  <si>
    <t>M1156</t>
  </si>
  <si>
    <t>M1157</t>
  </si>
  <si>
    <t>M1158</t>
  </si>
  <si>
    <t>M1159</t>
  </si>
  <si>
    <t>M1160</t>
  </si>
  <si>
    <t>M1161</t>
  </si>
  <si>
    <t>M1162</t>
  </si>
  <si>
    <t>M1163</t>
  </si>
  <si>
    <t>M1164</t>
  </si>
  <si>
    <t>M1165</t>
  </si>
  <si>
    <t>M1166</t>
  </si>
  <si>
    <t>M1167</t>
  </si>
  <si>
    <t>M1168</t>
  </si>
  <si>
    <t>M1169</t>
  </si>
  <si>
    <t>M1170</t>
  </si>
  <si>
    <t>M1171</t>
  </si>
  <si>
    <t>M1172</t>
  </si>
  <si>
    <t>M1173</t>
  </si>
  <si>
    <t>M1174</t>
  </si>
  <si>
    <t>M1175</t>
  </si>
  <si>
    <t>M1176</t>
  </si>
  <si>
    <t>M1177</t>
  </si>
  <si>
    <t>M1178</t>
  </si>
  <si>
    <t>M1179</t>
  </si>
  <si>
    <t>M1180</t>
  </si>
  <si>
    <t>M1181</t>
  </si>
  <si>
    <t>M1182</t>
  </si>
  <si>
    <t>M1183</t>
  </si>
  <si>
    <t>M1184</t>
  </si>
  <si>
    <t>M1185</t>
  </si>
  <si>
    <t>M1186</t>
  </si>
  <si>
    <t>M1187</t>
  </si>
  <si>
    <t>M1188</t>
  </si>
  <si>
    <t>M1189</t>
  </si>
  <si>
    <t>M1190</t>
  </si>
  <si>
    <t>M1191</t>
  </si>
  <si>
    <t>M1192</t>
  </si>
  <si>
    <t>M1193</t>
  </si>
  <si>
    <t>M1194</t>
  </si>
  <si>
    <t>M1195</t>
  </si>
  <si>
    <t>M1196</t>
  </si>
  <si>
    <t>M1197</t>
  </si>
  <si>
    <t>M1198</t>
  </si>
  <si>
    <t>M1199</t>
  </si>
  <si>
    <t>M1200</t>
  </si>
  <si>
    <t>M1201</t>
  </si>
  <si>
    <t>M1202</t>
  </si>
  <si>
    <t>M1203</t>
  </si>
  <si>
    <t>M1204</t>
  </si>
  <si>
    <t>M1205</t>
  </si>
  <si>
    <t>M1206</t>
  </si>
  <si>
    <t>M1207</t>
  </si>
  <si>
    <t>M1208</t>
  </si>
  <si>
    <t>M1209</t>
  </si>
  <si>
    <t>M1210</t>
  </si>
  <si>
    <t>M1211</t>
  </si>
  <si>
    <t>M1212</t>
  </si>
  <si>
    <t>M1213</t>
  </si>
  <si>
    <t>M1214</t>
  </si>
  <si>
    <t>M1215</t>
  </si>
  <si>
    <t>M1216</t>
  </si>
  <si>
    <t>M1217</t>
  </si>
  <si>
    <t>M1218</t>
  </si>
  <si>
    <t>M1219</t>
  </si>
  <si>
    <t>M1220</t>
  </si>
  <si>
    <t>M1221</t>
  </si>
  <si>
    <t>M1222</t>
  </si>
  <si>
    <t>M1223</t>
  </si>
  <si>
    <t>M1224</t>
  </si>
  <si>
    <t>M1225</t>
  </si>
  <si>
    <t>M1226</t>
  </si>
  <si>
    <t>M1227</t>
  </si>
  <si>
    <t>M1228</t>
  </si>
  <si>
    <t>M1229</t>
  </si>
  <si>
    <t>M1230</t>
  </si>
  <si>
    <t>M1231</t>
  </si>
  <si>
    <t>M1232</t>
  </si>
  <si>
    <t>M1233</t>
  </si>
  <si>
    <t>M1234</t>
  </si>
  <si>
    <t>M1235</t>
  </si>
  <si>
    <t>M1236</t>
  </si>
  <si>
    <t>M1237</t>
  </si>
  <si>
    <t>M1238</t>
  </si>
  <si>
    <t>M1239</t>
  </si>
  <si>
    <t>M1240</t>
  </si>
  <si>
    <t>M1241</t>
  </si>
  <si>
    <t>M1242</t>
  </si>
  <si>
    <t>M1243</t>
  </si>
  <si>
    <t>M1244</t>
  </si>
  <si>
    <t>M1245</t>
  </si>
  <si>
    <t>M1246</t>
  </si>
  <si>
    <t>M1247</t>
  </si>
  <si>
    <t>M1248</t>
  </si>
  <si>
    <t>M1249</t>
  </si>
  <si>
    <t>M1250</t>
  </si>
  <si>
    <t>M1251</t>
  </si>
  <si>
    <t>M1252</t>
  </si>
  <si>
    <t>M1253</t>
  </si>
  <si>
    <t>M1254</t>
  </si>
  <si>
    <t>M1255</t>
  </si>
  <si>
    <t>M1256</t>
  </si>
  <si>
    <t>M1257</t>
  </si>
  <si>
    <t>M1258</t>
  </si>
  <si>
    <t>M1259</t>
  </si>
  <si>
    <t>M1260</t>
  </si>
  <si>
    <t>M1261</t>
  </si>
  <si>
    <t>M1262</t>
  </si>
  <si>
    <t>M1263</t>
  </si>
  <si>
    <t>M1264</t>
  </si>
  <si>
    <t>M1265</t>
  </si>
  <si>
    <t>M1266</t>
  </si>
  <si>
    <t>M1267</t>
  </si>
  <si>
    <t>M1268</t>
  </si>
  <si>
    <t>M1269</t>
  </si>
  <si>
    <t>M1270</t>
  </si>
  <si>
    <t>M1271</t>
  </si>
  <si>
    <t>M1272</t>
  </si>
  <si>
    <t>M1273</t>
  </si>
  <si>
    <t>M1274</t>
  </si>
  <si>
    <t>M1275</t>
  </si>
  <si>
    <t>M1276</t>
  </si>
  <si>
    <t>M1277</t>
  </si>
  <si>
    <t>M1278</t>
  </si>
  <si>
    <t>M1279</t>
  </si>
  <si>
    <t>M1280</t>
  </si>
  <si>
    <t>M1281</t>
  </si>
  <si>
    <t>M1282</t>
  </si>
  <si>
    <t>M1283</t>
  </si>
  <si>
    <t>M1284</t>
  </si>
  <si>
    <t>M1285</t>
  </si>
  <si>
    <t>M1286</t>
  </si>
  <si>
    <t>M1287</t>
  </si>
  <si>
    <t>M1288</t>
  </si>
  <si>
    <t>M1289</t>
  </si>
  <si>
    <t>M1290</t>
  </si>
  <si>
    <t>M1291</t>
  </si>
  <si>
    <t>M1292</t>
  </si>
  <si>
    <t>M1293</t>
  </si>
  <si>
    <t>M1294</t>
  </si>
  <si>
    <t>M1295</t>
  </si>
  <si>
    <t>M1296</t>
  </si>
  <si>
    <t>M1297</t>
  </si>
  <si>
    <t>M1298</t>
  </si>
  <si>
    <t>M1299</t>
  </si>
  <si>
    <t>M1300</t>
  </si>
  <si>
    <t>M1301</t>
  </si>
  <si>
    <t>M1302</t>
  </si>
  <si>
    <t>M1303</t>
  </si>
  <si>
    <t>M1304</t>
  </si>
  <si>
    <t>M1305</t>
  </si>
  <si>
    <t>M1306</t>
  </si>
  <si>
    <t>M1307</t>
  </si>
  <si>
    <t>M1308</t>
  </si>
  <si>
    <t>M1309</t>
  </si>
  <si>
    <t>M1310</t>
  </si>
  <si>
    <t>M1311</t>
  </si>
  <si>
    <t>M1312</t>
  </si>
  <si>
    <t>M1313</t>
  </si>
  <si>
    <t>M1314</t>
  </si>
  <si>
    <t>M1315</t>
  </si>
  <si>
    <t>M1316</t>
  </si>
  <si>
    <t>M1317</t>
  </si>
  <si>
    <t>M1318</t>
  </si>
  <si>
    <t>M1319</t>
  </si>
  <si>
    <t>M1320</t>
  </si>
  <si>
    <t>M1321</t>
  </si>
  <si>
    <t>M1322</t>
  </si>
  <si>
    <t>M1323</t>
  </si>
  <si>
    <t>M1324</t>
  </si>
  <si>
    <t>M1325</t>
  </si>
  <si>
    <t>M1326</t>
  </si>
  <si>
    <t>M1327</t>
  </si>
  <si>
    <t>M1328</t>
  </si>
  <si>
    <t>M1329</t>
  </si>
  <si>
    <t>M1330</t>
  </si>
  <si>
    <t>M1331</t>
  </si>
  <si>
    <t>M1332</t>
  </si>
  <si>
    <t>M1333</t>
  </si>
  <si>
    <t>M1334</t>
  </si>
  <si>
    <t>M1335</t>
  </si>
  <si>
    <t>M1336</t>
  </si>
  <si>
    <t>M1337</t>
  </si>
  <si>
    <t>M1338</t>
  </si>
  <si>
    <t>M1339</t>
  </si>
  <si>
    <t>M1340</t>
  </si>
  <si>
    <t>M1341</t>
  </si>
  <si>
    <t>M1342</t>
  </si>
  <si>
    <t>M1343</t>
  </si>
  <si>
    <t>M1344</t>
  </si>
  <si>
    <t>M1345</t>
  </si>
  <si>
    <t>M1346</t>
  </si>
  <si>
    <t>M1347</t>
  </si>
  <si>
    <t>M1348</t>
  </si>
  <si>
    <t>M1349</t>
  </si>
  <si>
    <t>M1350</t>
  </si>
  <si>
    <t>M1351</t>
  </si>
  <si>
    <t>M1352</t>
  </si>
  <si>
    <t>M1353</t>
  </si>
  <si>
    <t>M1354</t>
  </si>
  <si>
    <t>M1355</t>
  </si>
  <si>
    <t>M1356</t>
  </si>
  <si>
    <t>M1357</t>
  </si>
  <si>
    <t>M1358</t>
  </si>
  <si>
    <t>M1359</t>
  </si>
  <si>
    <t>M1360</t>
  </si>
  <si>
    <t>M1361</t>
  </si>
  <si>
    <t>M1362</t>
  </si>
  <si>
    <t>M1363</t>
  </si>
  <si>
    <t>M1364</t>
  </si>
  <si>
    <t>M1365</t>
  </si>
  <si>
    <t>M1366</t>
  </si>
  <si>
    <t>M1367</t>
  </si>
  <si>
    <t>M1368</t>
  </si>
  <si>
    <t>M1369</t>
  </si>
  <si>
    <t>M1370</t>
  </si>
  <si>
    <t>M1371</t>
  </si>
  <si>
    <t>M1372</t>
  </si>
  <si>
    <t>M1373</t>
  </si>
  <si>
    <t>M1374</t>
  </si>
  <si>
    <t>M1375</t>
  </si>
  <si>
    <t>M1376</t>
  </si>
  <si>
    <t>M1377</t>
  </si>
  <si>
    <t>M1378</t>
  </si>
  <si>
    <t>M1379</t>
  </si>
  <si>
    <t>M1380</t>
  </si>
  <si>
    <t>M1381</t>
  </si>
  <si>
    <t>M1382</t>
  </si>
  <si>
    <t>M1383</t>
  </si>
  <si>
    <t>M1384</t>
  </si>
  <si>
    <t>M1385</t>
  </si>
  <si>
    <t>M1386</t>
  </si>
  <si>
    <t>M1387</t>
  </si>
  <si>
    <t>M1388</t>
  </si>
  <si>
    <t>M1389</t>
  </si>
  <si>
    <t>M1390</t>
  </si>
  <si>
    <t>M1391</t>
  </si>
  <si>
    <t>M1392</t>
  </si>
  <si>
    <t>M1393</t>
  </si>
  <si>
    <t>M1394</t>
  </si>
  <si>
    <t>M1395</t>
  </si>
  <si>
    <t>M1396</t>
  </si>
  <si>
    <t>M1397</t>
  </si>
  <si>
    <t>M1398</t>
  </si>
  <si>
    <t>M1399</t>
  </si>
  <si>
    <t>M1400</t>
  </si>
  <si>
    <t>M1401</t>
  </si>
  <si>
    <t>M1402</t>
  </si>
  <si>
    <t>M1403</t>
  </si>
  <si>
    <t>M1404</t>
  </si>
  <si>
    <t>M1405</t>
  </si>
  <si>
    <t>M1406</t>
  </si>
  <si>
    <t>M1407</t>
  </si>
  <si>
    <t>M1408</t>
  </si>
  <si>
    <t>M1409</t>
  </si>
  <si>
    <t>M1410</t>
  </si>
  <si>
    <t>M1411</t>
  </si>
  <si>
    <t>M1412</t>
  </si>
  <si>
    <t>M1413</t>
  </si>
  <si>
    <t>M1414</t>
  </si>
  <si>
    <t>M1415</t>
  </si>
  <si>
    <t>M1416</t>
  </si>
  <si>
    <t>M1417</t>
  </si>
  <si>
    <t>M1418</t>
  </si>
  <si>
    <t>M1419</t>
  </si>
  <si>
    <t>M1420</t>
  </si>
  <si>
    <t>M1421</t>
  </si>
  <si>
    <t>M1422</t>
  </si>
  <si>
    <t>M1423</t>
  </si>
  <si>
    <t>M1424</t>
  </si>
  <si>
    <t>M1425</t>
  </si>
  <si>
    <t>M1426</t>
  </si>
  <si>
    <t>M1427</t>
  </si>
  <si>
    <t>M1428</t>
  </si>
  <si>
    <t>M1429</t>
  </si>
  <si>
    <t>M1430</t>
  </si>
  <si>
    <t>M1431</t>
  </si>
  <si>
    <t>M1432</t>
  </si>
  <si>
    <t>M1433</t>
  </si>
  <si>
    <t>M1434</t>
  </si>
  <si>
    <t>M1435</t>
  </si>
  <si>
    <t>M1436</t>
  </si>
  <si>
    <t>M1437</t>
  </si>
  <si>
    <t>M1438</t>
  </si>
  <si>
    <t>M1439</t>
  </si>
  <si>
    <t>M1440</t>
  </si>
  <si>
    <t>M1441</t>
  </si>
  <si>
    <t>M1442</t>
  </si>
  <si>
    <t>M1443</t>
  </si>
  <si>
    <t>M1444</t>
  </si>
  <si>
    <t>M1445</t>
  </si>
  <si>
    <t>M1446</t>
  </si>
  <si>
    <t>M1447</t>
  </si>
  <si>
    <t>M1448</t>
  </si>
  <si>
    <t>M1449</t>
  </si>
  <si>
    <t>M1450</t>
  </si>
  <si>
    <t>M1451</t>
  </si>
  <si>
    <t>M1452</t>
  </si>
  <si>
    <t>M1453</t>
  </si>
  <si>
    <t>M1454</t>
  </si>
  <si>
    <t>M1455</t>
  </si>
  <si>
    <t>M1456</t>
  </si>
  <si>
    <t>M1457</t>
  </si>
  <si>
    <t>M1458</t>
  </si>
  <si>
    <t>M1459</t>
  </si>
  <si>
    <t>M1460</t>
  </si>
  <si>
    <t>M1461</t>
  </si>
  <si>
    <t>M1462</t>
  </si>
  <si>
    <t>M1463</t>
  </si>
  <si>
    <t>M1464</t>
  </si>
  <si>
    <t>M1465</t>
  </si>
  <si>
    <t>M1466</t>
  </si>
  <si>
    <t>M1467</t>
  </si>
  <si>
    <t>M1468</t>
  </si>
  <si>
    <t>M1469</t>
  </si>
  <si>
    <t>M1470</t>
  </si>
  <si>
    <t>M1471</t>
  </si>
  <si>
    <t>M1472</t>
  </si>
  <si>
    <t>M1473</t>
  </si>
  <si>
    <t>M1474</t>
  </si>
  <si>
    <t>M1475</t>
  </si>
  <si>
    <t>M1476</t>
  </si>
  <si>
    <t>M1477</t>
  </si>
  <si>
    <t>M1478</t>
  </si>
  <si>
    <t>M1479</t>
  </si>
  <si>
    <t>M1480</t>
  </si>
  <si>
    <t>M1481</t>
  </si>
  <si>
    <t>M1482</t>
  </si>
  <si>
    <t>M1483</t>
  </si>
  <si>
    <t>M1484</t>
  </si>
  <si>
    <t>M1485</t>
  </si>
  <si>
    <t>M1486</t>
  </si>
  <si>
    <t>M1487</t>
  </si>
  <si>
    <t>M1488</t>
  </si>
  <si>
    <t>M1489</t>
  </si>
  <si>
    <t>M1490</t>
  </si>
  <si>
    <t>M1491</t>
  </si>
  <si>
    <t>M1492</t>
  </si>
  <si>
    <t>M1493</t>
  </si>
  <si>
    <t>M1494</t>
  </si>
  <si>
    <t>M1495</t>
  </si>
  <si>
    <t>M1496</t>
  </si>
  <si>
    <t>M1497</t>
  </si>
  <si>
    <t>M1498</t>
  </si>
  <si>
    <t>M1499</t>
  </si>
  <si>
    <t>Movie_0</t>
  </si>
  <si>
    <t>Movie_1</t>
  </si>
  <si>
    <t>Movie_2</t>
  </si>
  <si>
    <t>Movie_3</t>
  </si>
  <si>
    <t>Movie_4</t>
  </si>
  <si>
    <t>Movie_5</t>
  </si>
  <si>
    <t>Movie_6</t>
  </si>
  <si>
    <t>Movie_7</t>
  </si>
  <si>
    <t>Movie_8</t>
  </si>
  <si>
    <t>Movie_9</t>
  </si>
  <si>
    <t>Movie_10</t>
  </si>
  <si>
    <t>Movie_11</t>
  </si>
  <si>
    <t>Movie_12</t>
  </si>
  <si>
    <t>Movie_13</t>
  </si>
  <si>
    <t>Movie_14</t>
  </si>
  <si>
    <t>Movie_15</t>
  </si>
  <si>
    <t>Movie_16</t>
  </si>
  <si>
    <t>Movie_17</t>
  </si>
  <si>
    <t>Movie_18</t>
  </si>
  <si>
    <t>Movie_19</t>
  </si>
  <si>
    <t>Movie_20</t>
  </si>
  <si>
    <t>Movie_21</t>
  </si>
  <si>
    <t>Movie_22</t>
  </si>
  <si>
    <t>Movie_23</t>
  </si>
  <si>
    <t>Movie_24</t>
  </si>
  <si>
    <t>Movie_25</t>
  </si>
  <si>
    <t>Movie_26</t>
  </si>
  <si>
    <t>Movie_27</t>
  </si>
  <si>
    <t>Movie_28</t>
  </si>
  <si>
    <t>Movie_29</t>
  </si>
  <si>
    <t>Movie_30</t>
  </si>
  <si>
    <t>Movie_31</t>
  </si>
  <si>
    <t>Movie_32</t>
  </si>
  <si>
    <t>Movie_33</t>
  </si>
  <si>
    <t>Movie_34</t>
  </si>
  <si>
    <t>Movie_35</t>
  </si>
  <si>
    <t>Movie_36</t>
  </si>
  <si>
    <t>Movie_37</t>
  </si>
  <si>
    <t>Movie_38</t>
  </si>
  <si>
    <t>Movie_39</t>
  </si>
  <si>
    <t>Movie_40</t>
  </si>
  <si>
    <t>Movie_41</t>
  </si>
  <si>
    <t>Movie_42</t>
  </si>
  <si>
    <t>Movie_43</t>
  </si>
  <si>
    <t>Movie_44</t>
  </si>
  <si>
    <t>Movie_45</t>
  </si>
  <si>
    <t>Movie_46</t>
  </si>
  <si>
    <t>Movie_47</t>
  </si>
  <si>
    <t>Movie_48</t>
  </si>
  <si>
    <t>Movie_49</t>
  </si>
  <si>
    <t>Movie_50</t>
  </si>
  <si>
    <t>Movie_51</t>
  </si>
  <si>
    <t>Movie_52</t>
  </si>
  <si>
    <t>Movie_53</t>
  </si>
  <si>
    <t>Movie_54</t>
  </si>
  <si>
    <t>Movie_55</t>
  </si>
  <si>
    <t>Movie_56</t>
  </si>
  <si>
    <t>Movie_57</t>
  </si>
  <si>
    <t>Movie_58</t>
  </si>
  <si>
    <t>Movie_59</t>
  </si>
  <si>
    <t>Movie_60</t>
  </si>
  <si>
    <t>Movie_61</t>
  </si>
  <si>
    <t>Movie_62</t>
  </si>
  <si>
    <t>Movie_63</t>
  </si>
  <si>
    <t>Movie_64</t>
  </si>
  <si>
    <t>Movie_65</t>
  </si>
  <si>
    <t>Movie_66</t>
  </si>
  <si>
    <t>Movie_67</t>
  </si>
  <si>
    <t>Movie_68</t>
  </si>
  <si>
    <t>Movie_69</t>
  </si>
  <si>
    <t>Movie_70</t>
  </si>
  <si>
    <t>Movie_71</t>
  </si>
  <si>
    <t>Movie_72</t>
  </si>
  <si>
    <t>Movie_73</t>
  </si>
  <si>
    <t>Movie_74</t>
  </si>
  <si>
    <t>Movie_75</t>
  </si>
  <si>
    <t>Movie_76</t>
  </si>
  <si>
    <t>Movie_77</t>
  </si>
  <si>
    <t>Movie_78</t>
  </si>
  <si>
    <t>Movie_79</t>
  </si>
  <si>
    <t>Movie_80</t>
  </si>
  <si>
    <t>Movie_81</t>
  </si>
  <si>
    <t>Movie_82</t>
  </si>
  <si>
    <t>Movie_83</t>
  </si>
  <si>
    <t>Movie_84</t>
  </si>
  <si>
    <t>Movie_85</t>
  </si>
  <si>
    <t>Movie_86</t>
  </si>
  <si>
    <t>Movie_87</t>
  </si>
  <si>
    <t>Movie_88</t>
  </si>
  <si>
    <t>Movie_89</t>
  </si>
  <si>
    <t>Movie_90</t>
  </si>
  <si>
    <t>Movie_91</t>
  </si>
  <si>
    <t>Movie_92</t>
  </si>
  <si>
    <t>Movie_93</t>
  </si>
  <si>
    <t>Movie_94</t>
  </si>
  <si>
    <t>Movie_95</t>
  </si>
  <si>
    <t>Movie_96</t>
  </si>
  <si>
    <t>Movie_97</t>
  </si>
  <si>
    <t>Movie_98</t>
  </si>
  <si>
    <t>Movie_99</t>
  </si>
  <si>
    <t>Movie_100</t>
  </si>
  <si>
    <t>Movie_101</t>
  </si>
  <si>
    <t>Movie_102</t>
  </si>
  <si>
    <t>Movie_103</t>
  </si>
  <si>
    <t>Movie_104</t>
  </si>
  <si>
    <t>Movie_105</t>
  </si>
  <si>
    <t>Movie_106</t>
  </si>
  <si>
    <t>Movie_107</t>
  </si>
  <si>
    <t>Movie_108</t>
  </si>
  <si>
    <t>Movie_109</t>
  </si>
  <si>
    <t>Movie_110</t>
  </si>
  <si>
    <t>Movie_111</t>
  </si>
  <si>
    <t>Movie_112</t>
  </si>
  <si>
    <t>Movie_113</t>
  </si>
  <si>
    <t>Movie_114</t>
  </si>
  <si>
    <t>Movie_115</t>
  </si>
  <si>
    <t>Movie_116</t>
  </si>
  <si>
    <t>Movie_117</t>
  </si>
  <si>
    <t>Movie_118</t>
  </si>
  <si>
    <t>Movie_119</t>
  </si>
  <si>
    <t>Movie_120</t>
  </si>
  <si>
    <t>Movie_121</t>
  </si>
  <si>
    <t>Movie_122</t>
  </si>
  <si>
    <t>Movie_123</t>
  </si>
  <si>
    <t>Movie_124</t>
  </si>
  <si>
    <t>Movie_125</t>
  </si>
  <si>
    <t>Movie_126</t>
  </si>
  <si>
    <t>Movie_127</t>
  </si>
  <si>
    <t>Movie_128</t>
  </si>
  <si>
    <t>Movie_129</t>
  </si>
  <si>
    <t>Movie_130</t>
  </si>
  <si>
    <t>Movie_131</t>
  </si>
  <si>
    <t>Movie_132</t>
  </si>
  <si>
    <t>Movie_133</t>
  </si>
  <si>
    <t>Movie_134</t>
  </si>
  <si>
    <t>Movie_135</t>
  </si>
  <si>
    <t>Movie_136</t>
  </si>
  <si>
    <t>Movie_137</t>
  </si>
  <si>
    <t>Movie_138</t>
  </si>
  <si>
    <t>Movie_139</t>
  </si>
  <si>
    <t>Movie_140</t>
  </si>
  <si>
    <t>Movie_141</t>
  </si>
  <si>
    <t>Movie_142</t>
  </si>
  <si>
    <t>Movie_143</t>
  </si>
  <si>
    <t>Movie_144</t>
  </si>
  <si>
    <t>Movie_145</t>
  </si>
  <si>
    <t>Movie_146</t>
  </si>
  <si>
    <t>Movie_147</t>
  </si>
  <si>
    <t>Movie_148</t>
  </si>
  <si>
    <t>Movie_149</t>
  </si>
  <si>
    <t>Movie_150</t>
  </si>
  <si>
    <t>Movie_151</t>
  </si>
  <si>
    <t>Movie_152</t>
  </si>
  <si>
    <t>Movie_153</t>
  </si>
  <si>
    <t>Movie_154</t>
  </si>
  <si>
    <t>Movie_155</t>
  </si>
  <si>
    <t>Movie_156</t>
  </si>
  <si>
    <t>Movie_157</t>
  </si>
  <si>
    <t>Movie_158</t>
  </si>
  <si>
    <t>Movie_159</t>
  </si>
  <si>
    <t>Movie_160</t>
  </si>
  <si>
    <t>Movie_161</t>
  </si>
  <si>
    <t>Movie_162</t>
  </si>
  <si>
    <t>Movie_163</t>
  </si>
  <si>
    <t>Movie_164</t>
  </si>
  <si>
    <t>Movie_165</t>
  </si>
  <si>
    <t>Movie_166</t>
  </si>
  <si>
    <t>Movie_167</t>
  </si>
  <si>
    <t>Movie_168</t>
  </si>
  <si>
    <t>Movie_169</t>
  </si>
  <si>
    <t>Movie_170</t>
  </si>
  <si>
    <t>Movie_171</t>
  </si>
  <si>
    <t>Movie_172</t>
  </si>
  <si>
    <t>Movie_173</t>
  </si>
  <si>
    <t>Movie_174</t>
  </si>
  <si>
    <t>Movie_175</t>
  </si>
  <si>
    <t>Movie_176</t>
  </si>
  <si>
    <t>Movie_177</t>
  </si>
  <si>
    <t>Movie_178</t>
  </si>
  <si>
    <t>Movie_179</t>
  </si>
  <si>
    <t>Movie_180</t>
  </si>
  <si>
    <t>Movie_181</t>
  </si>
  <si>
    <t>Movie_182</t>
  </si>
  <si>
    <t>Movie_183</t>
  </si>
  <si>
    <t>Movie_184</t>
  </si>
  <si>
    <t>Movie_185</t>
  </si>
  <si>
    <t>Movie_186</t>
  </si>
  <si>
    <t>Movie_187</t>
  </si>
  <si>
    <t>Movie_188</t>
  </si>
  <si>
    <t>Movie_189</t>
  </si>
  <si>
    <t>Movie_190</t>
  </si>
  <si>
    <t>Movie_191</t>
  </si>
  <si>
    <t>Movie_192</t>
  </si>
  <si>
    <t>Movie_193</t>
  </si>
  <si>
    <t>Movie_194</t>
  </si>
  <si>
    <t>Movie_195</t>
  </si>
  <si>
    <t>Movie_196</t>
  </si>
  <si>
    <t>Movie_197</t>
  </si>
  <si>
    <t>Movie_198</t>
  </si>
  <si>
    <t>Movie_199</t>
  </si>
  <si>
    <t>Movie_200</t>
  </si>
  <si>
    <t>Movie_201</t>
  </si>
  <si>
    <t>Movie_202</t>
  </si>
  <si>
    <t>Movie_203</t>
  </si>
  <si>
    <t>Movie_204</t>
  </si>
  <si>
    <t>Movie_205</t>
  </si>
  <si>
    <t>Movie_206</t>
  </si>
  <si>
    <t>Movie_207</t>
  </si>
  <si>
    <t>Movie_208</t>
  </si>
  <si>
    <t>Movie_209</t>
  </si>
  <si>
    <t>Movie_210</t>
  </si>
  <si>
    <t>Movie_211</t>
  </si>
  <si>
    <t>Movie_212</t>
  </si>
  <si>
    <t>Movie_213</t>
  </si>
  <si>
    <t>Movie_214</t>
  </si>
  <si>
    <t>Movie_215</t>
  </si>
  <si>
    <t>Movie_216</t>
  </si>
  <si>
    <t>Movie_217</t>
  </si>
  <si>
    <t>Movie_218</t>
  </si>
  <si>
    <t>Movie_219</t>
  </si>
  <si>
    <t>Movie_220</t>
  </si>
  <si>
    <t>Movie_221</t>
  </si>
  <si>
    <t>Movie_222</t>
  </si>
  <si>
    <t>Movie_223</t>
  </si>
  <si>
    <t>Movie_224</t>
  </si>
  <si>
    <t>Movie_225</t>
  </si>
  <si>
    <t>Movie_226</t>
  </si>
  <si>
    <t>Movie_227</t>
  </si>
  <si>
    <t>Movie_228</t>
  </si>
  <si>
    <t>Movie_229</t>
  </si>
  <si>
    <t>Movie_230</t>
  </si>
  <si>
    <t>Movie_231</t>
  </si>
  <si>
    <t>Movie_232</t>
  </si>
  <si>
    <t>Movie_233</t>
  </si>
  <si>
    <t>Movie_234</t>
  </si>
  <si>
    <t>Movie_235</t>
  </si>
  <si>
    <t>Movie_236</t>
  </si>
  <si>
    <t>Movie_237</t>
  </si>
  <si>
    <t>Movie_238</t>
  </si>
  <si>
    <t>Movie_239</t>
  </si>
  <si>
    <t>Movie_240</t>
  </si>
  <si>
    <t>Movie_241</t>
  </si>
  <si>
    <t>Movie_242</t>
  </si>
  <si>
    <t>Movie_243</t>
  </si>
  <si>
    <t>Movie_244</t>
  </si>
  <si>
    <t>Movie_245</t>
  </si>
  <si>
    <t>Movie_246</t>
  </si>
  <si>
    <t>Movie_247</t>
  </si>
  <si>
    <t>Movie_248</t>
  </si>
  <si>
    <t>Movie_249</t>
  </si>
  <si>
    <t>Movie_250</t>
  </si>
  <si>
    <t>Movie_251</t>
  </si>
  <si>
    <t>Movie_252</t>
  </si>
  <si>
    <t>Movie_253</t>
  </si>
  <si>
    <t>Movie_254</t>
  </si>
  <si>
    <t>Movie_255</t>
  </si>
  <si>
    <t>Movie_256</t>
  </si>
  <si>
    <t>Movie_257</t>
  </si>
  <si>
    <t>Movie_258</t>
  </si>
  <si>
    <t>Movie_259</t>
  </si>
  <si>
    <t>Movie_260</t>
  </si>
  <si>
    <t>Movie_261</t>
  </si>
  <si>
    <t>Movie_262</t>
  </si>
  <si>
    <t>Movie_263</t>
  </si>
  <si>
    <t>Movie_264</t>
  </si>
  <si>
    <t>Movie_265</t>
  </si>
  <si>
    <t>Movie_266</t>
  </si>
  <si>
    <t>Movie_267</t>
  </si>
  <si>
    <t>Movie_268</t>
  </si>
  <si>
    <t>Movie_269</t>
  </si>
  <si>
    <t>Movie_270</t>
  </si>
  <si>
    <t>Movie_271</t>
  </si>
  <si>
    <t>Movie_272</t>
  </si>
  <si>
    <t>Movie_273</t>
  </si>
  <si>
    <t>Movie_274</t>
  </si>
  <si>
    <t>Movie_275</t>
  </si>
  <si>
    <t>Movie_276</t>
  </si>
  <si>
    <t>Movie_277</t>
  </si>
  <si>
    <t>Movie_278</t>
  </si>
  <si>
    <t>Movie_279</t>
  </si>
  <si>
    <t>Movie_280</t>
  </si>
  <si>
    <t>Movie_281</t>
  </si>
  <si>
    <t>Movie_282</t>
  </si>
  <si>
    <t>Movie_283</t>
  </si>
  <si>
    <t>Movie_284</t>
  </si>
  <si>
    <t>Movie_285</t>
  </si>
  <si>
    <t>Movie_286</t>
  </si>
  <si>
    <t>Movie_287</t>
  </si>
  <si>
    <t>Movie_288</t>
  </si>
  <si>
    <t>Movie_289</t>
  </si>
  <si>
    <t>Movie_290</t>
  </si>
  <si>
    <t>Movie_291</t>
  </si>
  <si>
    <t>Movie_292</t>
  </si>
  <si>
    <t>Movie_293</t>
  </si>
  <si>
    <t>Movie_294</t>
  </si>
  <si>
    <t>Movie_295</t>
  </si>
  <si>
    <t>Movie_296</t>
  </si>
  <si>
    <t>Movie_297</t>
  </si>
  <si>
    <t>Movie_298</t>
  </si>
  <si>
    <t>Movie_299</t>
  </si>
  <si>
    <t>Movie_300</t>
  </si>
  <si>
    <t>Movie_301</t>
  </si>
  <si>
    <t>Movie_302</t>
  </si>
  <si>
    <t>Movie_303</t>
  </si>
  <si>
    <t>Movie_304</t>
  </si>
  <si>
    <t>Movie_305</t>
  </si>
  <si>
    <t>Movie_306</t>
  </si>
  <si>
    <t>Movie_307</t>
  </si>
  <si>
    <t>Movie_308</t>
  </si>
  <si>
    <t>Movie_309</t>
  </si>
  <si>
    <t>Movie_310</t>
  </si>
  <si>
    <t>Movie_311</t>
  </si>
  <si>
    <t>Movie_312</t>
  </si>
  <si>
    <t>Movie_313</t>
  </si>
  <si>
    <t>Movie_314</t>
  </si>
  <si>
    <t>Movie_315</t>
  </si>
  <si>
    <t>Movie_316</t>
  </si>
  <si>
    <t>Movie_317</t>
  </si>
  <si>
    <t>Movie_318</t>
  </si>
  <si>
    <t>Movie_319</t>
  </si>
  <si>
    <t>Movie_320</t>
  </si>
  <si>
    <t>Movie_321</t>
  </si>
  <si>
    <t>Movie_322</t>
  </si>
  <si>
    <t>Movie_323</t>
  </si>
  <si>
    <t>Movie_324</t>
  </si>
  <si>
    <t>Movie_325</t>
  </si>
  <si>
    <t>Movie_326</t>
  </si>
  <si>
    <t>Movie_327</t>
  </si>
  <si>
    <t>Movie_328</t>
  </si>
  <si>
    <t>Movie_329</t>
  </si>
  <si>
    <t>Movie_330</t>
  </si>
  <si>
    <t>Movie_331</t>
  </si>
  <si>
    <t>Movie_332</t>
  </si>
  <si>
    <t>Movie_333</t>
  </si>
  <si>
    <t>Movie_334</t>
  </si>
  <si>
    <t>Movie_335</t>
  </si>
  <si>
    <t>Movie_336</t>
  </si>
  <si>
    <t>Movie_337</t>
  </si>
  <si>
    <t>Movie_338</t>
  </si>
  <si>
    <t>Movie_339</t>
  </si>
  <si>
    <t>Movie_340</t>
  </si>
  <si>
    <t>Movie_341</t>
  </si>
  <si>
    <t>Movie_342</t>
  </si>
  <si>
    <t>Movie_343</t>
  </si>
  <si>
    <t>Movie_344</t>
  </si>
  <si>
    <t>Movie_345</t>
  </si>
  <si>
    <t>Movie_346</t>
  </si>
  <si>
    <t>Movie_347</t>
  </si>
  <si>
    <t>Movie_348</t>
  </si>
  <si>
    <t>Movie_349</t>
  </si>
  <si>
    <t>Movie_350</t>
  </si>
  <si>
    <t>Movie_351</t>
  </si>
  <si>
    <t>Movie_352</t>
  </si>
  <si>
    <t>Movie_353</t>
  </si>
  <si>
    <t>Movie_354</t>
  </si>
  <si>
    <t>Movie_355</t>
  </si>
  <si>
    <t>Movie_356</t>
  </si>
  <si>
    <t>Movie_357</t>
  </si>
  <si>
    <t>Movie_358</t>
  </si>
  <si>
    <t>Movie_359</t>
  </si>
  <si>
    <t>Movie_360</t>
  </si>
  <si>
    <t>Movie_361</t>
  </si>
  <si>
    <t>Movie_362</t>
  </si>
  <si>
    <t>Movie_363</t>
  </si>
  <si>
    <t>Movie_364</t>
  </si>
  <si>
    <t>Movie_365</t>
  </si>
  <si>
    <t>Movie_366</t>
  </si>
  <si>
    <t>Movie_367</t>
  </si>
  <si>
    <t>Movie_368</t>
  </si>
  <si>
    <t>Movie_369</t>
  </si>
  <si>
    <t>Movie_370</t>
  </si>
  <si>
    <t>Movie_371</t>
  </si>
  <si>
    <t>Movie_372</t>
  </si>
  <si>
    <t>Movie_373</t>
  </si>
  <si>
    <t>Movie_374</t>
  </si>
  <si>
    <t>Movie_375</t>
  </si>
  <si>
    <t>Movie_376</t>
  </si>
  <si>
    <t>Movie_377</t>
  </si>
  <si>
    <t>Movie_378</t>
  </si>
  <si>
    <t>Movie_379</t>
  </si>
  <si>
    <t>Movie_380</t>
  </si>
  <si>
    <t>Movie_381</t>
  </si>
  <si>
    <t>Movie_382</t>
  </si>
  <si>
    <t>Movie_383</t>
  </si>
  <si>
    <t>Movie_384</t>
  </si>
  <si>
    <t>Movie_385</t>
  </si>
  <si>
    <t>Movie_386</t>
  </si>
  <si>
    <t>Movie_387</t>
  </si>
  <si>
    <t>Movie_388</t>
  </si>
  <si>
    <t>Movie_389</t>
  </si>
  <si>
    <t>Movie_390</t>
  </si>
  <si>
    <t>Movie_391</t>
  </si>
  <si>
    <t>Movie_392</t>
  </si>
  <si>
    <t>Movie_393</t>
  </si>
  <si>
    <t>Movie_394</t>
  </si>
  <si>
    <t>Movie_395</t>
  </si>
  <si>
    <t>Movie_396</t>
  </si>
  <si>
    <t>Movie_397</t>
  </si>
  <si>
    <t>Movie_398</t>
  </si>
  <si>
    <t>Movie_399</t>
  </si>
  <si>
    <t>Movie_400</t>
  </si>
  <si>
    <t>Movie_401</t>
  </si>
  <si>
    <t>Movie_402</t>
  </si>
  <si>
    <t>Movie_403</t>
  </si>
  <si>
    <t>Movie_404</t>
  </si>
  <si>
    <t>Movie_405</t>
  </si>
  <si>
    <t>Movie_406</t>
  </si>
  <si>
    <t>Movie_407</t>
  </si>
  <si>
    <t>Movie_408</t>
  </si>
  <si>
    <t>Movie_409</t>
  </si>
  <si>
    <t>Movie_410</t>
  </si>
  <si>
    <t>Movie_411</t>
  </si>
  <si>
    <t>Movie_412</t>
  </si>
  <si>
    <t>Movie_413</t>
  </si>
  <si>
    <t>Movie_414</t>
  </si>
  <si>
    <t>Movie_415</t>
  </si>
  <si>
    <t>Movie_416</t>
  </si>
  <si>
    <t>Movie_417</t>
  </si>
  <si>
    <t>Movie_418</t>
  </si>
  <si>
    <t>Movie_419</t>
  </si>
  <si>
    <t>Movie_420</t>
  </si>
  <si>
    <t>Movie_421</t>
  </si>
  <si>
    <t>Movie_422</t>
  </si>
  <si>
    <t>Movie_423</t>
  </si>
  <si>
    <t>Movie_424</t>
  </si>
  <si>
    <t>Movie_425</t>
  </si>
  <si>
    <t>Movie_426</t>
  </si>
  <si>
    <t>Movie_427</t>
  </si>
  <si>
    <t>Movie_428</t>
  </si>
  <si>
    <t>Movie_429</t>
  </si>
  <si>
    <t>Movie_430</t>
  </si>
  <si>
    <t>Movie_431</t>
  </si>
  <si>
    <t>Movie_432</t>
  </si>
  <si>
    <t>Movie_433</t>
  </si>
  <si>
    <t>Movie_434</t>
  </si>
  <si>
    <t>Movie_435</t>
  </si>
  <si>
    <t>Movie_436</t>
  </si>
  <si>
    <t>Movie_437</t>
  </si>
  <si>
    <t>Movie_438</t>
  </si>
  <si>
    <t>Movie_439</t>
  </si>
  <si>
    <t>Movie_440</t>
  </si>
  <si>
    <t>Movie_441</t>
  </si>
  <si>
    <t>Movie_442</t>
  </si>
  <si>
    <t>Movie_443</t>
  </si>
  <si>
    <t>Movie_444</t>
  </si>
  <si>
    <t>Movie_445</t>
  </si>
  <si>
    <t>Movie_446</t>
  </si>
  <si>
    <t>Movie_447</t>
  </si>
  <si>
    <t>Movie_448</t>
  </si>
  <si>
    <t>Movie_449</t>
  </si>
  <si>
    <t>Movie_450</t>
  </si>
  <si>
    <t>Movie_451</t>
  </si>
  <si>
    <t>Movie_452</t>
  </si>
  <si>
    <t>Movie_453</t>
  </si>
  <si>
    <t>Movie_454</t>
  </si>
  <si>
    <t>Movie_455</t>
  </si>
  <si>
    <t>Movie_456</t>
  </si>
  <si>
    <t>Movie_457</t>
  </si>
  <si>
    <t>Movie_458</t>
  </si>
  <si>
    <t>Movie_459</t>
  </si>
  <si>
    <t>Movie_460</t>
  </si>
  <si>
    <t>Movie_461</t>
  </si>
  <si>
    <t>Movie_462</t>
  </si>
  <si>
    <t>Movie_463</t>
  </si>
  <si>
    <t>Movie_464</t>
  </si>
  <si>
    <t>Movie_465</t>
  </si>
  <si>
    <t>Movie_466</t>
  </si>
  <si>
    <t>Movie_467</t>
  </si>
  <si>
    <t>Movie_468</t>
  </si>
  <si>
    <t>Movie_469</t>
  </si>
  <si>
    <t>Movie_470</t>
  </si>
  <si>
    <t>Movie_471</t>
  </si>
  <si>
    <t>Movie_472</t>
  </si>
  <si>
    <t>Movie_473</t>
  </si>
  <si>
    <t>Movie_474</t>
  </si>
  <si>
    <t>Movie_475</t>
  </si>
  <si>
    <t>Movie_476</t>
  </si>
  <si>
    <t>Movie_477</t>
  </si>
  <si>
    <t>Movie_478</t>
  </si>
  <si>
    <t>Movie_479</t>
  </si>
  <si>
    <t>Movie_480</t>
  </si>
  <si>
    <t>Movie_481</t>
  </si>
  <si>
    <t>Movie_482</t>
  </si>
  <si>
    <t>Movie_483</t>
  </si>
  <si>
    <t>Movie_484</t>
  </si>
  <si>
    <t>Movie_485</t>
  </si>
  <si>
    <t>Movie_486</t>
  </si>
  <si>
    <t>Movie_487</t>
  </si>
  <si>
    <t>Movie_488</t>
  </si>
  <si>
    <t>Movie_489</t>
  </si>
  <si>
    <t>Movie_490</t>
  </si>
  <si>
    <t>Movie_491</t>
  </si>
  <si>
    <t>Movie_492</t>
  </si>
  <si>
    <t>Movie_493</t>
  </si>
  <si>
    <t>Movie_494</t>
  </si>
  <si>
    <t>Movie_495</t>
  </si>
  <si>
    <t>Movie_496</t>
  </si>
  <si>
    <t>Movie_497</t>
  </si>
  <si>
    <t>Movie_498</t>
  </si>
  <si>
    <t>Movie_499</t>
  </si>
  <si>
    <t>Horror</t>
  </si>
  <si>
    <t>Action</t>
  </si>
  <si>
    <t>Drama</t>
  </si>
  <si>
    <t>Comedy</t>
  </si>
  <si>
    <t>Sci-Fi</t>
  </si>
  <si>
    <t>Thriller</t>
  </si>
  <si>
    <t>Japanese</t>
  </si>
  <si>
    <t>Hindi</t>
  </si>
  <si>
    <t>Spanish</t>
  </si>
  <si>
    <t>French</t>
  </si>
  <si>
    <t>English</t>
  </si>
  <si>
    <t>German</t>
  </si>
  <si>
    <t>Yes</t>
  </si>
  <si>
    <t>No</t>
  </si>
  <si>
    <t>Column1</t>
  </si>
  <si>
    <t>shortest mv</t>
  </si>
  <si>
    <t>longest mv</t>
  </si>
  <si>
    <t>count</t>
  </si>
  <si>
    <t>avg of rating</t>
  </si>
  <si>
    <t>0 decimal</t>
  </si>
  <si>
    <t>roundup</t>
  </si>
  <si>
    <t>rounddown</t>
  </si>
  <si>
    <t>&gt;120</t>
  </si>
  <si>
    <t>Column2</t>
  </si>
  <si>
    <t>Column3</t>
  </si>
  <si>
    <t>Column4</t>
  </si>
  <si>
    <t>Column5</t>
  </si>
  <si>
    <t>Column6</t>
  </si>
  <si>
    <t>movie id</t>
  </si>
  <si>
    <t>total duration</t>
  </si>
  <si>
    <t>Column7</t>
  </si>
  <si>
    <t>ratings by index match</t>
  </si>
  <si>
    <t>movie 25 duration</t>
  </si>
  <si>
    <t>released year</t>
  </si>
  <si>
    <t>movie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</si>
</sst>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22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65D742-8474-45D9-A19F-2172A72E7C92}" name="Table1" displayName="Table1" ref="A1:V501" totalsRowShown="0" headerRowDxfId="10">
  <tableColumns count="22">
    <tableColumn id="1" xr3:uid="{9F97B13B-F9B8-4BC7-85CF-CBBAA7CE8B08}" name="MovieID"/>
    <tableColumn id="2" xr3:uid="{B0B46D02-3662-42B2-B8F1-7DDEAC7E6209}" name="Title"/>
    <tableColumn id="22" xr3:uid="{01FF5B67-EF4C-48A5-B77C-0910944BC1B2}" name="Column5" dataDxfId="9">
      <calculatedColumnFormula>LEN(B2)</calculatedColumnFormula>
    </tableColumn>
    <tableColumn id="19" xr3:uid="{4FC9B9C5-5359-4F05-B193-890FF13112AC}" name="Column2"/>
    <tableColumn id="3" xr3:uid="{6A43F90F-7FF1-4229-9304-77809AE23C15}" name="Genre"/>
    <tableColumn id="23" xr3:uid="{72441B23-8D8E-40CB-8FA0-B03A5C5123AC}" name="Column6" dataDxfId="8">
      <calculatedColumnFormula>TRIM(Table1[[#This Row],[Genre]])</calculatedColumnFormula>
    </tableColumn>
    <tableColumn id="4" xr3:uid="{FF1D563C-21B6-4BAB-9BC7-082AF40A6D17}" name="Duration_Minutes"/>
    <tableColumn id="5" xr3:uid="{1EB897D6-0AFC-4236-BB2E-4119015F3AD1}" name="Rating"/>
    <tableColumn id="11" xr3:uid="{4B31703A-A0AC-439E-868E-C996ABDF20DB}" name="Column7" dataDxfId="0">
      <calculatedColumnFormula array="1">_xlfn.IFS(H2&lt;4,"poor",H2&lt;7,"average",H2&lt;9,"good",TRUE,"excellent")</calculatedColumnFormula>
    </tableColumn>
    <tableColumn id="6" xr3:uid="{91D3D5BD-E776-46FE-8C48-E5B31BDFE88F}" name="Language"/>
    <tableColumn id="20" xr3:uid="{7394E3AD-B173-4142-A78F-CD8C76DE469A}" name="Column3" dataDxfId="7">
      <calculatedColumnFormula>LEFT(J2,3)</calculatedColumnFormula>
    </tableColumn>
    <tableColumn id="7" xr3:uid="{8ED8BF20-AF62-4598-9A28-737F5915CDE5}" name="released year"/>
    <tableColumn id="21" xr3:uid="{3367AE47-AA8A-4280-82A2-ACBFEBE23236}" name="Column4" dataDxfId="6">
      <calculatedColumnFormula>RIGHT(L2,2)</calculatedColumnFormula>
    </tableColumn>
    <tableColumn id="8" xr3:uid="{2F213AF2-ACA5-4600-9FE1-9C9FF873A6D7}" name="Available"/>
    <tableColumn id="9" xr3:uid="{1DD72B62-2ED2-4D0E-B2B6-3493C2F6D1F3}" name="LastWatchedDate" dataDxfId="5"/>
    <tableColumn id="10" xr3:uid="{D00E2CBF-B8D9-467C-8758-78941D0E5262}" name="shortest mv"/>
    <tableColumn id="13" xr3:uid="{E7D9759E-3398-47D0-856E-5D9694B700CA}" name="count" dataDxfId="4">
      <calculatedColumnFormula>COUNT(A2:O2)</calculatedColumnFormula>
    </tableColumn>
    <tableColumn id="14" xr3:uid="{6889B03E-0B2D-4734-B4A0-0EC6A7FE8C22}" name="total duration" dataDxfId="3">
      <calculatedColumnFormula>SUM(G2:G501)</calculatedColumnFormula>
    </tableColumn>
    <tableColumn id="15" xr3:uid="{084973CB-037F-44EC-9D26-5B1243DC2D68}" name="avg of rating"/>
    <tableColumn id="16" xr3:uid="{883AA1E7-68A4-4089-B1F9-D8CA10DC86CE}" name="0 decimal"/>
    <tableColumn id="17" xr3:uid="{66852D46-5660-4A61-9E2B-0CD0168EF81D}" name="&gt;120" dataDxfId="2">
      <calculatedColumnFormula>IF(G2&gt;120,"long","short")</calculatedColumnFormula>
    </tableColumn>
    <tableColumn id="18" xr3:uid="{E51F0E6E-B1BF-456E-95C2-F7A44D47963A}" name="Column1" dataDxfId="1">
      <calculatedColumnFormula>NOW()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1"/>
  <sheetViews>
    <sheetView tabSelected="1" topLeftCell="C1" workbookViewId="0">
      <pane ySplit="1" topLeftCell="A2" activePane="bottomLeft" state="frozen"/>
      <selection pane="bottomLeft" activeCell="D2" sqref="D2"/>
    </sheetView>
  </sheetViews>
  <sheetFormatPr defaultRowHeight="15" x14ac:dyDescent="0.25"/>
  <cols>
    <col min="1" max="1" width="13.5703125" customWidth="1"/>
    <col min="2" max="3" width="10.7109375" customWidth="1"/>
    <col min="4" max="4" width="17.28515625" customWidth="1"/>
    <col min="5" max="6" width="13.7109375" customWidth="1"/>
    <col min="7" max="9" width="23.85546875" customWidth="1"/>
    <col min="10" max="11" width="16" customWidth="1"/>
    <col min="12" max="13" width="18.5703125" customWidth="1"/>
    <col min="14" max="14" width="15.42578125" customWidth="1"/>
    <col min="15" max="15" width="18.28515625" customWidth="1"/>
    <col min="16" max="16" width="14.28515625" customWidth="1"/>
    <col min="17" max="17" width="23.85546875" customWidth="1"/>
    <col min="18" max="18" width="18.140625" customWidth="1"/>
    <col min="19" max="19" width="15.85546875" customWidth="1"/>
    <col min="20" max="20" width="14.5703125" customWidth="1"/>
    <col min="22" max="22" width="15.5703125" bestFit="1" customWidth="1"/>
  </cols>
  <sheetData>
    <row r="1" spans="1:26" x14ac:dyDescent="0.25">
      <c r="A1" s="1" t="s">
        <v>0</v>
      </c>
      <c r="B1" s="1" t="s">
        <v>1</v>
      </c>
      <c r="C1" s="1" t="s">
        <v>1034</v>
      </c>
      <c r="D1" s="1" t="s">
        <v>1031</v>
      </c>
      <c r="E1" s="1" t="s">
        <v>2</v>
      </c>
      <c r="F1" s="1" t="s">
        <v>1035</v>
      </c>
      <c r="G1" s="1" t="s">
        <v>3</v>
      </c>
      <c r="H1" s="1" t="s">
        <v>4</v>
      </c>
      <c r="I1" s="1" t="s">
        <v>1038</v>
      </c>
      <c r="J1" s="1" t="s">
        <v>5</v>
      </c>
      <c r="K1" s="1" t="s">
        <v>1032</v>
      </c>
      <c r="L1" s="1" t="s">
        <v>1041</v>
      </c>
      <c r="M1" s="1" t="s">
        <v>1033</v>
      </c>
      <c r="N1" s="1" t="s">
        <v>6</v>
      </c>
      <c r="O1" s="1" t="s">
        <v>7</v>
      </c>
      <c r="P1" s="3" t="s">
        <v>1023</v>
      </c>
      <c r="Q1" s="3" t="s">
        <v>1025</v>
      </c>
      <c r="R1" s="3" t="s">
        <v>1037</v>
      </c>
      <c r="S1" s="3" t="s">
        <v>1026</v>
      </c>
      <c r="T1" s="3" t="s">
        <v>1027</v>
      </c>
      <c r="U1" s="3" t="s">
        <v>1030</v>
      </c>
      <c r="V1" s="3" t="s">
        <v>1022</v>
      </c>
    </row>
    <row r="2" spans="1:26" x14ac:dyDescent="0.25">
      <c r="A2" t="s">
        <v>8</v>
      </c>
      <c r="B2" t="s">
        <v>508</v>
      </c>
      <c r="C2">
        <f t="shared" ref="C2:C65" si="0">LEN(B2)</f>
        <v>7</v>
      </c>
      <c r="D2" t="str">
        <f>CONCATENATE(A2," ",B2)</f>
        <v>M1000 Movie_0</v>
      </c>
      <c r="E2" t="s">
        <v>1008</v>
      </c>
      <c r="F2" t="str">
        <f>TRIM(Table1[[#This Row],[Genre]])</f>
        <v>Horror</v>
      </c>
      <c r="G2">
        <v>87</v>
      </c>
      <c r="H2">
        <v>8.5</v>
      </c>
      <c r="I2" t="str" cm="1">
        <f t="array" ref="I2">_xlfn.IFS(H2&lt;4,"poor",H2&lt;7,"average",H2&lt;9,"good",TRUE,"excellent")</f>
        <v>good</v>
      </c>
      <c r="J2" t="s">
        <v>1014</v>
      </c>
      <c r="K2" t="str">
        <f t="shared" ref="K2:K65" si="1">LEFT(J2,3)</f>
        <v>Jap</v>
      </c>
      <c r="L2">
        <v>1995</v>
      </c>
      <c r="M2" t="str">
        <f t="shared" ref="M2:M65" si="2">RIGHT(L2,2)</f>
        <v>95</v>
      </c>
      <c r="N2" t="s">
        <v>1020</v>
      </c>
      <c r="O2" s="2">
        <v>44369</v>
      </c>
      <c r="P2">
        <f>MIN(G2:G501)</f>
        <v>60</v>
      </c>
      <c r="Q2">
        <f t="shared" ref="Q2:Q65" si="3">COUNT(A2:O2)</f>
        <v>5</v>
      </c>
      <c r="R2">
        <f t="shared" ref="R2:R65" si="4">SUM(G2:G501)</f>
        <v>66452</v>
      </c>
      <c r="T2">
        <f>ROUND(H2,0)</f>
        <v>9</v>
      </c>
      <c r="U2" t="str">
        <f t="shared" ref="U2:U65" si="5">IF(G2&gt;120,"long","short")</f>
        <v>short</v>
      </c>
      <c r="V2" s="4">
        <f t="shared" ref="V2:V65" ca="1" si="6">NOW()</f>
        <v>45973.174535995371</v>
      </c>
    </row>
    <row r="3" spans="1:26" x14ac:dyDescent="0.25">
      <c r="A3" t="s">
        <v>9</v>
      </c>
      <c r="B3" t="s">
        <v>509</v>
      </c>
      <c r="C3">
        <f t="shared" si="0"/>
        <v>7</v>
      </c>
      <c r="D3" t="str">
        <f t="shared" ref="D3:D66" si="7">CONCATENATE(A3," ",B3)</f>
        <v>M1001 Movie_1</v>
      </c>
      <c r="E3" t="s">
        <v>1009</v>
      </c>
      <c r="F3" t="str">
        <f>TRIM(Table1[[#This Row],[Genre]])</f>
        <v>Action</v>
      </c>
      <c r="G3">
        <v>157</v>
      </c>
      <c r="H3">
        <v>9.8000000000000007</v>
      </c>
      <c r="I3" t="str" cm="1">
        <f t="array" ref="I3">_xlfn.IFS(H3&lt;4,"poor",H3&lt;7,"average",H3&lt;9,"good",TRUE,"excellent")</f>
        <v>excellent</v>
      </c>
      <c r="J3" t="s">
        <v>1015</v>
      </c>
      <c r="K3" t="str">
        <f t="shared" si="1"/>
        <v>Hin</v>
      </c>
      <c r="L3">
        <v>2023</v>
      </c>
      <c r="M3" t="str">
        <f t="shared" si="2"/>
        <v>23</v>
      </c>
      <c r="N3" t="s">
        <v>1021</v>
      </c>
      <c r="O3" s="2">
        <v>44544</v>
      </c>
      <c r="P3" t="s">
        <v>1024</v>
      </c>
      <c r="Q3">
        <f t="shared" si="3"/>
        <v>5</v>
      </c>
      <c r="R3">
        <f t="shared" si="4"/>
        <v>66365</v>
      </c>
      <c r="S3">
        <f>AVERAGE(H2:H501)</f>
        <v>5.5433999999999992</v>
      </c>
      <c r="U3" t="str">
        <f t="shared" si="5"/>
        <v>long</v>
      </c>
      <c r="V3" s="4">
        <f t="shared" ca="1" si="6"/>
        <v>45973.174535995371</v>
      </c>
    </row>
    <row r="4" spans="1:26" x14ac:dyDescent="0.25">
      <c r="A4" t="s">
        <v>10</v>
      </c>
      <c r="B4" t="s">
        <v>510</v>
      </c>
      <c r="C4">
        <f t="shared" si="0"/>
        <v>7</v>
      </c>
      <c r="D4" t="str">
        <f t="shared" si="7"/>
        <v>M1002 Movie_2</v>
      </c>
      <c r="E4" t="s">
        <v>1009</v>
      </c>
      <c r="F4" t="str">
        <f>TRIM(Table1[[#This Row],[Genre]])</f>
        <v>Action</v>
      </c>
      <c r="G4">
        <v>69</v>
      </c>
      <c r="H4">
        <v>3.2</v>
      </c>
      <c r="I4" t="str" cm="1">
        <f t="array" ref="I4">_xlfn.IFS(H4&lt;4,"poor",H4&lt;7,"average",H4&lt;9,"good",TRUE,"excellent")</f>
        <v>poor</v>
      </c>
      <c r="J4" t="s">
        <v>1016</v>
      </c>
      <c r="K4" t="str">
        <f t="shared" si="1"/>
        <v>Spa</v>
      </c>
      <c r="L4">
        <v>2005</v>
      </c>
      <c r="M4" t="str">
        <f t="shared" si="2"/>
        <v>05</v>
      </c>
      <c r="N4" t="s">
        <v>1021</v>
      </c>
      <c r="O4" s="2">
        <v>45503</v>
      </c>
      <c r="P4">
        <f>MAX(G2:G501)</f>
        <v>200</v>
      </c>
      <c r="Q4">
        <f t="shared" si="3"/>
        <v>5</v>
      </c>
      <c r="R4">
        <f t="shared" si="4"/>
        <v>66208</v>
      </c>
      <c r="T4" t="s">
        <v>1028</v>
      </c>
      <c r="U4" t="str">
        <f t="shared" si="5"/>
        <v>short</v>
      </c>
      <c r="V4" s="4">
        <f t="shared" ca="1" si="6"/>
        <v>45973.174535995371</v>
      </c>
    </row>
    <row r="5" spans="1:26" x14ac:dyDescent="0.25">
      <c r="A5" t="s">
        <v>11</v>
      </c>
      <c r="B5" t="s">
        <v>511</v>
      </c>
      <c r="C5">
        <f t="shared" si="0"/>
        <v>7</v>
      </c>
      <c r="D5" t="str">
        <f t="shared" si="7"/>
        <v>M1003 Movie_3</v>
      </c>
      <c r="E5" t="s">
        <v>1008</v>
      </c>
      <c r="F5" t="str">
        <f>TRIM(Table1[[#This Row],[Genre]])</f>
        <v>Horror</v>
      </c>
      <c r="G5">
        <v>180</v>
      </c>
      <c r="H5">
        <v>6</v>
      </c>
      <c r="I5" t="str" cm="1">
        <f t="array" ref="I5">_xlfn.IFS(H5&lt;4,"poor",H5&lt;7,"average",H5&lt;9,"good",TRUE,"excellent")</f>
        <v>average</v>
      </c>
      <c r="J5" t="s">
        <v>1017</v>
      </c>
      <c r="K5" t="str">
        <f t="shared" si="1"/>
        <v>Fre</v>
      </c>
      <c r="L5">
        <v>1999</v>
      </c>
      <c r="M5" t="str">
        <f t="shared" si="2"/>
        <v>99</v>
      </c>
      <c r="N5" t="s">
        <v>1020</v>
      </c>
      <c r="O5" s="2">
        <v>44009</v>
      </c>
      <c r="Q5">
        <f t="shared" si="3"/>
        <v>5</v>
      </c>
      <c r="R5">
        <f t="shared" si="4"/>
        <v>66139</v>
      </c>
      <c r="T5">
        <f>ROUNDUP(H7,0)</f>
        <v>10</v>
      </c>
      <c r="U5" t="str">
        <f t="shared" si="5"/>
        <v>long</v>
      </c>
      <c r="V5" s="4">
        <f t="shared" ca="1" si="6"/>
        <v>45973.174535995371</v>
      </c>
    </row>
    <row r="6" spans="1:26" x14ac:dyDescent="0.25">
      <c r="A6" t="s">
        <v>12</v>
      </c>
      <c r="B6" t="s">
        <v>512</v>
      </c>
      <c r="C6">
        <f t="shared" si="0"/>
        <v>7</v>
      </c>
      <c r="D6" t="str">
        <f t="shared" si="7"/>
        <v>M1004 Movie_4</v>
      </c>
      <c r="E6" t="s">
        <v>1010</v>
      </c>
      <c r="F6" t="str">
        <f>TRIM(Table1[[#This Row],[Genre]])</f>
        <v>Drama</v>
      </c>
      <c r="G6">
        <v>116</v>
      </c>
      <c r="H6">
        <v>4.5</v>
      </c>
      <c r="I6" t="str" cm="1">
        <f t="array" ref="I6">_xlfn.IFS(H6&lt;4,"poor",H6&lt;7,"average",H6&lt;9,"good",TRUE,"excellent")</f>
        <v>average</v>
      </c>
      <c r="J6" t="s">
        <v>1018</v>
      </c>
      <c r="K6" t="str">
        <f t="shared" si="1"/>
        <v>Eng</v>
      </c>
      <c r="L6">
        <v>2009</v>
      </c>
      <c r="M6" t="str">
        <f t="shared" si="2"/>
        <v>09</v>
      </c>
      <c r="N6" t="s">
        <v>1021</v>
      </c>
      <c r="O6" s="2">
        <v>44730</v>
      </c>
      <c r="Q6">
        <f t="shared" si="3"/>
        <v>5</v>
      </c>
      <c r="R6">
        <f t="shared" si="4"/>
        <v>65959</v>
      </c>
      <c r="T6" t="s">
        <v>1029</v>
      </c>
      <c r="U6" t="str">
        <f t="shared" si="5"/>
        <v>short</v>
      </c>
      <c r="V6" s="4">
        <f t="shared" ca="1" si="6"/>
        <v>45973.174535995371</v>
      </c>
      <c r="Z6" t="s">
        <v>1036</v>
      </c>
    </row>
    <row r="7" spans="1:26" x14ac:dyDescent="0.25">
      <c r="A7" t="s">
        <v>13</v>
      </c>
      <c r="B7" t="s">
        <v>513</v>
      </c>
      <c r="C7">
        <f t="shared" si="0"/>
        <v>7</v>
      </c>
      <c r="D7" t="str">
        <f t="shared" si="7"/>
        <v>M1005 Movie_5</v>
      </c>
      <c r="E7" t="s">
        <v>1011</v>
      </c>
      <c r="F7" t="str">
        <f>TRIM(Table1[[#This Row],[Genre]])</f>
        <v>Comedy</v>
      </c>
      <c r="G7">
        <v>111</v>
      </c>
      <c r="H7">
        <v>9.3000000000000007</v>
      </c>
      <c r="I7" t="str" cm="1">
        <f t="array" ref="I7">_xlfn.IFS(H7&lt;4,"poor",H7&lt;7,"average",H7&lt;9,"good",TRUE,"excellent")</f>
        <v>excellent</v>
      </c>
      <c r="J7" t="s">
        <v>1015</v>
      </c>
      <c r="K7" t="str">
        <f t="shared" si="1"/>
        <v>Hin</v>
      </c>
      <c r="L7">
        <v>1984</v>
      </c>
      <c r="M7" t="str">
        <f t="shared" si="2"/>
        <v>84</v>
      </c>
      <c r="N7" t="s">
        <v>1020</v>
      </c>
      <c r="O7" s="2">
        <v>44071</v>
      </c>
      <c r="Q7">
        <f t="shared" si="3"/>
        <v>5</v>
      </c>
      <c r="R7">
        <f t="shared" si="4"/>
        <v>65843</v>
      </c>
      <c r="T7">
        <f>ROUNDDOWN(H7,0)</f>
        <v>9</v>
      </c>
      <c r="U7" t="str">
        <f t="shared" si="5"/>
        <v>short</v>
      </c>
      <c r="V7" s="4">
        <f t="shared" ca="1" si="6"/>
        <v>45973.174535995371</v>
      </c>
      <c r="Z7" t="str">
        <f>VLOOKUP(Table1[[#This Row],[MovieID]],A:M,5,0)</f>
        <v>Comedy</v>
      </c>
    </row>
    <row r="8" spans="1:26" x14ac:dyDescent="0.25">
      <c r="A8" t="s">
        <v>14</v>
      </c>
      <c r="B8" t="s">
        <v>514</v>
      </c>
      <c r="C8">
        <f t="shared" si="0"/>
        <v>7</v>
      </c>
      <c r="D8" t="str">
        <f t="shared" si="7"/>
        <v>M1006 Movie_6</v>
      </c>
      <c r="E8" t="s">
        <v>1011</v>
      </c>
      <c r="F8" t="str">
        <f>TRIM(Table1[[#This Row],[Genre]])</f>
        <v>Comedy</v>
      </c>
      <c r="G8">
        <v>177</v>
      </c>
      <c r="H8">
        <v>5.6</v>
      </c>
      <c r="I8" t="str" cm="1">
        <f t="array" ref="I8">_xlfn.IFS(H8&lt;4,"poor",H8&lt;7,"average",H8&lt;9,"good",TRUE,"excellent")</f>
        <v>average</v>
      </c>
      <c r="J8" t="s">
        <v>1014</v>
      </c>
      <c r="K8" t="str">
        <f t="shared" si="1"/>
        <v>Jap</v>
      </c>
      <c r="L8">
        <v>2024</v>
      </c>
      <c r="M8" t="str">
        <f t="shared" si="2"/>
        <v>24</v>
      </c>
      <c r="N8" t="s">
        <v>1020</v>
      </c>
      <c r="O8" s="2">
        <v>45419</v>
      </c>
      <c r="Q8">
        <f t="shared" si="3"/>
        <v>5</v>
      </c>
      <c r="R8">
        <f t="shared" si="4"/>
        <v>65732</v>
      </c>
      <c r="U8" t="str">
        <f t="shared" si="5"/>
        <v>long</v>
      </c>
      <c r="V8" s="4">
        <f t="shared" ca="1" si="6"/>
        <v>45973.174535995371</v>
      </c>
    </row>
    <row r="9" spans="1:26" x14ac:dyDescent="0.25">
      <c r="A9" t="s">
        <v>15</v>
      </c>
      <c r="B9" t="s">
        <v>515</v>
      </c>
      <c r="C9">
        <f t="shared" si="0"/>
        <v>7</v>
      </c>
      <c r="D9" t="str">
        <f t="shared" si="7"/>
        <v>M1007 Movie_7</v>
      </c>
      <c r="E9" t="s">
        <v>1011</v>
      </c>
      <c r="F9" t="str">
        <f>TRIM(Table1[[#This Row],[Genre]])</f>
        <v>Comedy</v>
      </c>
      <c r="G9">
        <v>149</v>
      </c>
      <c r="H9">
        <v>8.9</v>
      </c>
      <c r="I9" t="str" cm="1">
        <f t="array" ref="I9">_xlfn.IFS(H9&lt;4,"poor",H9&lt;7,"average",H9&lt;9,"good",TRUE,"excellent")</f>
        <v>good</v>
      </c>
      <c r="J9" t="s">
        <v>1016</v>
      </c>
      <c r="K9" t="str">
        <f t="shared" si="1"/>
        <v>Spa</v>
      </c>
      <c r="L9">
        <v>1983</v>
      </c>
      <c r="M9" t="str">
        <f t="shared" si="2"/>
        <v>83</v>
      </c>
      <c r="N9" t="s">
        <v>1020</v>
      </c>
      <c r="O9" s="2">
        <v>45493</v>
      </c>
      <c r="Q9">
        <f t="shared" si="3"/>
        <v>5</v>
      </c>
      <c r="R9">
        <f t="shared" si="4"/>
        <v>65555</v>
      </c>
      <c r="U9" t="str">
        <f t="shared" si="5"/>
        <v>long</v>
      </c>
      <c r="V9" s="4">
        <f t="shared" ca="1" si="6"/>
        <v>45973.174535995371</v>
      </c>
    </row>
    <row r="10" spans="1:26" x14ac:dyDescent="0.25">
      <c r="A10" t="s">
        <v>16</v>
      </c>
      <c r="B10" t="s">
        <v>516</v>
      </c>
      <c r="C10">
        <f t="shared" si="0"/>
        <v>7</v>
      </c>
      <c r="D10" t="str">
        <f t="shared" si="7"/>
        <v>M1008 Movie_8</v>
      </c>
      <c r="E10" t="s">
        <v>1008</v>
      </c>
      <c r="F10" t="str">
        <f>TRIM(Table1[[#This Row],[Genre]])</f>
        <v>Horror</v>
      </c>
      <c r="G10">
        <v>138</v>
      </c>
      <c r="H10">
        <v>8.8000000000000007</v>
      </c>
      <c r="I10" t="str" cm="1">
        <f t="array" ref="I10">_xlfn.IFS(H10&lt;4,"poor",H10&lt;7,"average",H10&lt;9,"good",TRUE,"excellent")</f>
        <v>good</v>
      </c>
      <c r="J10" t="s">
        <v>1017</v>
      </c>
      <c r="K10" t="str">
        <f t="shared" si="1"/>
        <v>Fre</v>
      </c>
      <c r="L10">
        <v>1990</v>
      </c>
      <c r="M10" t="str">
        <f t="shared" si="2"/>
        <v>90</v>
      </c>
      <c r="N10" t="s">
        <v>1021</v>
      </c>
      <c r="O10" s="2">
        <v>44316</v>
      </c>
      <c r="Q10">
        <f t="shared" si="3"/>
        <v>5</v>
      </c>
      <c r="R10">
        <f t="shared" si="4"/>
        <v>65406</v>
      </c>
      <c r="U10" t="str">
        <f t="shared" si="5"/>
        <v>long</v>
      </c>
      <c r="V10" s="4">
        <f t="shared" ca="1" si="6"/>
        <v>45973.174535995371</v>
      </c>
      <c r="Z10" t="s">
        <v>1039</v>
      </c>
    </row>
    <row r="11" spans="1:26" x14ac:dyDescent="0.25">
      <c r="A11" t="s">
        <v>17</v>
      </c>
      <c r="B11" t="s">
        <v>517</v>
      </c>
      <c r="C11">
        <f t="shared" si="0"/>
        <v>7</v>
      </c>
      <c r="D11" t="str">
        <f t="shared" si="7"/>
        <v>M1009 Movie_9</v>
      </c>
      <c r="E11" t="s">
        <v>1009</v>
      </c>
      <c r="F11" t="str">
        <f>TRIM(Table1[[#This Row],[Genre]])</f>
        <v>Action</v>
      </c>
      <c r="G11">
        <v>118</v>
      </c>
      <c r="H11">
        <v>3.5</v>
      </c>
      <c r="I11" t="str" cm="1">
        <f t="array" ref="I11">_xlfn.IFS(H11&lt;4,"poor",H11&lt;7,"average",H11&lt;9,"good",TRUE,"excellent")</f>
        <v>poor</v>
      </c>
      <c r="J11" t="s">
        <v>1017</v>
      </c>
      <c r="K11" t="str">
        <f t="shared" si="1"/>
        <v>Fre</v>
      </c>
      <c r="L11">
        <v>2008</v>
      </c>
      <c r="M11" t="str">
        <f t="shared" si="2"/>
        <v>08</v>
      </c>
      <c r="N11" t="s">
        <v>1020</v>
      </c>
      <c r="O11" s="2">
        <v>44260</v>
      </c>
      <c r="Q11">
        <f t="shared" si="3"/>
        <v>5</v>
      </c>
      <c r="R11">
        <f t="shared" si="4"/>
        <v>65268</v>
      </c>
      <c r="U11" t="str">
        <f t="shared" si="5"/>
        <v>short</v>
      </c>
      <c r="V11" s="4">
        <f t="shared" ca="1" si="6"/>
        <v>45973.174535995371</v>
      </c>
      <c r="Z11">
        <f>INDEX(H2:H501,MATCH(A27,A2:A501))</f>
        <v>5.0999999999999996</v>
      </c>
    </row>
    <row r="12" spans="1:26" x14ac:dyDescent="0.25">
      <c r="A12" t="s">
        <v>18</v>
      </c>
      <c r="B12" t="s">
        <v>518</v>
      </c>
      <c r="C12">
        <f t="shared" si="0"/>
        <v>8</v>
      </c>
      <c r="D12" t="str">
        <f t="shared" si="7"/>
        <v>M1010 Movie_10</v>
      </c>
      <c r="E12" t="s">
        <v>1008</v>
      </c>
      <c r="F12" t="str">
        <f>TRIM(Table1[[#This Row],[Genre]])</f>
        <v>Horror</v>
      </c>
      <c r="G12">
        <v>117</v>
      </c>
      <c r="H12">
        <v>8.1</v>
      </c>
      <c r="I12" t="str" cm="1">
        <f t="array" ref="I12">_xlfn.IFS(H12&lt;4,"poor",H12&lt;7,"average",H12&lt;9,"good",TRUE,"excellent")</f>
        <v>good</v>
      </c>
      <c r="J12" t="s">
        <v>1014</v>
      </c>
      <c r="K12" t="str">
        <f t="shared" si="1"/>
        <v>Jap</v>
      </c>
      <c r="L12">
        <v>2006</v>
      </c>
      <c r="M12" t="str">
        <f t="shared" si="2"/>
        <v>06</v>
      </c>
      <c r="N12" t="s">
        <v>1020</v>
      </c>
      <c r="O12" s="2">
        <v>45491</v>
      </c>
      <c r="Q12">
        <f t="shared" si="3"/>
        <v>5</v>
      </c>
      <c r="R12">
        <f t="shared" si="4"/>
        <v>65150</v>
      </c>
      <c r="U12" t="str">
        <f t="shared" si="5"/>
        <v>short</v>
      </c>
      <c r="V12" s="4">
        <f t="shared" ca="1" si="6"/>
        <v>45973.174535995371</v>
      </c>
    </row>
    <row r="13" spans="1:26" x14ac:dyDescent="0.25">
      <c r="A13" t="s">
        <v>19</v>
      </c>
      <c r="B13" t="s">
        <v>519</v>
      </c>
      <c r="C13">
        <f t="shared" si="0"/>
        <v>8</v>
      </c>
      <c r="D13" t="str">
        <f t="shared" si="7"/>
        <v>M1011 Movie_11</v>
      </c>
      <c r="E13" t="s">
        <v>1008</v>
      </c>
      <c r="F13" t="str">
        <f>TRIM(Table1[[#This Row],[Genre]])</f>
        <v>Horror</v>
      </c>
      <c r="G13">
        <v>66</v>
      </c>
      <c r="H13">
        <v>4.7</v>
      </c>
      <c r="I13" t="str" cm="1">
        <f t="array" ref="I13">_xlfn.IFS(H13&lt;4,"poor",H13&lt;7,"average",H13&lt;9,"good",TRUE,"excellent")</f>
        <v>average</v>
      </c>
      <c r="J13" t="s">
        <v>1014</v>
      </c>
      <c r="K13" t="str">
        <f t="shared" si="1"/>
        <v>Jap</v>
      </c>
      <c r="L13">
        <v>2010</v>
      </c>
      <c r="M13" t="str">
        <f t="shared" si="2"/>
        <v>10</v>
      </c>
      <c r="N13" t="s">
        <v>1020</v>
      </c>
      <c r="O13" s="2">
        <v>45341</v>
      </c>
      <c r="Q13">
        <f t="shared" si="3"/>
        <v>5</v>
      </c>
      <c r="R13">
        <f t="shared" si="4"/>
        <v>65033</v>
      </c>
      <c r="U13" t="str">
        <f t="shared" si="5"/>
        <v>short</v>
      </c>
      <c r="V13" s="4">
        <f t="shared" ca="1" si="6"/>
        <v>45973.174535995371</v>
      </c>
      <c r="Z13" t="s">
        <v>1040</v>
      </c>
    </row>
    <row r="14" spans="1:26" x14ac:dyDescent="0.25">
      <c r="A14" t="s">
        <v>20</v>
      </c>
      <c r="B14" t="s">
        <v>520</v>
      </c>
      <c r="C14">
        <f t="shared" si="0"/>
        <v>8</v>
      </c>
      <c r="D14" t="str">
        <f t="shared" si="7"/>
        <v>M1012 Movie_12</v>
      </c>
      <c r="E14" t="s">
        <v>1012</v>
      </c>
      <c r="F14" t="str">
        <f>TRIM(Table1[[#This Row],[Genre]])</f>
        <v>Sci-Fi</v>
      </c>
      <c r="G14">
        <v>109</v>
      </c>
      <c r="H14">
        <v>9.4</v>
      </c>
      <c r="I14" t="str" cm="1">
        <f t="array" ref="I14">_xlfn.IFS(H14&lt;4,"poor",H14&lt;7,"average",H14&lt;9,"good",TRUE,"excellent")</f>
        <v>excellent</v>
      </c>
      <c r="J14" t="s">
        <v>1014</v>
      </c>
      <c r="K14" t="str">
        <f t="shared" si="1"/>
        <v>Jap</v>
      </c>
      <c r="L14">
        <v>2009</v>
      </c>
      <c r="M14" t="str">
        <f t="shared" si="2"/>
        <v>09</v>
      </c>
      <c r="N14" t="s">
        <v>1020</v>
      </c>
      <c r="O14" s="2">
        <v>45035</v>
      </c>
      <c r="Q14">
        <f t="shared" si="3"/>
        <v>5</v>
      </c>
      <c r="R14">
        <f t="shared" si="4"/>
        <v>64967</v>
      </c>
      <c r="U14" t="str">
        <f t="shared" si="5"/>
        <v>short</v>
      </c>
      <c r="V14" s="4">
        <f t="shared" ca="1" si="6"/>
        <v>45973.174535995371</v>
      </c>
      <c r="Z14">
        <f>INDEX(G2:G501,MATCH(B27,B2:B501))</f>
        <v>185</v>
      </c>
    </row>
    <row r="15" spans="1:26" x14ac:dyDescent="0.25">
      <c r="A15" t="s">
        <v>21</v>
      </c>
      <c r="B15" t="s">
        <v>521</v>
      </c>
      <c r="C15">
        <f t="shared" si="0"/>
        <v>8</v>
      </c>
      <c r="D15" t="str">
        <f t="shared" si="7"/>
        <v>M1013 Movie_13</v>
      </c>
      <c r="E15" t="s">
        <v>1009</v>
      </c>
      <c r="F15" t="str">
        <f>TRIM(Table1[[#This Row],[Genre]])</f>
        <v>Action</v>
      </c>
      <c r="G15">
        <v>162</v>
      </c>
      <c r="H15">
        <v>5.6</v>
      </c>
      <c r="I15" t="str" cm="1">
        <f t="array" ref="I15">_xlfn.IFS(H15&lt;4,"poor",H15&lt;7,"average",H15&lt;9,"good",TRUE,"excellent")</f>
        <v>average</v>
      </c>
      <c r="J15" t="s">
        <v>1019</v>
      </c>
      <c r="K15" t="str">
        <f t="shared" si="1"/>
        <v>Ger</v>
      </c>
      <c r="L15">
        <v>1993</v>
      </c>
      <c r="M15" t="str">
        <f t="shared" si="2"/>
        <v>93</v>
      </c>
      <c r="N15" t="s">
        <v>1020</v>
      </c>
      <c r="O15" s="2">
        <v>45242</v>
      </c>
      <c r="Q15">
        <f t="shared" si="3"/>
        <v>5</v>
      </c>
      <c r="R15">
        <f t="shared" si="4"/>
        <v>64858</v>
      </c>
      <c r="U15" t="str">
        <f t="shared" si="5"/>
        <v>long</v>
      </c>
      <c r="V15" s="4">
        <f t="shared" ca="1" si="6"/>
        <v>45973.174535995371</v>
      </c>
      <c r="Y15" t="s">
        <v>1042</v>
      </c>
    </row>
    <row r="16" spans="1:26" x14ac:dyDescent="0.25">
      <c r="A16" t="s">
        <v>22</v>
      </c>
      <c r="B16" t="s">
        <v>522</v>
      </c>
      <c r="C16">
        <f t="shared" si="0"/>
        <v>8</v>
      </c>
      <c r="D16" t="str">
        <f t="shared" si="7"/>
        <v>M1014 Movie_14</v>
      </c>
      <c r="E16" t="s">
        <v>1012</v>
      </c>
      <c r="F16" t="str">
        <f>TRIM(Table1[[#This Row],[Genre]])</f>
        <v>Sci-Fi</v>
      </c>
      <c r="G16">
        <v>144</v>
      </c>
      <c r="H16">
        <v>8.4</v>
      </c>
      <c r="I16" t="str" cm="1">
        <f t="array" ref="I16">_xlfn.IFS(H16&lt;4,"poor",H16&lt;7,"average",H16&lt;9,"good",TRUE,"excellent")</f>
        <v>good</v>
      </c>
      <c r="J16" t="s">
        <v>1016</v>
      </c>
      <c r="K16" t="str">
        <f t="shared" si="1"/>
        <v>Spa</v>
      </c>
      <c r="L16">
        <v>2001</v>
      </c>
      <c r="M16" t="str">
        <f t="shared" si="2"/>
        <v>01</v>
      </c>
      <c r="N16" t="s">
        <v>1020</v>
      </c>
      <c r="O16" s="2">
        <v>44549</v>
      </c>
      <c r="Q16">
        <f t="shared" si="3"/>
        <v>5</v>
      </c>
      <c r="R16">
        <f t="shared" si="4"/>
        <v>64696</v>
      </c>
      <c r="U16" t="str">
        <f t="shared" si="5"/>
        <v>long</v>
      </c>
      <c r="V16" s="4">
        <f t="shared" ca="1" si="6"/>
        <v>45973.174535995371</v>
      </c>
      <c r="Y16" t="str">
        <f>INDEX(B2:B501,MATCH(L343,L2:L501))</f>
        <v>Movie_467</v>
      </c>
    </row>
    <row r="17" spans="1:22" x14ac:dyDescent="0.25">
      <c r="A17" t="s">
        <v>23</v>
      </c>
      <c r="B17" t="s">
        <v>523</v>
      </c>
      <c r="C17">
        <f t="shared" si="0"/>
        <v>8</v>
      </c>
      <c r="D17" t="str">
        <f t="shared" si="7"/>
        <v>M1015 Movie_15</v>
      </c>
      <c r="E17" t="s">
        <v>1013</v>
      </c>
      <c r="F17" t="str">
        <f>TRIM(Table1[[#This Row],[Genre]])</f>
        <v>Thriller</v>
      </c>
      <c r="G17">
        <v>131</v>
      </c>
      <c r="H17">
        <v>3.5</v>
      </c>
      <c r="I17" t="str" cm="1">
        <f t="array" ref="I17">_xlfn.IFS(H17&lt;4,"poor",H17&lt;7,"average",H17&lt;9,"good",TRUE,"excellent")</f>
        <v>poor</v>
      </c>
      <c r="J17" t="s">
        <v>1015</v>
      </c>
      <c r="K17" t="str">
        <f t="shared" si="1"/>
        <v>Hin</v>
      </c>
      <c r="L17">
        <v>2018</v>
      </c>
      <c r="M17" t="str">
        <f t="shared" si="2"/>
        <v>18</v>
      </c>
      <c r="N17" t="s">
        <v>1021</v>
      </c>
      <c r="O17" s="2">
        <v>45286</v>
      </c>
      <c r="Q17">
        <f t="shared" si="3"/>
        <v>5</v>
      </c>
      <c r="R17">
        <f t="shared" si="4"/>
        <v>64552</v>
      </c>
      <c r="U17" t="str">
        <f t="shared" si="5"/>
        <v>long</v>
      </c>
      <c r="V17" s="4">
        <f t="shared" ca="1" si="6"/>
        <v>45973.174535995371</v>
      </c>
    </row>
    <row r="18" spans="1:22" x14ac:dyDescent="0.25">
      <c r="A18" t="s">
        <v>24</v>
      </c>
      <c r="B18" t="s">
        <v>524</v>
      </c>
      <c r="C18">
        <f t="shared" si="0"/>
        <v>8</v>
      </c>
      <c r="D18" t="str">
        <f t="shared" si="7"/>
        <v>M1016 Movie_16</v>
      </c>
      <c r="E18" t="s">
        <v>1009</v>
      </c>
      <c r="F18" t="str">
        <f>TRIM(Table1[[#This Row],[Genre]])</f>
        <v>Action</v>
      </c>
      <c r="G18">
        <v>77</v>
      </c>
      <c r="H18">
        <v>3.7</v>
      </c>
      <c r="I18" t="str" cm="1">
        <f t="array" ref="I18">_xlfn.IFS(H18&lt;4,"poor",H18&lt;7,"average",H18&lt;9,"good",TRUE,"excellent")</f>
        <v>poor</v>
      </c>
      <c r="J18" t="s">
        <v>1014</v>
      </c>
      <c r="K18" t="str">
        <f t="shared" si="1"/>
        <v>Jap</v>
      </c>
      <c r="L18">
        <v>1989</v>
      </c>
      <c r="M18" t="str">
        <f t="shared" si="2"/>
        <v>89</v>
      </c>
      <c r="N18" t="s">
        <v>1020</v>
      </c>
      <c r="O18" s="2">
        <v>45080</v>
      </c>
      <c r="Q18">
        <f t="shared" si="3"/>
        <v>5</v>
      </c>
      <c r="R18">
        <f t="shared" si="4"/>
        <v>64421</v>
      </c>
      <c r="U18" t="str">
        <f t="shared" si="5"/>
        <v>short</v>
      </c>
      <c r="V18" s="4">
        <f t="shared" ca="1" si="6"/>
        <v>45973.174535995371</v>
      </c>
    </row>
    <row r="19" spans="1:22" x14ac:dyDescent="0.25">
      <c r="A19" t="s">
        <v>25</v>
      </c>
      <c r="B19" t="s">
        <v>525</v>
      </c>
      <c r="C19">
        <f t="shared" si="0"/>
        <v>8</v>
      </c>
      <c r="D19" t="str">
        <f t="shared" si="7"/>
        <v>M1017 Movie_17</v>
      </c>
      <c r="E19" t="s">
        <v>1009</v>
      </c>
      <c r="F19" t="str">
        <f>TRIM(Table1[[#This Row],[Genre]])</f>
        <v>Action</v>
      </c>
      <c r="G19">
        <v>131</v>
      </c>
      <c r="H19">
        <v>6.3</v>
      </c>
      <c r="I19" t="str" cm="1">
        <f t="array" ref="I19">_xlfn.IFS(H19&lt;4,"poor",H19&lt;7,"average",H19&lt;9,"good",TRUE,"excellent")</f>
        <v>average</v>
      </c>
      <c r="J19" t="s">
        <v>1018</v>
      </c>
      <c r="K19" t="str">
        <f t="shared" si="1"/>
        <v>Eng</v>
      </c>
      <c r="L19">
        <v>2000</v>
      </c>
      <c r="M19" t="str">
        <f t="shared" si="2"/>
        <v>00</v>
      </c>
      <c r="N19" t="s">
        <v>1020</v>
      </c>
      <c r="O19" s="2">
        <v>45126</v>
      </c>
      <c r="Q19">
        <f t="shared" si="3"/>
        <v>5</v>
      </c>
      <c r="R19">
        <f t="shared" si="4"/>
        <v>64344</v>
      </c>
      <c r="U19" t="str">
        <f t="shared" si="5"/>
        <v>long</v>
      </c>
      <c r="V19" s="4">
        <f t="shared" ca="1" si="6"/>
        <v>45973.174535995371</v>
      </c>
    </row>
    <row r="20" spans="1:22" x14ac:dyDescent="0.25">
      <c r="A20" t="s">
        <v>26</v>
      </c>
      <c r="B20" t="s">
        <v>526</v>
      </c>
      <c r="C20">
        <f t="shared" si="0"/>
        <v>8</v>
      </c>
      <c r="D20" t="str">
        <f t="shared" si="7"/>
        <v>M1018 Movie_18</v>
      </c>
      <c r="E20" t="s">
        <v>1009</v>
      </c>
      <c r="F20" t="str">
        <f>TRIM(Table1[[#This Row],[Genre]])</f>
        <v>Action</v>
      </c>
      <c r="G20">
        <v>149</v>
      </c>
      <c r="H20">
        <v>10</v>
      </c>
      <c r="I20" t="str" cm="1">
        <f t="array" ref="I20">_xlfn.IFS(H20&lt;4,"poor",H20&lt;7,"average",H20&lt;9,"good",TRUE,"excellent")</f>
        <v>excellent</v>
      </c>
      <c r="J20" t="s">
        <v>1017</v>
      </c>
      <c r="K20" t="str">
        <f t="shared" si="1"/>
        <v>Fre</v>
      </c>
      <c r="L20">
        <v>2025</v>
      </c>
      <c r="M20" t="str">
        <f t="shared" si="2"/>
        <v>25</v>
      </c>
      <c r="N20" t="s">
        <v>1020</v>
      </c>
      <c r="O20" s="2">
        <v>44707</v>
      </c>
      <c r="Q20">
        <f t="shared" si="3"/>
        <v>5</v>
      </c>
      <c r="R20">
        <f t="shared" si="4"/>
        <v>64213</v>
      </c>
      <c r="U20" t="str">
        <f t="shared" si="5"/>
        <v>long</v>
      </c>
      <c r="V20" s="4">
        <f t="shared" ca="1" si="6"/>
        <v>45973.174535995371</v>
      </c>
    </row>
    <row r="21" spans="1:22" x14ac:dyDescent="0.25">
      <c r="A21" t="s">
        <v>27</v>
      </c>
      <c r="B21" t="s">
        <v>527</v>
      </c>
      <c r="C21">
        <f t="shared" si="0"/>
        <v>8</v>
      </c>
      <c r="D21" t="str">
        <f t="shared" si="7"/>
        <v>M1019 Movie_19</v>
      </c>
      <c r="E21" t="s">
        <v>1011</v>
      </c>
      <c r="F21" t="str">
        <f>TRIM(Table1[[#This Row],[Genre]])</f>
        <v>Comedy</v>
      </c>
      <c r="G21">
        <v>190</v>
      </c>
      <c r="H21">
        <v>5.4</v>
      </c>
      <c r="I21" t="str" cm="1">
        <f t="array" ref="I21">_xlfn.IFS(H21&lt;4,"poor",H21&lt;7,"average",H21&lt;9,"good",TRUE,"excellent")</f>
        <v>average</v>
      </c>
      <c r="J21" t="s">
        <v>1015</v>
      </c>
      <c r="K21" t="str">
        <f t="shared" si="1"/>
        <v>Hin</v>
      </c>
      <c r="L21">
        <v>2000</v>
      </c>
      <c r="M21" t="str">
        <f t="shared" si="2"/>
        <v>00</v>
      </c>
      <c r="N21" t="s">
        <v>1021</v>
      </c>
      <c r="O21" s="2">
        <v>44170</v>
      </c>
      <c r="Q21">
        <f t="shared" si="3"/>
        <v>5</v>
      </c>
      <c r="R21">
        <f t="shared" si="4"/>
        <v>64064</v>
      </c>
      <c r="U21" t="str">
        <f t="shared" si="5"/>
        <v>long</v>
      </c>
      <c r="V21" s="4">
        <f t="shared" ca="1" si="6"/>
        <v>45973.174535995371</v>
      </c>
    </row>
    <row r="22" spans="1:22" x14ac:dyDescent="0.25">
      <c r="A22" t="s">
        <v>28</v>
      </c>
      <c r="B22" t="s">
        <v>528</v>
      </c>
      <c r="C22">
        <f t="shared" si="0"/>
        <v>8</v>
      </c>
      <c r="D22" t="str">
        <f t="shared" si="7"/>
        <v>M1020 Movie_20</v>
      </c>
      <c r="E22" t="s">
        <v>1011</v>
      </c>
      <c r="F22" t="str">
        <f>TRIM(Table1[[#This Row],[Genre]])</f>
        <v>Comedy</v>
      </c>
      <c r="G22">
        <v>162</v>
      </c>
      <c r="H22">
        <v>2.2999999999999998</v>
      </c>
      <c r="I22" t="str" cm="1">
        <f t="array" ref="I22">_xlfn.IFS(H22&lt;4,"poor",H22&lt;7,"average",H22&lt;9,"good",TRUE,"excellent")</f>
        <v>poor</v>
      </c>
      <c r="J22" t="s">
        <v>1019</v>
      </c>
      <c r="K22" t="str">
        <f t="shared" si="1"/>
        <v>Ger</v>
      </c>
      <c r="L22">
        <v>2002</v>
      </c>
      <c r="M22" t="str">
        <f t="shared" si="2"/>
        <v>02</v>
      </c>
      <c r="N22" t="s">
        <v>1021</v>
      </c>
      <c r="O22" s="2">
        <v>45092</v>
      </c>
      <c r="Q22">
        <f t="shared" si="3"/>
        <v>5</v>
      </c>
      <c r="R22">
        <f t="shared" si="4"/>
        <v>63874</v>
      </c>
      <c r="U22" t="str">
        <f t="shared" si="5"/>
        <v>long</v>
      </c>
      <c r="V22" s="4">
        <f t="shared" ca="1" si="6"/>
        <v>45973.174535995371</v>
      </c>
    </row>
    <row r="23" spans="1:22" x14ac:dyDescent="0.25">
      <c r="A23" t="s">
        <v>29</v>
      </c>
      <c r="B23" t="s">
        <v>529</v>
      </c>
      <c r="C23">
        <f t="shared" si="0"/>
        <v>8</v>
      </c>
      <c r="D23" t="str">
        <f t="shared" si="7"/>
        <v>M1021 Movie_21</v>
      </c>
      <c r="E23" t="s">
        <v>1012</v>
      </c>
      <c r="F23" t="str">
        <f>TRIM(Table1[[#This Row],[Genre]])</f>
        <v>Sci-Fi</v>
      </c>
      <c r="G23">
        <v>197</v>
      </c>
      <c r="H23">
        <v>5.8</v>
      </c>
      <c r="I23" t="str" cm="1">
        <f t="array" ref="I23">_xlfn.IFS(H23&lt;4,"poor",H23&lt;7,"average",H23&lt;9,"good",TRUE,"excellent")</f>
        <v>average</v>
      </c>
      <c r="J23" t="s">
        <v>1014</v>
      </c>
      <c r="K23" t="str">
        <f t="shared" si="1"/>
        <v>Jap</v>
      </c>
      <c r="L23">
        <v>2005</v>
      </c>
      <c r="M23" t="str">
        <f t="shared" si="2"/>
        <v>05</v>
      </c>
      <c r="N23" t="s">
        <v>1020</v>
      </c>
      <c r="O23" s="2">
        <v>44116</v>
      </c>
      <c r="Q23">
        <f t="shared" si="3"/>
        <v>5</v>
      </c>
      <c r="R23">
        <f t="shared" si="4"/>
        <v>63712</v>
      </c>
      <c r="U23" t="str">
        <f t="shared" si="5"/>
        <v>long</v>
      </c>
      <c r="V23" s="4">
        <f t="shared" ca="1" si="6"/>
        <v>45973.174535995371</v>
      </c>
    </row>
    <row r="24" spans="1:22" x14ac:dyDescent="0.25">
      <c r="A24" t="s">
        <v>30</v>
      </c>
      <c r="B24" t="s">
        <v>530</v>
      </c>
      <c r="C24">
        <f t="shared" si="0"/>
        <v>8</v>
      </c>
      <c r="D24" t="str">
        <f t="shared" si="7"/>
        <v>M1022 Movie_22</v>
      </c>
      <c r="E24" t="s">
        <v>1012</v>
      </c>
      <c r="F24" t="str">
        <f>TRIM(Table1[[#This Row],[Genre]])</f>
        <v>Sci-Fi</v>
      </c>
      <c r="G24">
        <v>144</v>
      </c>
      <c r="H24">
        <v>4.0999999999999996</v>
      </c>
      <c r="I24" t="str" cm="1">
        <f t="array" ref="I24">_xlfn.IFS(H24&lt;4,"poor",H24&lt;7,"average",H24&lt;9,"good",TRUE,"excellent")</f>
        <v>average</v>
      </c>
      <c r="J24" t="s">
        <v>1017</v>
      </c>
      <c r="K24" t="str">
        <f t="shared" si="1"/>
        <v>Fre</v>
      </c>
      <c r="L24">
        <v>1988</v>
      </c>
      <c r="M24" t="str">
        <f t="shared" si="2"/>
        <v>88</v>
      </c>
      <c r="N24" t="s">
        <v>1020</v>
      </c>
      <c r="O24" s="2">
        <v>45438</v>
      </c>
      <c r="Q24">
        <f t="shared" si="3"/>
        <v>5</v>
      </c>
      <c r="R24">
        <f t="shared" si="4"/>
        <v>63515</v>
      </c>
      <c r="U24" t="str">
        <f t="shared" si="5"/>
        <v>long</v>
      </c>
      <c r="V24" s="4">
        <f t="shared" ca="1" si="6"/>
        <v>45973.174535995371</v>
      </c>
    </row>
    <row r="25" spans="1:22" x14ac:dyDescent="0.25">
      <c r="A25" t="s">
        <v>31</v>
      </c>
      <c r="B25" t="s">
        <v>531</v>
      </c>
      <c r="C25">
        <f t="shared" si="0"/>
        <v>8</v>
      </c>
      <c r="D25" t="str">
        <f t="shared" si="7"/>
        <v>M1023 Movie_23</v>
      </c>
      <c r="E25" t="s">
        <v>1009</v>
      </c>
      <c r="F25" t="str">
        <f>TRIM(Table1[[#This Row],[Genre]])</f>
        <v>Action</v>
      </c>
      <c r="G25">
        <v>67</v>
      </c>
      <c r="H25">
        <v>6</v>
      </c>
      <c r="I25" t="str" cm="1">
        <f t="array" ref="I25">_xlfn.IFS(H25&lt;4,"poor",H25&lt;7,"average",H25&lt;9,"good",TRUE,"excellent")</f>
        <v>average</v>
      </c>
      <c r="J25" t="s">
        <v>1016</v>
      </c>
      <c r="K25" t="str">
        <f t="shared" si="1"/>
        <v>Spa</v>
      </c>
      <c r="L25">
        <v>2003</v>
      </c>
      <c r="M25" t="str">
        <f t="shared" si="2"/>
        <v>03</v>
      </c>
      <c r="N25" t="s">
        <v>1020</v>
      </c>
      <c r="O25" s="2">
        <v>44254</v>
      </c>
      <c r="Q25">
        <f t="shared" si="3"/>
        <v>5</v>
      </c>
      <c r="R25">
        <f t="shared" si="4"/>
        <v>63371</v>
      </c>
      <c r="U25" t="str">
        <f t="shared" si="5"/>
        <v>short</v>
      </c>
      <c r="V25" s="4">
        <f t="shared" ca="1" si="6"/>
        <v>45973.174535995371</v>
      </c>
    </row>
    <row r="26" spans="1:22" x14ac:dyDescent="0.25">
      <c r="A26" t="s">
        <v>32</v>
      </c>
      <c r="B26" t="s">
        <v>532</v>
      </c>
      <c r="C26">
        <f t="shared" si="0"/>
        <v>8</v>
      </c>
      <c r="D26" t="str">
        <f t="shared" si="7"/>
        <v>M1024 Movie_24</v>
      </c>
      <c r="E26" t="s">
        <v>1012</v>
      </c>
      <c r="F26" t="str">
        <f>TRIM(Table1[[#This Row],[Genre]])</f>
        <v>Sci-Fi</v>
      </c>
      <c r="G26">
        <v>89</v>
      </c>
      <c r="H26">
        <v>5.9</v>
      </c>
      <c r="I26" t="str" cm="1">
        <f t="array" ref="I26">_xlfn.IFS(H26&lt;4,"poor",H26&lt;7,"average",H26&lt;9,"good",TRUE,"excellent")</f>
        <v>average</v>
      </c>
      <c r="J26" t="s">
        <v>1014</v>
      </c>
      <c r="K26" t="str">
        <f t="shared" si="1"/>
        <v>Jap</v>
      </c>
      <c r="L26">
        <v>2012</v>
      </c>
      <c r="M26" t="str">
        <f t="shared" si="2"/>
        <v>12</v>
      </c>
      <c r="N26" t="s">
        <v>1020</v>
      </c>
      <c r="O26" s="2">
        <v>45497</v>
      </c>
      <c r="Q26">
        <f t="shared" si="3"/>
        <v>5</v>
      </c>
      <c r="R26">
        <f t="shared" si="4"/>
        <v>63304</v>
      </c>
      <c r="U26" t="str">
        <f t="shared" si="5"/>
        <v>short</v>
      </c>
      <c r="V26" s="4">
        <f t="shared" ca="1" si="6"/>
        <v>45973.174535995371</v>
      </c>
    </row>
    <row r="27" spans="1:22" x14ac:dyDescent="0.25">
      <c r="A27" t="s">
        <v>33</v>
      </c>
      <c r="B27" t="s">
        <v>533</v>
      </c>
      <c r="C27">
        <f t="shared" si="0"/>
        <v>8</v>
      </c>
      <c r="D27" t="str">
        <f t="shared" si="7"/>
        <v>M1025 Movie_25</v>
      </c>
      <c r="E27" t="s">
        <v>1011</v>
      </c>
      <c r="F27" t="str">
        <f>TRIM(Table1[[#This Row],[Genre]])</f>
        <v>Comedy</v>
      </c>
      <c r="G27">
        <v>126</v>
      </c>
      <c r="H27">
        <v>5.0999999999999996</v>
      </c>
      <c r="I27" t="str" cm="1">
        <f t="array" ref="I27">_xlfn.IFS(H27&lt;4,"poor",H27&lt;7,"average",H27&lt;9,"good",TRUE,"excellent")</f>
        <v>average</v>
      </c>
      <c r="J27" t="s">
        <v>1014</v>
      </c>
      <c r="K27" t="str">
        <f t="shared" si="1"/>
        <v>Jap</v>
      </c>
      <c r="L27">
        <v>2015</v>
      </c>
      <c r="M27" t="str">
        <f t="shared" si="2"/>
        <v>15</v>
      </c>
      <c r="N27" t="s">
        <v>1021</v>
      </c>
      <c r="O27" s="2">
        <v>44254</v>
      </c>
      <c r="Q27">
        <f t="shared" si="3"/>
        <v>5</v>
      </c>
      <c r="R27">
        <f t="shared" si="4"/>
        <v>63215</v>
      </c>
      <c r="U27" t="str">
        <f t="shared" si="5"/>
        <v>long</v>
      </c>
      <c r="V27" s="4">
        <f t="shared" ca="1" si="6"/>
        <v>45973.174535995371</v>
      </c>
    </row>
    <row r="28" spans="1:22" x14ac:dyDescent="0.25">
      <c r="A28" t="s">
        <v>34</v>
      </c>
      <c r="B28" t="s">
        <v>534</v>
      </c>
      <c r="C28">
        <f t="shared" si="0"/>
        <v>8</v>
      </c>
      <c r="D28" t="str">
        <f t="shared" si="7"/>
        <v>M1026 Movie_26</v>
      </c>
      <c r="E28" t="s">
        <v>1008</v>
      </c>
      <c r="F28" t="str">
        <f>TRIM(Table1[[#This Row],[Genre]])</f>
        <v>Horror</v>
      </c>
      <c r="G28">
        <v>105</v>
      </c>
      <c r="H28">
        <v>3.9</v>
      </c>
      <c r="I28" t="str" cm="1">
        <f t="array" ref="I28">_xlfn.IFS(H28&lt;4,"poor",H28&lt;7,"average",H28&lt;9,"good",TRUE,"excellent")</f>
        <v>poor</v>
      </c>
      <c r="J28" t="s">
        <v>1014</v>
      </c>
      <c r="K28" t="str">
        <f t="shared" si="1"/>
        <v>Jap</v>
      </c>
      <c r="L28">
        <v>1986</v>
      </c>
      <c r="M28" t="str">
        <f t="shared" si="2"/>
        <v>86</v>
      </c>
      <c r="N28" t="s">
        <v>1020</v>
      </c>
      <c r="O28" s="2">
        <v>45480</v>
      </c>
      <c r="Q28">
        <f t="shared" si="3"/>
        <v>5</v>
      </c>
      <c r="R28">
        <f t="shared" si="4"/>
        <v>63089</v>
      </c>
      <c r="U28" t="str">
        <f t="shared" si="5"/>
        <v>short</v>
      </c>
      <c r="V28" s="4">
        <f t="shared" ca="1" si="6"/>
        <v>45973.174535995371</v>
      </c>
    </row>
    <row r="29" spans="1:22" x14ac:dyDescent="0.25">
      <c r="A29" t="s">
        <v>35</v>
      </c>
      <c r="B29" t="s">
        <v>535</v>
      </c>
      <c r="C29">
        <f t="shared" si="0"/>
        <v>8</v>
      </c>
      <c r="D29" t="str">
        <f t="shared" si="7"/>
        <v>M1027 Movie_27</v>
      </c>
      <c r="E29" t="s">
        <v>1008</v>
      </c>
      <c r="F29" t="str">
        <f>TRIM(Table1[[#This Row],[Genre]])</f>
        <v>Horror</v>
      </c>
      <c r="G29">
        <v>127</v>
      </c>
      <c r="H29">
        <v>2.7</v>
      </c>
      <c r="I29" t="str" cm="1">
        <f t="array" ref="I29">_xlfn.IFS(H29&lt;4,"poor",H29&lt;7,"average",H29&lt;9,"good",TRUE,"excellent")</f>
        <v>poor</v>
      </c>
      <c r="J29" t="s">
        <v>1014</v>
      </c>
      <c r="K29" t="str">
        <f t="shared" si="1"/>
        <v>Jap</v>
      </c>
      <c r="L29">
        <v>2000</v>
      </c>
      <c r="M29" t="str">
        <f t="shared" si="2"/>
        <v>00</v>
      </c>
      <c r="N29" t="s">
        <v>1021</v>
      </c>
      <c r="O29" s="2">
        <v>43952</v>
      </c>
      <c r="Q29">
        <f t="shared" si="3"/>
        <v>5</v>
      </c>
      <c r="R29">
        <f t="shared" si="4"/>
        <v>62984</v>
      </c>
      <c r="U29" t="str">
        <f t="shared" si="5"/>
        <v>long</v>
      </c>
      <c r="V29" s="4">
        <f t="shared" ca="1" si="6"/>
        <v>45973.174535995371</v>
      </c>
    </row>
    <row r="30" spans="1:22" x14ac:dyDescent="0.25">
      <c r="A30" t="s">
        <v>36</v>
      </c>
      <c r="B30" t="s">
        <v>536</v>
      </c>
      <c r="C30">
        <f t="shared" si="0"/>
        <v>8</v>
      </c>
      <c r="D30" t="str">
        <f t="shared" si="7"/>
        <v>M1028 Movie_28</v>
      </c>
      <c r="E30" t="s">
        <v>1008</v>
      </c>
      <c r="F30" t="str">
        <f>TRIM(Table1[[#This Row],[Genre]])</f>
        <v>Horror</v>
      </c>
      <c r="G30">
        <v>69</v>
      </c>
      <c r="H30">
        <v>7.3</v>
      </c>
      <c r="I30" t="str" cm="1">
        <f t="array" ref="I30">_xlfn.IFS(H30&lt;4,"poor",H30&lt;7,"average",H30&lt;9,"good",TRUE,"excellent")</f>
        <v>good</v>
      </c>
      <c r="J30" t="s">
        <v>1015</v>
      </c>
      <c r="K30" t="str">
        <f t="shared" si="1"/>
        <v>Hin</v>
      </c>
      <c r="L30">
        <v>1995</v>
      </c>
      <c r="M30" t="str">
        <f t="shared" si="2"/>
        <v>95</v>
      </c>
      <c r="N30" t="s">
        <v>1021</v>
      </c>
      <c r="O30" s="2">
        <v>44998</v>
      </c>
      <c r="Q30">
        <f t="shared" si="3"/>
        <v>5</v>
      </c>
      <c r="R30">
        <f t="shared" si="4"/>
        <v>62857</v>
      </c>
      <c r="U30" t="str">
        <f t="shared" si="5"/>
        <v>short</v>
      </c>
      <c r="V30" s="4">
        <f t="shared" ca="1" si="6"/>
        <v>45973.174535995371</v>
      </c>
    </row>
    <row r="31" spans="1:22" x14ac:dyDescent="0.25">
      <c r="A31" t="s">
        <v>37</v>
      </c>
      <c r="B31" t="s">
        <v>537</v>
      </c>
      <c r="C31">
        <f t="shared" si="0"/>
        <v>8</v>
      </c>
      <c r="D31" t="str">
        <f t="shared" si="7"/>
        <v>M1029 Movie_29</v>
      </c>
      <c r="E31" t="s">
        <v>1012</v>
      </c>
      <c r="F31" t="str">
        <f>TRIM(Table1[[#This Row],[Genre]])</f>
        <v>Sci-Fi</v>
      </c>
      <c r="G31">
        <v>87</v>
      </c>
      <c r="H31">
        <v>6.1</v>
      </c>
      <c r="I31" t="str" cm="1">
        <f t="array" ref="I31">_xlfn.IFS(H31&lt;4,"poor",H31&lt;7,"average",H31&lt;9,"good",TRUE,"excellent")</f>
        <v>average</v>
      </c>
      <c r="J31" t="s">
        <v>1018</v>
      </c>
      <c r="K31" t="str">
        <f t="shared" si="1"/>
        <v>Eng</v>
      </c>
      <c r="L31">
        <v>2009</v>
      </c>
      <c r="M31" t="str">
        <f t="shared" si="2"/>
        <v>09</v>
      </c>
      <c r="N31" t="s">
        <v>1020</v>
      </c>
      <c r="O31" s="2">
        <v>44549</v>
      </c>
      <c r="Q31">
        <f t="shared" si="3"/>
        <v>5</v>
      </c>
      <c r="R31">
        <f t="shared" si="4"/>
        <v>62788</v>
      </c>
      <c r="U31" t="str">
        <f t="shared" si="5"/>
        <v>short</v>
      </c>
      <c r="V31" s="4">
        <f t="shared" ca="1" si="6"/>
        <v>45973.174535995371</v>
      </c>
    </row>
    <row r="32" spans="1:22" x14ac:dyDescent="0.25">
      <c r="A32" t="s">
        <v>38</v>
      </c>
      <c r="B32" t="s">
        <v>538</v>
      </c>
      <c r="C32">
        <f t="shared" si="0"/>
        <v>8</v>
      </c>
      <c r="D32" t="str">
        <f t="shared" si="7"/>
        <v>M1030 Movie_30</v>
      </c>
      <c r="E32" t="s">
        <v>1013</v>
      </c>
      <c r="F32" t="str">
        <f>TRIM(Table1[[#This Row],[Genre]])</f>
        <v>Thriller</v>
      </c>
      <c r="G32">
        <v>171</v>
      </c>
      <c r="H32">
        <v>3.1</v>
      </c>
      <c r="I32" t="str" cm="1">
        <f t="array" ref="I32">_xlfn.IFS(H32&lt;4,"poor",H32&lt;7,"average",H32&lt;9,"good",TRUE,"excellent")</f>
        <v>poor</v>
      </c>
      <c r="J32" t="s">
        <v>1014</v>
      </c>
      <c r="K32" t="str">
        <f t="shared" si="1"/>
        <v>Jap</v>
      </c>
      <c r="L32">
        <v>1987</v>
      </c>
      <c r="M32" t="str">
        <f t="shared" si="2"/>
        <v>87</v>
      </c>
      <c r="N32" t="s">
        <v>1021</v>
      </c>
      <c r="O32" s="2">
        <v>44921</v>
      </c>
      <c r="Q32">
        <f t="shared" si="3"/>
        <v>5</v>
      </c>
      <c r="R32">
        <f t="shared" si="4"/>
        <v>62701</v>
      </c>
      <c r="U32" t="str">
        <f t="shared" si="5"/>
        <v>long</v>
      </c>
      <c r="V32" s="4">
        <f t="shared" ca="1" si="6"/>
        <v>45973.174535995371</v>
      </c>
    </row>
    <row r="33" spans="1:22" x14ac:dyDescent="0.25">
      <c r="A33" t="s">
        <v>39</v>
      </c>
      <c r="B33" t="s">
        <v>539</v>
      </c>
      <c r="C33">
        <f t="shared" si="0"/>
        <v>8</v>
      </c>
      <c r="D33" t="str">
        <f t="shared" si="7"/>
        <v>M1031 Movie_31</v>
      </c>
      <c r="E33" t="s">
        <v>1011</v>
      </c>
      <c r="F33" t="str">
        <f>TRIM(Table1[[#This Row],[Genre]])</f>
        <v>Comedy</v>
      </c>
      <c r="G33">
        <v>148</v>
      </c>
      <c r="H33">
        <v>8</v>
      </c>
      <c r="I33" t="str" cm="1">
        <f t="array" ref="I33">_xlfn.IFS(H33&lt;4,"poor",H33&lt;7,"average",H33&lt;9,"good",TRUE,"excellent")</f>
        <v>good</v>
      </c>
      <c r="J33" t="s">
        <v>1014</v>
      </c>
      <c r="K33" t="str">
        <f t="shared" si="1"/>
        <v>Jap</v>
      </c>
      <c r="L33">
        <v>1997</v>
      </c>
      <c r="M33" t="str">
        <f t="shared" si="2"/>
        <v>97</v>
      </c>
      <c r="N33" t="s">
        <v>1020</v>
      </c>
      <c r="O33" s="2">
        <v>44406</v>
      </c>
      <c r="Q33">
        <f t="shared" si="3"/>
        <v>5</v>
      </c>
      <c r="R33">
        <f t="shared" si="4"/>
        <v>62530</v>
      </c>
      <c r="U33" t="str">
        <f t="shared" si="5"/>
        <v>long</v>
      </c>
      <c r="V33" s="4">
        <f t="shared" ca="1" si="6"/>
        <v>45973.174535995371</v>
      </c>
    </row>
    <row r="34" spans="1:22" x14ac:dyDescent="0.25">
      <c r="A34" t="s">
        <v>40</v>
      </c>
      <c r="B34" t="s">
        <v>540</v>
      </c>
      <c r="C34">
        <f t="shared" si="0"/>
        <v>8</v>
      </c>
      <c r="D34" t="str">
        <f t="shared" si="7"/>
        <v>M1032 Movie_32</v>
      </c>
      <c r="E34" t="s">
        <v>1013</v>
      </c>
      <c r="F34" t="str">
        <f>TRIM(Table1[[#This Row],[Genre]])</f>
        <v>Thriller</v>
      </c>
      <c r="G34">
        <v>140</v>
      </c>
      <c r="H34">
        <v>1.4</v>
      </c>
      <c r="I34" t="str" cm="1">
        <f t="array" ref="I34">_xlfn.IFS(H34&lt;4,"poor",H34&lt;7,"average",H34&lt;9,"good",TRUE,"excellent")</f>
        <v>poor</v>
      </c>
      <c r="J34" t="s">
        <v>1019</v>
      </c>
      <c r="K34" t="str">
        <f t="shared" si="1"/>
        <v>Ger</v>
      </c>
      <c r="L34">
        <v>2008</v>
      </c>
      <c r="M34" t="str">
        <f t="shared" si="2"/>
        <v>08</v>
      </c>
      <c r="N34" t="s">
        <v>1020</v>
      </c>
      <c r="O34" s="2">
        <v>45053</v>
      </c>
      <c r="Q34">
        <f t="shared" si="3"/>
        <v>5</v>
      </c>
      <c r="R34">
        <f t="shared" si="4"/>
        <v>62382</v>
      </c>
      <c r="U34" t="str">
        <f t="shared" si="5"/>
        <v>long</v>
      </c>
      <c r="V34" s="4">
        <f t="shared" ca="1" si="6"/>
        <v>45973.174535995371</v>
      </c>
    </row>
    <row r="35" spans="1:22" x14ac:dyDescent="0.25">
      <c r="A35" t="s">
        <v>41</v>
      </c>
      <c r="B35" t="s">
        <v>541</v>
      </c>
      <c r="C35">
        <f t="shared" si="0"/>
        <v>8</v>
      </c>
      <c r="D35" t="str">
        <f t="shared" si="7"/>
        <v>M1033 Movie_33</v>
      </c>
      <c r="E35" t="s">
        <v>1012</v>
      </c>
      <c r="F35" t="str">
        <f>TRIM(Table1[[#This Row],[Genre]])</f>
        <v>Sci-Fi</v>
      </c>
      <c r="G35">
        <v>171</v>
      </c>
      <c r="H35">
        <v>7.7</v>
      </c>
      <c r="I35" t="str" cm="1">
        <f t="array" ref="I35">_xlfn.IFS(H35&lt;4,"poor",H35&lt;7,"average",H35&lt;9,"good",TRUE,"excellent")</f>
        <v>good</v>
      </c>
      <c r="J35" t="s">
        <v>1015</v>
      </c>
      <c r="K35" t="str">
        <f t="shared" si="1"/>
        <v>Hin</v>
      </c>
      <c r="L35">
        <v>1995</v>
      </c>
      <c r="M35" t="str">
        <f t="shared" si="2"/>
        <v>95</v>
      </c>
      <c r="N35" t="s">
        <v>1021</v>
      </c>
      <c r="O35" s="2">
        <v>44934</v>
      </c>
      <c r="Q35">
        <f t="shared" si="3"/>
        <v>5</v>
      </c>
      <c r="R35">
        <f t="shared" si="4"/>
        <v>62242</v>
      </c>
      <c r="U35" t="str">
        <f t="shared" si="5"/>
        <v>long</v>
      </c>
      <c r="V35" s="4">
        <f t="shared" ca="1" si="6"/>
        <v>45973.174535995371</v>
      </c>
    </row>
    <row r="36" spans="1:22" x14ac:dyDescent="0.25">
      <c r="A36" t="s">
        <v>42</v>
      </c>
      <c r="B36" t="s">
        <v>542</v>
      </c>
      <c r="C36">
        <f t="shared" si="0"/>
        <v>8</v>
      </c>
      <c r="D36" t="str">
        <f t="shared" si="7"/>
        <v>M1034 Movie_34</v>
      </c>
      <c r="E36" t="s">
        <v>1010</v>
      </c>
      <c r="F36" t="str">
        <f>TRIM(Table1[[#This Row],[Genre]])</f>
        <v>Drama</v>
      </c>
      <c r="G36">
        <v>190</v>
      </c>
      <c r="H36">
        <v>7.3</v>
      </c>
      <c r="I36" t="str" cm="1">
        <f t="array" ref="I36">_xlfn.IFS(H36&lt;4,"poor",H36&lt;7,"average",H36&lt;9,"good",TRUE,"excellent")</f>
        <v>good</v>
      </c>
      <c r="J36" t="s">
        <v>1017</v>
      </c>
      <c r="K36" t="str">
        <f t="shared" si="1"/>
        <v>Fre</v>
      </c>
      <c r="L36">
        <v>1989</v>
      </c>
      <c r="M36" t="str">
        <f t="shared" si="2"/>
        <v>89</v>
      </c>
      <c r="N36" t="s">
        <v>1021</v>
      </c>
      <c r="O36" s="2">
        <v>44175</v>
      </c>
      <c r="Q36">
        <f t="shared" si="3"/>
        <v>5</v>
      </c>
      <c r="R36">
        <f t="shared" si="4"/>
        <v>62071</v>
      </c>
      <c r="U36" t="str">
        <f t="shared" si="5"/>
        <v>long</v>
      </c>
      <c r="V36" s="4">
        <f t="shared" ca="1" si="6"/>
        <v>45973.174535995371</v>
      </c>
    </row>
    <row r="37" spans="1:22" x14ac:dyDescent="0.25">
      <c r="A37" t="s">
        <v>43</v>
      </c>
      <c r="B37" t="s">
        <v>543</v>
      </c>
      <c r="C37">
        <f t="shared" si="0"/>
        <v>8</v>
      </c>
      <c r="D37" t="str">
        <f t="shared" si="7"/>
        <v>M1035 Movie_35</v>
      </c>
      <c r="E37" t="s">
        <v>1009</v>
      </c>
      <c r="F37" t="str">
        <f>TRIM(Table1[[#This Row],[Genre]])</f>
        <v>Action</v>
      </c>
      <c r="G37">
        <v>89</v>
      </c>
      <c r="H37">
        <v>8.3000000000000007</v>
      </c>
      <c r="I37" t="str" cm="1">
        <f t="array" ref="I37">_xlfn.IFS(H37&lt;4,"poor",H37&lt;7,"average",H37&lt;9,"good",TRUE,"excellent")</f>
        <v>good</v>
      </c>
      <c r="J37" t="s">
        <v>1018</v>
      </c>
      <c r="K37" t="str">
        <f t="shared" si="1"/>
        <v>Eng</v>
      </c>
      <c r="L37">
        <v>1986</v>
      </c>
      <c r="M37" t="str">
        <f t="shared" si="2"/>
        <v>86</v>
      </c>
      <c r="N37" t="s">
        <v>1021</v>
      </c>
      <c r="O37" s="2">
        <v>44493</v>
      </c>
      <c r="Q37">
        <f t="shared" si="3"/>
        <v>5</v>
      </c>
      <c r="R37">
        <f t="shared" si="4"/>
        <v>61881</v>
      </c>
      <c r="U37" t="str">
        <f t="shared" si="5"/>
        <v>short</v>
      </c>
      <c r="V37" s="4">
        <f t="shared" ca="1" si="6"/>
        <v>45973.174535995371</v>
      </c>
    </row>
    <row r="38" spans="1:22" x14ac:dyDescent="0.25">
      <c r="A38" t="s">
        <v>44</v>
      </c>
      <c r="B38" t="s">
        <v>544</v>
      </c>
      <c r="C38">
        <f t="shared" si="0"/>
        <v>8</v>
      </c>
      <c r="D38" t="str">
        <f t="shared" si="7"/>
        <v>M1036 Movie_36</v>
      </c>
      <c r="E38" t="s">
        <v>1011</v>
      </c>
      <c r="F38" t="str">
        <f>TRIM(Table1[[#This Row],[Genre]])</f>
        <v>Comedy</v>
      </c>
      <c r="G38">
        <v>158</v>
      </c>
      <c r="H38">
        <v>4.5</v>
      </c>
      <c r="I38" t="str" cm="1">
        <f t="array" ref="I38">_xlfn.IFS(H38&lt;4,"poor",H38&lt;7,"average",H38&lt;9,"good",TRUE,"excellent")</f>
        <v>average</v>
      </c>
      <c r="J38" t="s">
        <v>1017</v>
      </c>
      <c r="K38" t="str">
        <f t="shared" si="1"/>
        <v>Fre</v>
      </c>
      <c r="L38">
        <v>1983</v>
      </c>
      <c r="M38" t="str">
        <f t="shared" si="2"/>
        <v>83</v>
      </c>
      <c r="N38" t="s">
        <v>1020</v>
      </c>
      <c r="O38" s="2">
        <v>45272</v>
      </c>
      <c r="Q38">
        <f t="shared" si="3"/>
        <v>5</v>
      </c>
      <c r="R38">
        <f t="shared" si="4"/>
        <v>61792</v>
      </c>
      <c r="U38" t="str">
        <f t="shared" si="5"/>
        <v>long</v>
      </c>
      <c r="V38" s="4">
        <f t="shared" ca="1" si="6"/>
        <v>45973.174535995371</v>
      </c>
    </row>
    <row r="39" spans="1:22" x14ac:dyDescent="0.25">
      <c r="A39" t="s">
        <v>45</v>
      </c>
      <c r="B39" t="s">
        <v>545</v>
      </c>
      <c r="C39">
        <f t="shared" si="0"/>
        <v>8</v>
      </c>
      <c r="D39" t="str">
        <f t="shared" si="7"/>
        <v>M1037 Movie_37</v>
      </c>
      <c r="E39" t="s">
        <v>1008</v>
      </c>
      <c r="F39" t="str">
        <f>TRIM(Table1[[#This Row],[Genre]])</f>
        <v>Horror</v>
      </c>
      <c r="G39">
        <v>108</v>
      </c>
      <c r="H39">
        <v>7</v>
      </c>
      <c r="I39" t="str" cm="1">
        <f t="array" ref="I39">_xlfn.IFS(H39&lt;4,"poor",H39&lt;7,"average",H39&lt;9,"good",TRUE,"excellent")</f>
        <v>good</v>
      </c>
      <c r="J39" t="s">
        <v>1017</v>
      </c>
      <c r="K39" t="str">
        <f t="shared" si="1"/>
        <v>Fre</v>
      </c>
      <c r="L39">
        <v>1998</v>
      </c>
      <c r="M39" t="str">
        <f t="shared" si="2"/>
        <v>98</v>
      </c>
      <c r="N39" t="s">
        <v>1020</v>
      </c>
      <c r="O39" s="2">
        <v>44430</v>
      </c>
      <c r="Q39">
        <f t="shared" si="3"/>
        <v>5</v>
      </c>
      <c r="R39">
        <f t="shared" si="4"/>
        <v>61634</v>
      </c>
      <c r="U39" t="str">
        <f t="shared" si="5"/>
        <v>short</v>
      </c>
      <c r="V39" s="4">
        <f t="shared" ca="1" si="6"/>
        <v>45973.174535995371</v>
      </c>
    </row>
    <row r="40" spans="1:22" x14ac:dyDescent="0.25">
      <c r="A40" t="s">
        <v>46</v>
      </c>
      <c r="B40" t="s">
        <v>546</v>
      </c>
      <c r="C40">
        <f t="shared" si="0"/>
        <v>8</v>
      </c>
      <c r="D40" t="str">
        <f t="shared" si="7"/>
        <v>M1038 Movie_38</v>
      </c>
      <c r="E40" t="s">
        <v>1013</v>
      </c>
      <c r="F40" t="str">
        <f>TRIM(Table1[[#This Row],[Genre]])</f>
        <v>Thriller</v>
      </c>
      <c r="G40">
        <v>125</v>
      </c>
      <c r="H40">
        <v>8.4</v>
      </c>
      <c r="I40" t="str" cm="1">
        <f t="array" ref="I40">_xlfn.IFS(H40&lt;4,"poor",H40&lt;7,"average",H40&lt;9,"good",TRUE,"excellent")</f>
        <v>good</v>
      </c>
      <c r="J40" t="s">
        <v>1016</v>
      </c>
      <c r="K40" t="str">
        <f t="shared" si="1"/>
        <v>Spa</v>
      </c>
      <c r="L40">
        <v>2004</v>
      </c>
      <c r="M40" t="str">
        <f t="shared" si="2"/>
        <v>04</v>
      </c>
      <c r="N40" t="s">
        <v>1021</v>
      </c>
      <c r="O40" s="2">
        <v>44423</v>
      </c>
      <c r="Q40">
        <f t="shared" si="3"/>
        <v>5</v>
      </c>
      <c r="R40">
        <f t="shared" si="4"/>
        <v>61526</v>
      </c>
      <c r="U40" t="str">
        <f t="shared" si="5"/>
        <v>long</v>
      </c>
      <c r="V40" s="4">
        <f t="shared" ca="1" si="6"/>
        <v>45973.174535995371</v>
      </c>
    </row>
    <row r="41" spans="1:22" x14ac:dyDescent="0.25">
      <c r="A41" t="s">
        <v>47</v>
      </c>
      <c r="B41" t="s">
        <v>547</v>
      </c>
      <c r="C41">
        <f t="shared" si="0"/>
        <v>8</v>
      </c>
      <c r="D41" t="str">
        <f t="shared" si="7"/>
        <v>M1039 Movie_39</v>
      </c>
      <c r="E41" t="s">
        <v>1010</v>
      </c>
      <c r="F41" t="str">
        <f>TRIM(Table1[[#This Row],[Genre]])</f>
        <v>Drama</v>
      </c>
      <c r="G41">
        <v>71</v>
      </c>
      <c r="H41">
        <v>9.8000000000000007</v>
      </c>
      <c r="I41" t="str" cm="1">
        <f t="array" ref="I41">_xlfn.IFS(H41&lt;4,"poor",H41&lt;7,"average",H41&lt;9,"good",TRUE,"excellent")</f>
        <v>excellent</v>
      </c>
      <c r="J41" t="s">
        <v>1016</v>
      </c>
      <c r="K41" t="str">
        <f t="shared" si="1"/>
        <v>Spa</v>
      </c>
      <c r="L41">
        <v>2019</v>
      </c>
      <c r="M41" t="str">
        <f t="shared" si="2"/>
        <v>19</v>
      </c>
      <c r="N41" t="s">
        <v>1021</v>
      </c>
      <c r="O41" s="2">
        <v>45003</v>
      </c>
      <c r="Q41">
        <f t="shared" si="3"/>
        <v>5</v>
      </c>
      <c r="R41">
        <f t="shared" si="4"/>
        <v>61401</v>
      </c>
      <c r="U41" t="str">
        <f t="shared" si="5"/>
        <v>short</v>
      </c>
      <c r="V41" s="4">
        <f t="shared" ca="1" si="6"/>
        <v>45973.174535995371</v>
      </c>
    </row>
    <row r="42" spans="1:22" x14ac:dyDescent="0.25">
      <c r="A42" t="s">
        <v>48</v>
      </c>
      <c r="B42" t="s">
        <v>548</v>
      </c>
      <c r="C42">
        <f t="shared" si="0"/>
        <v>8</v>
      </c>
      <c r="D42" t="str">
        <f t="shared" si="7"/>
        <v>M1040 Movie_40</v>
      </c>
      <c r="E42" t="s">
        <v>1010</v>
      </c>
      <c r="F42" t="str">
        <f>TRIM(Table1[[#This Row],[Genre]])</f>
        <v>Drama</v>
      </c>
      <c r="G42">
        <v>171</v>
      </c>
      <c r="H42">
        <v>5.5</v>
      </c>
      <c r="I42" t="str" cm="1">
        <f t="array" ref="I42">_xlfn.IFS(H42&lt;4,"poor",H42&lt;7,"average",H42&lt;9,"good",TRUE,"excellent")</f>
        <v>average</v>
      </c>
      <c r="J42" t="s">
        <v>1017</v>
      </c>
      <c r="K42" t="str">
        <f t="shared" si="1"/>
        <v>Fre</v>
      </c>
      <c r="L42">
        <v>2006</v>
      </c>
      <c r="M42" t="str">
        <f t="shared" si="2"/>
        <v>06</v>
      </c>
      <c r="N42" t="s">
        <v>1020</v>
      </c>
      <c r="O42" s="2">
        <v>44378</v>
      </c>
      <c r="Q42">
        <f t="shared" si="3"/>
        <v>5</v>
      </c>
      <c r="R42">
        <f t="shared" si="4"/>
        <v>61330</v>
      </c>
      <c r="U42" t="str">
        <f t="shared" si="5"/>
        <v>long</v>
      </c>
      <c r="V42" s="4">
        <f t="shared" ca="1" si="6"/>
        <v>45973.174535995371</v>
      </c>
    </row>
    <row r="43" spans="1:22" x14ac:dyDescent="0.25">
      <c r="A43" t="s">
        <v>49</v>
      </c>
      <c r="B43" t="s">
        <v>549</v>
      </c>
      <c r="C43">
        <f t="shared" si="0"/>
        <v>8</v>
      </c>
      <c r="D43" t="str">
        <f t="shared" si="7"/>
        <v>M1041 Movie_41</v>
      </c>
      <c r="E43" t="s">
        <v>1011</v>
      </c>
      <c r="F43" t="str">
        <f>TRIM(Table1[[#This Row],[Genre]])</f>
        <v>Comedy</v>
      </c>
      <c r="G43">
        <v>60</v>
      </c>
      <c r="H43">
        <v>1.3</v>
      </c>
      <c r="I43" t="str" cm="1">
        <f t="array" ref="I43">_xlfn.IFS(H43&lt;4,"poor",H43&lt;7,"average",H43&lt;9,"good",TRUE,"excellent")</f>
        <v>poor</v>
      </c>
      <c r="J43" t="s">
        <v>1019</v>
      </c>
      <c r="K43" t="str">
        <f t="shared" si="1"/>
        <v>Ger</v>
      </c>
      <c r="L43">
        <v>1995</v>
      </c>
      <c r="M43" t="str">
        <f t="shared" si="2"/>
        <v>95</v>
      </c>
      <c r="N43" t="s">
        <v>1021</v>
      </c>
      <c r="O43" s="2">
        <v>44884</v>
      </c>
      <c r="Q43">
        <f t="shared" si="3"/>
        <v>5</v>
      </c>
      <c r="R43">
        <f t="shared" si="4"/>
        <v>61159</v>
      </c>
      <c r="U43" t="str">
        <f t="shared" si="5"/>
        <v>short</v>
      </c>
      <c r="V43" s="4">
        <f t="shared" ca="1" si="6"/>
        <v>45973.174535995371</v>
      </c>
    </row>
    <row r="44" spans="1:22" x14ac:dyDescent="0.25">
      <c r="A44" t="s">
        <v>50</v>
      </c>
      <c r="B44" t="s">
        <v>550</v>
      </c>
      <c r="C44">
        <f t="shared" si="0"/>
        <v>8</v>
      </c>
      <c r="D44" t="str">
        <f t="shared" si="7"/>
        <v>M1042 Movie_42</v>
      </c>
      <c r="E44" t="s">
        <v>1011</v>
      </c>
      <c r="F44" t="str">
        <f>TRIM(Table1[[#This Row],[Genre]])</f>
        <v>Comedy</v>
      </c>
      <c r="G44">
        <v>193</v>
      </c>
      <c r="H44">
        <v>5.5</v>
      </c>
      <c r="I44" t="str" cm="1">
        <f t="array" ref="I44">_xlfn.IFS(H44&lt;4,"poor",H44&lt;7,"average",H44&lt;9,"good",TRUE,"excellent")</f>
        <v>average</v>
      </c>
      <c r="J44" t="s">
        <v>1016</v>
      </c>
      <c r="K44" t="str">
        <f t="shared" si="1"/>
        <v>Spa</v>
      </c>
      <c r="L44">
        <v>1990</v>
      </c>
      <c r="M44" t="str">
        <f t="shared" si="2"/>
        <v>90</v>
      </c>
      <c r="N44" t="s">
        <v>1021</v>
      </c>
      <c r="O44" s="2">
        <v>45222</v>
      </c>
      <c r="Q44">
        <f t="shared" si="3"/>
        <v>5</v>
      </c>
      <c r="R44">
        <f t="shared" si="4"/>
        <v>61099</v>
      </c>
      <c r="U44" t="str">
        <f t="shared" si="5"/>
        <v>long</v>
      </c>
      <c r="V44" s="4">
        <f t="shared" ca="1" si="6"/>
        <v>45973.174535995371</v>
      </c>
    </row>
    <row r="45" spans="1:22" x14ac:dyDescent="0.25">
      <c r="A45" t="s">
        <v>51</v>
      </c>
      <c r="B45" t="s">
        <v>551</v>
      </c>
      <c r="C45">
        <f t="shared" si="0"/>
        <v>8</v>
      </c>
      <c r="D45" t="str">
        <f t="shared" si="7"/>
        <v>M1043 Movie_43</v>
      </c>
      <c r="E45" t="s">
        <v>1010</v>
      </c>
      <c r="F45" t="str">
        <f>TRIM(Table1[[#This Row],[Genre]])</f>
        <v>Drama</v>
      </c>
      <c r="G45">
        <v>197</v>
      </c>
      <c r="H45">
        <v>6.3</v>
      </c>
      <c r="I45" t="str" cm="1">
        <f t="array" ref="I45">_xlfn.IFS(H45&lt;4,"poor",H45&lt;7,"average",H45&lt;9,"good",TRUE,"excellent")</f>
        <v>average</v>
      </c>
      <c r="J45" t="s">
        <v>1016</v>
      </c>
      <c r="K45" t="str">
        <f t="shared" si="1"/>
        <v>Spa</v>
      </c>
      <c r="L45">
        <v>2000</v>
      </c>
      <c r="M45" t="str">
        <f t="shared" si="2"/>
        <v>00</v>
      </c>
      <c r="N45" t="s">
        <v>1021</v>
      </c>
      <c r="O45" s="2">
        <v>45500</v>
      </c>
      <c r="Q45">
        <f t="shared" si="3"/>
        <v>5</v>
      </c>
      <c r="R45">
        <f t="shared" si="4"/>
        <v>60906</v>
      </c>
      <c r="U45" t="str">
        <f t="shared" si="5"/>
        <v>long</v>
      </c>
      <c r="V45" s="4">
        <f t="shared" ca="1" si="6"/>
        <v>45973.174535995371</v>
      </c>
    </row>
    <row r="46" spans="1:22" x14ac:dyDescent="0.25">
      <c r="A46" t="s">
        <v>52</v>
      </c>
      <c r="B46" t="s">
        <v>552</v>
      </c>
      <c r="C46">
        <f t="shared" si="0"/>
        <v>8</v>
      </c>
      <c r="D46" t="str">
        <f t="shared" si="7"/>
        <v>M1044 Movie_44</v>
      </c>
      <c r="E46" t="s">
        <v>1009</v>
      </c>
      <c r="F46" t="str">
        <f>TRIM(Table1[[#This Row],[Genre]])</f>
        <v>Action</v>
      </c>
      <c r="G46">
        <v>110</v>
      </c>
      <c r="H46">
        <v>8.8000000000000007</v>
      </c>
      <c r="I46" t="str" cm="1">
        <f t="array" ref="I46">_xlfn.IFS(H46&lt;4,"poor",H46&lt;7,"average",H46&lt;9,"good",TRUE,"excellent")</f>
        <v>good</v>
      </c>
      <c r="J46" t="s">
        <v>1016</v>
      </c>
      <c r="K46" t="str">
        <f t="shared" si="1"/>
        <v>Spa</v>
      </c>
      <c r="L46">
        <v>2016</v>
      </c>
      <c r="M46" t="str">
        <f t="shared" si="2"/>
        <v>16</v>
      </c>
      <c r="N46" t="s">
        <v>1021</v>
      </c>
      <c r="O46" s="2">
        <v>44026</v>
      </c>
      <c r="Q46">
        <f t="shared" si="3"/>
        <v>5</v>
      </c>
      <c r="R46">
        <f t="shared" si="4"/>
        <v>60709</v>
      </c>
      <c r="U46" t="str">
        <f t="shared" si="5"/>
        <v>short</v>
      </c>
      <c r="V46" s="4">
        <f t="shared" ca="1" si="6"/>
        <v>45973.174535995371</v>
      </c>
    </row>
    <row r="47" spans="1:22" x14ac:dyDescent="0.25">
      <c r="A47" t="s">
        <v>53</v>
      </c>
      <c r="B47" t="s">
        <v>553</v>
      </c>
      <c r="C47">
        <f t="shared" si="0"/>
        <v>8</v>
      </c>
      <c r="D47" t="str">
        <f t="shared" si="7"/>
        <v>M1045 Movie_45</v>
      </c>
      <c r="E47" t="s">
        <v>1009</v>
      </c>
      <c r="F47" t="str">
        <f>TRIM(Table1[[#This Row],[Genre]])</f>
        <v>Action</v>
      </c>
      <c r="G47">
        <v>153</v>
      </c>
      <c r="H47">
        <v>8.9</v>
      </c>
      <c r="I47" t="str" cm="1">
        <f t="array" ref="I47">_xlfn.IFS(H47&lt;4,"poor",H47&lt;7,"average",H47&lt;9,"good",TRUE,"excellent")</f>
        <v>good</v>
      </c>
      <c r="J47" t="s">
        <v>1016</v>
      </c>
      <c r="K47" t="str">
        <f t="shared" si="1"/>
        <v>Spa</v>
      </c>
      <c r="L47">
        <v>2000</v>
      </c>
      <c r="M47" t="str">
        <f t="shared" si="2"/>
        <v>00</v>
      </c>
      <c r="N47" t="s">
        <v>1021</v>
      </c>
      <c r="O47" s="2">
        <v>44108</v>
      </c>
      <c r="Q47">
        <f t="shared" si="3"/>
        <v>5</v>
      </c>
      <c r="R47">
        <f t="shared" si="4"/>
        <v>60599</v>
      </c>
      <c r="U47" t="str">
        <f t="shared" si="5"/>
        <v>long</v>
      </c>
      <c r="V47" s="4">
        <f t="shared" ca="1" si="6"/>
        <v>45973.174535995371</v>
      </c>
    </row>
    <row r="48" spans="1:22" x14ac:dyDescent="0.25">
      <c r="A48" t="s">
        <v>54</v>
      </c>
      <c r="B48" t="s">
        <v>554</v>
      </c>
      <c r="C48">
        <f t="shared" si="0"/>
        <v>8</v>
      </c>
      <c r="D48" t="str">
        <f t="shared" si="7"/>
        <v>M1046 Movie_46</v>
      </c>
      <c r="E48" t="s">
        <v>1013</v>
      </c>
      <c r="F48" t="str">
        <f>TRIM(Table1[[#This Row],[Genre]])</f>
        <v>Thriller</v>
      </c>
      <c r="G48">
        <v>170</v>
      </c>
      <c r="H48">
        <v>5</v>
      </c>
      <c r="I48" t="str" cm="1">
        <f t="array" ref="I48">_xlfn.IFS(H48&lt;4,"poor",H48&lt;7,"average",H48&lt;9,"good",TRUE,"excellent")</f>
        <v>average</v>
      </c>
      <c r="J48" t="s">
        <v>1018</v>
      </c>
      <c r="K48" t="str">
        <f t="shared" si="1"/>
        <v>Eng</v>
      </c>
      <c r="L48">
        <v>1992</v>
      </c>
      <c r="M48" t="str">
        <f t="shared" si="2"/>
        <v>92</v>
      </c>
      <c r="N48" t="s">
        <v>1020</v>
      </c>
      <c r="O48" s="2">
        <v>45367</v>
      </c>
      <c r="Q48">
        <f t="shared" si="3"/>
        <v>5</v>
      </c>
      <c r="R48">
        <f t="shared" si="4"/>
        <v>60446</v>
      </c>
      <c r="U48" t="str">
        <f t="shared" si="5"/>
        <v>long</v>
      </c>
      <c r="V48" s="4">
        <f t="shared" ca="1" si="6"/>
        <v>45973.174535995371</v>
      </c>
    </row>
    <row r="49" spans="1:22" x14ac:dyDescent="0.25">
      <c r="A49" t="s">
        <v>55</v>
      </c>
      <c r="B49" t="s">
        <v>555</v>
      </c>
      <c r="C49">
        <f t="shared" si="0"/>
        <v>8</v>
      </c>
      <c r="D49" t="str">
        <f t="shared" si="7"/>
        <v>M1047 Movie_47</v>
      </c>
      <c r="E49" t="s">
        <v>1009</v>
      </c>
      <c r="F49" t="str">
        <f>TRIM(Table1[[#This Row],[Genre]])</f>
        <v>Action</v>
      </c>
      <c r="G49">
        <v>77</v>
      </c>
      <c r="H49">
        <v>5.7</v>
      </c>
      <c r="I49" t="str" cm="1">
        <f t="array" ref="I49">_xlfn.IFS(H49&lt;4,"poor",H49&lt;7,"average",H49&lt;9,"good",TRUE,"excellent")</f>
        <v>average</v>
      </c>
      <c r="J49" t="s">
        <v>1017</v>
      </c>
      <c r="K49" t="str">
        <f t="shared" si="1"/>
        <v>Fre</v>
      </c>
      <c r="L49">
        <v>1990</v>
      </c>
      <c r="M49" t="str">
        <f t="shared" si="2"/>
        <v>90</v>
      </c>
      <c r="N49" t="s">
        <v>1021</v>
      </c>
      <c r="O49" s="2">
        <v>45440</v>
      </c>
      <c r="Q49">
        <f t="shared" si="3"/>
        <v>5</v>
      </c>
      <c r="R49">
        <f t="shared" si="4"/>
        <v>60276</v>
      </c>
      <c r="U49" t="str">
        <f t="shared" si="5"/>
        <v>short</v>
      </c>
      <c r="V49" s="4">
        <f t="shared" ca="1" si="6"/>
        <v>45973.174535995371</v>
      </c>
    </row>
    <row r="50" spans="1:22" x14ac:dyDescent="0.25">
      <c r="A50" t="s">
        <v>56</v>
      </c>
      <c r="B50" t="s">
        <v>556</v>
      </c>
      <c r="C50">
        <f t="shared" si="0"/>
        <v>8</v>
      </c>
      <c r="D50" t="str">
        <f t="shared" si="7"/>
        <v>M1048 Movie_48</v>
      </c>
      <c r="E50" t="s">
        <v>1010</v>
      </c>
      <c r="F50" t="str">
        <f>TRIM(Table1[[#This Row],[Genre]])</f>
        <v>Drama</v>
      </c>
      <c r="G50">
        <v>144</v>
      </c>
      <c r="H50">
        <v>5.0999999999999996</v>
      </c>
      <c r="I50" t="str" cm="1">
        <f t="array" ref="I50">_xlfn.IFS(H50&lt;4,"poor",H50&lt;7,"average",H50&lt;9,"good",TRUE,"excellent")</f>
        <v>average</v>
      </c>
      <c r="J50" t="s">
        <v>1018</v>
      </c>
      <c r="K50" t="str">
        <f t="shared" si="1"/>
        <v>Eng</v>
      </c>
      <c r="L50">
        <v>2011</v>
      </c>
      <c r="M50" t="str">
        <f t="shared" si="2"/>
        <v>11</v>
      </c>
      <c r="N50" t="s">
        <v>1021</v>
      </c>
      <c r="O50" s="2">
        <v>44673</v>
      </c>
      <c r="Q50">
        <f t="shared" si="3"/>
        <v>5</v>
      </c>
      <c r="R50">
        <f t="shared" si="4"/>
        <v>60199</v>
      </c>
      <c r="U50" t="str">
        <f t="shared" si="5"/>
        <v>long</v>
      </c>
      <c r="V50" s="4">
        <f t="shared" ca="1" si="6"/>
        <v>45973.174535995371</v>
      </c>
    </row>
    <row r="51" spans="1:22" x14ac:dyDescent="0.25">
      <c r="A51" t="s">
        <v>57</v>
      </c>
      <c r="B51" t="s">
        <v>557</v>
      </c>
      <c r="C51">
        <f t="shared" si="0"/>
        <v>8</v>
      </c>
      <c r="D51" t="str">
        <f t="shared" si="7"/>
        <v>M1049 Movie_49</v>
      </c>
      <c r="E51" t="s">
        <v>1010</v>
      </c>
      <c r="F51" t="str">
        <f>TRIM(Table1[[#This Row],[Genre]])</f>
        <v>Drama</v>
      </c>
      <c r="G51">
        <v>140</v>
      </c>
      <c r="H51">
        <v>7.5</v>
      </c>
      <c r="I51" t="str" cm="1">
        <f t="array" ref="I51">_xlfn.IFS(H51&lt;4,"poor",H51&lt;7,"average",H51&lt;9,"good",TRUE,"excellent")</f>
        <v>good</v>
      </c>
      <c r="J51" t="s">
        <v>1015</v>
      </c>
      <c r="K51" t="str">
        <f t="shared" si="1"/>
        <v>Hin</v>
      </c>
      <c r="L51">
        <v>2012</v>
      </c>
      <c r="M51" t="str">
        <f t="shared" si="2"/>
        <v>12</v>
      </c>
      <c r="N51" t="s">
        <v>1020</v>
      </c>
      <c r="O51" s="2">
        <v>43952</v>
      </c>
      <c r="Q51">
        <f t="shared" si="3"/>
        <v>5</v>
      </c>
      <c r="R51">
        <f t="shared" si="4"/>
        <v>60055</v>
      </c>
      <c r="U51" t="str">
        <f t="shared" si="5"/>
        <v>long</v>
      </c>
      <c r="V51" s="4">
        <f t="shared" ca="1" si="6"/>
        <v>45973.174535995371</v>
      </c>
    </row>
    <row r="52" spans="1:22" x14ac:dyDescent="0.25">
      <c r="A52" t="s">
        <v>58</v>
      </c>
      <c r="B52" t="s">
        <v>558</v>
      </c>
      <c r="C52">
        <f t="shared" si="0"/>
        <v>8</v>
      </c>
      <c r="D52" t="str">
        <f t="shared" si="7"/>
        <v>M1050 Movie_50</v>
      </c>
      <c r="E52" t="s">
        <v>1012</v>
      </c>
      <c r="F52" t="str">
        <f>TRIM(Table1[[#This Row],[Genre]])</f>
        <v>Sci-Fi</v>
      </c>
      <c r="G52">
        <v>91</v>
      </c>
      <c r="H52">
        <v>4.7</v>
      </c>
      <c r="I52" t="str" cm="1">
        <f t="array" ref="I52">_xlfn.IFS(H52&lt;4,"poor",H52&lt;7,"average",H52&lt;9,"good",TRUE,"excellent")</f>
        <v>average</v>
      </c>
      <c r="J52" t="s">
        <v>1015</v>
      </c>
      <c r="K52" t="str">
        <f t="shared" si="1"/>
        <v>Hin</v>
      </c>
      <c r="L52">
        <v>2009</v>
      </c>
      <c r="M52" t="str">
        <f t="shared" si="2"/>
        <v>09</v>
      </c>
      <c r="N52" t="s">
        <v>1021</v>
      </c>
      <c r="O52" s="2">
        <v>44398</v>
      </c>
      <c r="Q52">
        <f t="shared" si="3"/>
        <v>5</v>
      </c>
      <c r="R52">
        <f t="shared" si="4"/>
        <v>59915</v>
      </c>
      <c r="U52" t="str">
        <f t="shared" si="5"/>
        <v>short</v>
      </c>
      <c r="V52" s="4">
        <f t="shared" ca="1" si="6"/>
        <v>45973.174535995371</v>
      </c>
    </row>
    <row r="53" spans="1:22" x14ac:dyDescent="0.25">
      <c r="A53" t="s">
        <v>59</v>
      </c>
      <c r="B53" t="s">
        <v>559</v>
      </c>
      <c r="C53">
        <f t="shared" si="0"/>
        <v>8</v>
      </c>
      <c r="D53" t="str">
        <f t="shared" si="7"/>
        <v>M1051 Movie_51</v>
      </c>
      <c r="E53" t="s">
        <v>1010</v>
      </c>
      <c r="F53" t="str">
        <f>TRIM(Table1[[#This Row],[Genre]])</f>
        <v>Drama</v>
      </c>
      <c r="G53">
        <v>136</v>
      </c>
      <c r="H53">
        <v>6.9</v>
      </c>
      <c r="I53" t="str" cm="1">
        <f t="array" ref="I53">_xlfn.IFS(H53&lt;4,"poor",H53&lt;7,"average",H53&lt;9,"good",TRUE,"excellent")</f>
        <v>average</v>
      </c>
      <c r="J53" t="s">
        <v>1014</v>
      </c>
      <c r="K53" t="str">
        <f t="shared" si="1"/>
        <v>Jap</v>
      </c>
      <c r="L53">
        <v>2011</v>
      </c>
      <c r="M53" t="str">
        <f t="shared" si="2"/>
        <v>11</v>
      </c>
      <c r="N53" t="s">
        <v>1020</v>
      </c>
      <c r="O53" s="2">
        <v>45174</v>
      </c>
      <c r="Q53">
        <f t="shared" si="3"/>
        <v>5</v>
      </c>
      <c r="R53">
        <f t="shared" si="4"/>
        <v>59824</v>
      </c>
      <c r="U53" t="str">
        <f t="shared" si="5"/>
        <v>long</v>
      </c>
      <c r="V53" s="4">
        <f t="shared" ca="1" si="6"/>
        <v>45973.174535995371</v>
      </c>
    </row>
    <row r="54" spans="1:22" x14ac:dyDescent="0.25">
      <c r="A54" t="s">
        <v>60</v>
      </c>
      <c r="B54" t="s">
        <v>560</v>
      </c>
      <c r="C54">
        <f t="shared" si="0"/>
        <v>8</v>
      </c>
      <c r="D54" t="str">
        <f t="shared" si="7"/>
        <v>M1052 Movie_52</v>
      </c>
      <c r="E54" t="s">
        <v>1009</v>
      </c>
      <c r="F54" t="str">
        <f>TRIM(Table1[[#This Row],[Genre]])</f>
        <v>Action</v>
      </c>
      <c r="G54">
        <v>189</v>
      </c>
      <c r="H54">
        <v>2.4</v>
      </c>
      <c r="I54" t="str" cm="1">
        <f t="array" ref="I54">_xlfn.IFS(H54&lt;4,"poor",H54&lt;7,"average",H54&lt;9,"good",TRUE,"excellent")</f>
        <v>poor</v>
      </c>
      <c r="J54" t="s">
        <v>1015</v>
      </c>
      <c r="K54" t="str">
        <f t="shared" si="1"/>
        <v>Hin</v>
      </c>
      <c r="L54">
        <v>1999</v>
      </c>
      <c r="M54" t="str">
        <f t="shared" si="2"/>
        <v>99</v>
      </c>
      <c r="N54" t="s">
        <v>1020</v>
      </c>
      <c r="O54" s="2">
        <v>44090</v>
      </c>
      <c r="Q54">
        <f t="shared" si="3"/>
        <v>5</v>
      </c>
      <c r="R54">
        <f t="shared" si="4"/>
        <v>59688</v>
      </c>
      <c r="U54" t="str">
        <f t="shared" si="5"/>
        <v>long</v>
      </c>
      <c r="V54" s="4">
        <f t="shared" ca="1" si="6"/>
        <v>45973.174535995371</v>
      </c>
    </row>
    <row r="55" spans="1:22" x14ac:dyDescent="0.25">
      <c r="A55" t="s">
        <v>61</v>
      </c>
      <c r="B55" t="s">
        <v>561</v>
      </c>
      <c r="C55">
        <f t="shared" si="0"/>
        <v>8</v>
      </c>
      <c r="D55" t="str">
        <f t="shared" si="7"/>
        <v>M1053 Movie_53</v>
      </c>
      <c r="E55" t="s">
        <v>1008</v>
      </c>
      <c r="F55" t="str">
        <f>TRIM(Table1[[#This Row],[Genre]])</f>
        <v>Horror</v>
      </c>
      <c r="G55">
        <v>139</v>
      </c>
      <c r="H55">
        <v>5.2</v>
      </c>
      <c r="I55" t="str" cm="1">
        <f t="array" ref="I55">_xlfn.IFS(H55&lt;4,"poor",H55&lt;7,"average",H55&lt;9,"good",TRUE,"excellent")</f>
        <v>average</v>
      </c>
      <c r="J55" t="s">
        <v>1018</v>
      </c>
      <c r="K55" t="str">
        <f t="shared" si="1"/>
        <v>Eng</v>
      </c>
      <c r="L55">
        <v>2011</v>
      </c>
      <c r="M55" t="str">
        <f t="shared" si="2"/>
        <v>11</v>
      </c>
      <c r="N55" t="s">
        <v>1021</v>
      </c>
      <c r="O55" s="2">
        <v>45267</v>
      </c>
      <c r="Q55">
        <f t="shared" si="3"/>
        <v>5</v>
      </c>
      <c r="R55">
        <f t="shared" si="4"/>
        <v>59499</v>
      </c>
      <c r="U55" t="str">
        <f t="shared" si="5"/>
        <v>long</v>
      </c>
      <c r="V55" s="4">
        <f t="shared" ca="1" si="6"/>
        <v>45973.174535995371</v>
      </c>
    </row>
    <row r="56" spans="1:22" x14ac:dyDescent="0.25">
      <c r="A56" t="s">
        <v>62</v>
      </c>
      <c r="B56" t="s">
        <v>562</v>
      </c>
      <c r="C56">
        <f t="shared" si="0"/>
        <v>8</v>
      </c>
      <c r="D56" t="str">
        <f t="shared" si="7"/>
        <v>M1054 Movie_54</v>
      </c>
      <c r="E56" t="s">
        <v>1013</v>
      </c>
      <c r="F56" t="str">
        <f>TRIM(Table1[[#This Row],[Genre]])</f>
        <v>Thriller</v>
      </c>
      <c r="G56">
        <v>164</v>
      </c>
      <c r="H56">
        <v>9.6999999999999993</v>
      </c>
      <c r="I56" t="str" cm="1">
        <f t="array" ref="I56">_xlfn.IFS(H56&lt;4,"poor",H56&lt;7,"average",H56&lt;9,"good",TRUE,"excellent")</f>
        <v>excellent</v>
      </c>
      <c r="J56" t="s">
        <v>1014</v>
      </c>
      <c r="K56" t="str">
        <f t="shared" si="1"/>
        <v>Jap</v>
      </c>
      <c r="L56">
        <v>1981</v>
      </c>
      <c r="M56" t="str">
        <f t="shared" si="2"/>
        <v>81</v>
      </c>
      <c r="N56" t="s">
        <v>1020</v>
      </c>
      <c r="O56" s="2">
        <v>44102</v>
      </c>
      <c r="Q56">
        <f t="shared" si="3"/>
        <v>5</v>
      </c>
      <c r="R56">
        <f t="shared" si="4"/>
        <v>59360</v>
      </c>
      <c r="U56" t="str">
        <f t="shared" si="5"/>
        <v>long</v>
      </c>
      <c r="V56" s="4">
        <f t="shared" ca="1" si="6"/>
        <v>45973.174535995371</v>
      </c>
    </row>
    <row r="57" spans="1:22" x14ac:dyDescent="0.25">
      <c r="A57" t="s">
        <v>63</v>
      </c>
      <c r="B57" t="s">
        <v>563</v>
      </c>
      <c r="C57">
        <f t="shared" si="0"/>
        <v>8</v>
      </c>
      <c r="D57" t="str">
        <f t="shared" si="7"/>
        <v>M1055 Movie_55</v>
      </c>
      <c r="E57" t="s">
        <v>1012</v>
      </c>
      <c r="F57" t="str">
        <f>TRIM(Table1[[#This Row],[Genre]])</f>
        <v>Sci-Fi</v>
      </c>
      <c r="G57">
        <v>143</v>
      </c>
      <c r="H57">
        <v>4</v>
      </c>
      <c r="I57" t="str" cm="1">
        <f t="array" ref="I57">_xlfn.IFS(H57&lt;4,"poor",H57&lt;7,"average",H57&lt;9,"good",TRUE,"excellent")</f>
        <v>average</v>
      </c>
      <c r="J57" t="s">
        <v>1017</v>
      </c>
      <c r="K57" t="str">
        <f t="shared" si="1"/>
        <v>Fre</v>
      </c>
      <c r="L57">
        <v>1985</v>
      </c>
      <c r="M57" t="str">
        <f t="shared" si="2"/>
        <v>85</v>
      </c>
      <c r="N57" t="s">
        <v>1021</v>
      </c>
      <c r="O57" s="2">
        <v>44342</v>
      </c>
      <c r="Q57">
        <f t="shared" si="3"/>
        <v>5</v>
      </c>
      <c r="R57">
        <f t="shared" si="4"/>
        <v>59196</v>
      </c>
      <c r="U57" t="str">
        <f t="shared" si="5"/>
        <v>long</v>
      </c>
      <c r="V57" s="4">
        <f t="shared" ca="1" si="6"/>
        <v>45973.174535995371</v>
      </c>
    </row>
    <row r="58" spans="1:22" x14ac:dyDescent="0.25">
      <c r="A58" t="s">
        <v>64</v>
      </c>
      <c r="B58" t="s">
        <v>564</v>
      </c>
      <c r="C58">
        <f t="shared" si="0"/>
        <v>8</v>
      </c>
      <c r="D58" t="str">
        <f t="shared" si="7"/>
        <v>M1056 Movie_56</v>
      </c>
      <c r="E58" t="s">
        <v>1009</v>
      </c>
      <c r="F58" t="str">
        <f>TRIM(Table1[[#This Row],[Genre]])</f>
        <v>Action</v>
      </c>
      <c r="G58">
        <v>163</v>
      </c>
      <c r="H58">
        <v>7.2</v>
      </c>
      <c r="I58" t="str" cm="1">
        <f t="array" ref="I58">_xlfn.IFS(H58&lt;4,"poor",H58&lt;7,"average",H58&lt;9,"good",TRUE,"excellent")</f>
        <v>good</v>
      </c>
      <c r="J58" t="s">
        <v>1015</v>
      </c>
      <c r="K58" t="str">
        <f t="shared" si="1"/>
        <v>Hin</v>
      </c>
      <c r="L58">
        <v>2005</v>
      </c>
      <c r="M58" t="str">
        <f t="shared" si="2"/>
        <v>05</v>
      </c>
      <c r="N58" t="s">
        <v>1020</v>
      </c>
      <c r="O58" s="2">
        <v>44130</v>
      </c>
      <c r="Q58">
        <f t="shared" si="3"/>
        <v>5</v>
      </c>
      <c r="R58">
        <f t="shared" si="4"/>
        <v>59053</v>
      </c>
      <c r="U58" t="str">
        <f t="shared" si="5"/>
        <v>long</v>
      </c>
      <c r="V58" s="4">
        <f t="shared" ca="1" si="6"/>
        <v>45973.174535995371</v>
      </c>
    </row>
    <row r="59" spans="1:22" x14ac:dyDescent="0.25">
      <c r="A59" t="s">
        <v>65</v>
      </c>
      <c r="B59" t="s">
        <v>565</v>
      </c>
      <c r="C59">
        <f t="shared" si="0"/>
        <v>8</v>
      </c>
      <c r="D59" t="str">
        <f t="shared" si="7"/>
        <v>M1057 Movie_57</v>
      </c>
      <c r="E59" t="s">
        <v>1013</v>
      </c>
      <c r="F59" t="str">
        <f>TRIM(Table1[[#This Row],[Genre]])</f>
        <v>Thriller</v>
      </c>
      <c r="G59">
        <v>135</v>
      </c>
      <c r="H59">
        <v>6.8</v>
      </c>
      <c r="I59" t="str" cm="1">
        <f t="array" ref="I59">_xlfn.IFS(H59&lt;4,"poor",H59&lt;7,"average",H59&lt;9,"good",TRUE,"excellent")</f>
        <v>average</v>
      </c>
      <c r="J59" t="s">
        <v>1016</v>
      </c>
      <c r="K59" t="str">
        <f t="shared" si="1"/>
        <v>Spa</v>
      </c>
      <c r="L59">
        <v>2012</v>
      </c>
      <c r="M59" t="str">
        <f t="shared" si="2"/>
        <v>12</v>
      </c>
      <c r="N59" t="s">
        <v>1021</v>
      </c>
      <c r="O59" s="2">
        <v>45287</v>
      </c>
      <c r="Q59">
        <f t="shared" si="3"/>
        <v>5</v>
      </c>
      <c r="R59">
        <f t="shared" si="4"/>
        <v>58890</v>
      </c>
      <c r="U59" t="str">
        <f t="shared" si="5"/>
        <v>long</v>
      </c>
      <c r="V59" s="4">
        <f t="shared" ca="1" si="6"/>
        <v>45973.174535995371</v>
      </c>
    </row>
    <row r="60" spans="1:22" x14ac:dyDescent="0.25">
      <c r="A60" t="s">
        <v>66</v>
      </c>
      <c r="B60" t="s">
        <v>566</v>
      </c>
      <c r="C60">
        <f t="shared" si="0"/>
        <v>8</v>
      </c>
      <c r="D60" t="str">
        <f t="shared" si="7"/>
        <v>M1058 Movie_58</v>
      </c>
      <c r="E60" t="s">
        <v>1009</v>
      </c>
      <c r="F60" t="str">
        <f>TRIM(Table1[[#This Row],[Genre]])</f>
        <v>Action</v>
      </c>
      <c r="G60">
        <v>92</v>
      </c>
      <c r="H60">
        <v>8.6999999999999993</v>
      </c>
      <c r="I60" t="str" cm="1">
        <f t="array" ref="I60">_xlfn.IFS(H60&lt;4,"poor",H60&lt;7,"average",H60&lt;9,"good",TRUE,"excellent")</f>
        <v>good</v>
      </c>
      <c r="J60" t="s">
        <v>1015</v>
      </c>
      <c r="K60" t="str">
        <f t="shared" si="1"/>
        <v>Hin</v>
      </c>
      <c r="L60">
        <v>2009</v>
      </c>
      <c r="M60" t="str">
        <f t="shared" si="2"/>
        <v>09</v>
      </c>
      <c r="N60" t="s">
        <v>1021</v>
      </c>
      <c r="O60" s="2">
        <v>44490</v>
      </c>
      <c r="Q60">
        <f t="shared" si="3"/>
        <v>5</v>
      </c>
      <c r="R60">
        <f t="shared" si="4"/>
        <v>58755</v>
      </c>
      <c r="U60" t="str">
        <f t="shared" si="5"/>
        <v>short</v>
      </c>
      <c r="V60" s="4">
        <f t="shared" ca="1" si="6"/>
        <v>45973.174535995371</v>
      </c>
    </row>
    <row r="61" spans="1:22" x14ac:dyDescent="0.25">
      <c r="A61" t="s">
        <v>67</v>
      </c>
      <c r="B61" t="s">
        <v>567</v>
      </c>
      <c r="C61">
        <f t="shared" si="0"/>
        <v>8</v>
      </c>
      <c r="D61" t="str">
        <f t="shared" si="7"/>
        <v>M1059 Movie_59</v>
      </c>
      <c r="E61" t="s">
        <v>1012</v>
      </c>
      <c r="F61" t="str">
        <f>TRIM(Table1[[#This Row],[Genre]])</f>
        <v>Sci-Fi</v>
      </c>
      <c r="G61">
        <v>109</v>
      </c>
      <c r="H61">
        <v>8.6999999999999993</v>
      </c>
      <c r="I61" t="str" cm="1">
        <f t="array" ref="I61">_xlfn.IFS(H61&lt;4,"poor",H61&lt;7,"average",H61&lt;9,"good",TRUE,"excellent")</f>
        <v>good</v>
      </c>
      <c r="J61" t="s">
        <v>1019</v>
      </c>
      <c r="K61" t="str">
        <f t="shared" si="1"/>
        <v>Ger</v>
      </c>
      <c r="L61">
        <v>1995</v>
      </c>
      <c r="M61" t="str">
        <f t="shared" si="2"/>
        <v>95</v>
      </c>
      <c r="N61" t="s">
        <v>1020</v>
      </c>
      <c r="O61" s="2">
        <v>45527</v>
      </c>
      <c r="Q61">
        <f t="shared" si="3"/>
        <v>5</v>
      </c>
      <c r="R61">
        <f t="shared" si="4"/>
        <v>58663</v>
      </c>
      <c r="U61" t="str">
        <f t="shared" si="5"/>
        <v>short</v>
      </c>
      <c r="V61" s="4">
        <f t="shared" ca="1" si="6"/>
        <v>45973.174535995371</v>
      </c>
    </row>
    <row r="62" spans="1:22" x14ac:dyDescent="0.25">
      <c r="A62" t="s">
        <v>68</v>
      </c>
      <c r="B62" t="s">
        <v>568</v>
      </c>
      <c r="C62">
        <f t="shared" si="0"/>
        <v>8</v>
      </c>
      <c r="D62" t="str">
        <f t="shared" si="7"/>
        <v>M1060 Movie_60</v>
      </c>
      <c r="E62" t="s">
        <v>1010</v>
      </c>
      <c r="F62" t="str">
        <f>TRIM(Table1[[#This Row],[Genre]])</f>
        <v>Drama</v>
      </c>
      <c r="G62">
        <v>167</v>
      </c>
      <c r="H62">
        <v>8.6999999999999993</v>
      </c>
      <c r="I62" t="str" cm="1">
        <f t="array" ref="I62">_xlfn.IFS(H62&lt;4,"poor",H62&lt;7,"average",H62&lt;9,"good",TRUE,"excellent")</f>
        <v>good</v>
      </c>
      <c r="J62" t="s">
        <v>1016</v>
      </c>
      <c r="K62" t="str">
        <f t="shared" si="1"/>
        <v>Spa</v>
      </c>
      <c r="L62">
        <v>1993</v>
      </c>
      <c r="M62" t="str">
        <f t="shared" si="2"/>
        <v>93</v>
      </c>
      <c r="N62" t="s">
        <v>1021</v>
      </c>
      <c r="O62" s="2">
        <v>44337</v>
      </c>
      <c r="Q62">
        <f t="shared" si="3"/>
        <v>5</v>
      </c>
      <c r="R62">
        <f t="shared" si="4"/>
        <v>58554</v>
      </c>
      <c r="U62" t="str">
        <f t="shared" si="5"/>
        <v>long</v>
      </c>
      <c r="V62" s="4">
        <f t="shared" ca="1" si="6"/>
        <v>45973.174535995371</v>
      </c>
    </row>
    <row r="63" spans="1:22" x14ac:dyDescent="0.25">
      <c r="A63" t="s">
        <v>69</v>
      </c>
      <c r="B63" t="s">
        <v>569</v>
      </c>
      <c r="C63">
        <f t="shared" si="0"/>
        <v>8</v>
      </c>
      <c r="D63" t="str">
        <f t="shared" si="7"/>
        <v>M1061 Movie_61</v>
      </c>
      <c r="E63" t="s">
        <v>1008</v>
      </c>
      <c r="F63" t="str">
        <f>TRIM(Table1[[#This Row],[Genre]])</f>
        <v>Horror</v>
      </c>
      <c r="G63">
        <v>157</v>
      </c>
      <c r="H63">
        <v>4.4000000000000004</v>
      </c>
      <c r="I63" t="str" cm="1">
        <f t="array" ref="I63">_xlfn.IFS(H63&lt;4,"poor",H63&lt;7,"average",H63&lt;9,"good",TRUE,"excellent")</f>
        <v>average</v>
      </c>
      <c r="J63" t="s">
        <v>1016</v>
      </c>
      <c r="K63" t="str">
        <f t="shared" si="1"/>
        <v>Spa</v>
      </c>
      <c r="L63">
        <v>2017</v>
      </c>
      <c r="M63" t="str">
        <f t="shared" si="2"/>
        <v>17</v>
      </c>
      <c r="N63" t="s">
        <v>1020</v>
      </c>
      <c r="O63" s="2">
        <v>45390</v>
      </c>
      <c r="Q63">
        <f t="shared" si="3"/>
        <v>5</v>
      </c>
      <c r="R63">
        <f t="shared" si="4"/>
        <v>58387</v>
      </c>
      <c r="U63" t="str">
        <f t="shared" si="5"/>
        <v>long</v>
      </c>
      <c r="V63" s="4">
        <f t="shared" ca="1" si="6"/>
        <v>45973.174535995371</v>
      </c>
    </row>
    <row r="64" spans="1:22" x14ac:dyDescent="0.25">
      <c r="A64" t="s">
        <v>70</v>
      </c>
      <c r="B64" t="s">
        <v>570</v>
      </c>
      <c r="C64">
        <f t="shared" si="0"/>
        <v>8</v>
      </c>
      <c r="D64" t="str">
        <f t="shared" si="7"/>
        <v>M1062 Movie_62</v>
      </c>
      <c r="E64" t="s">
        <v>1012</v>
      </c>
      <c r="F64" t="str">
        <f>TRIM(Table1[[#This Row],[Genre]])</f>
        <v>Sci-Fi</v>
      </c>
      <c r="G64">
        <v>104</v>
      </c>
      <c r="H64">
        <v>3.8</v>
      </c>
      <c r="I64" t="str" cm="1">
        <f t="array" ref="I64">_xlfn.IFS(H64&lt;4,"poor",H64&lt;7,"average",H64&lt;9,"good",TRUE,"excellent")</f>
        <v>poor</v>
      </c>
      <c r="J64" t="s">
        <v>1016</v>
      </c>
      <c r="K64" t="str">
        <f t="shared" si="1"/>
        <v>Spa</v>
      </c>
      <c r="L64">
        <v>2002</v>
      </c>
      <c r="M64" t="str">
        <f t="shared" si="2"/>
        <v>02</v>
      </c>
      <c r="N64" t="s">
        <v>1021</v>
      </c>
      <c r="O64" s="2">
        <v>45215</v>
      </c>
      <c r="Q64">
        <f t="shared" si="3"/>
        <v>5</v>
      </c>
      <c r="R64">
        <f t="shared" si="4"/>
        <v>58230</v>
      </c>
      <c r="U64" t="str">
        <f t="shared" si="5"/>
        <v>short</v>
      </c>
      <c r="V64" s="4">
        <f t="shared" ca="1" si="6"/>
        <v>45973.174535995371</v>
      </c>
    </row>
    <row r="65" spans="1:22" x14ac:dyDescent="0.25">
      <c r="A65" t="s">
        <v>71</v>
      </c>
      <c r="B65" t="s">
        <v>571</v>
      </c>
      <c r="C65">
        <f t="shared" si="0"/>
        <v>8</v>
      </c>
      <c r="D65" t="str">
        <f t="shared" si="7"/>
        <v>M1063 Movie_63</v>
      </c>
      <c r="E65" t="s">
        <v>1010</v>
      </c>
      <c r="F65" t="str">
        <f>TRIM(Table1[[#This Row],[Genre]])</f>
        <v>Drama</v>
      </c>
      <c r="G65">
        <v>137</v>
      </c>
      <c r="H65">
        <v>7.5</v>
      </c>
      <c r="I65" t="str" cm="1">
        <f t="array" ref="I65">_xlfn.IFS(H65&lt;4,"poor",H65&lt;7,"average",H65&lt;9,"good",TRUE,"excellent")</f>
        <v>good</v>
      </c>
      <c r="J65" t="s">
        <v>1014</v>
      </c>
      <c r="K65" t="str">
        <f t="shared" si="1"/>
        <v>Jap</v>
      </c>
      <c r="L65">
        <v>1983</v>
      </c>
      <c r="M65" t="str">
        <f t="shared" si="2"/>
        <v>83</v>
      </c>
      <c r="N65" t="s">
        <v>1020</v>
      </c>
      <c r="O65" s="2">
        <v>44635</v>
      </c>
      <c r="Q65">
        <f t="shared" si="3"/>
        <v>5</v>
      </c>
      <c r="R65">
        <f t="shared" si="4"/>
        <v>58126</v>
      </c>
      <c r="U65" t="str">
        <f t="shared" si="5"/>
        <v>long</v>
      </c>
      <c r="V65" s="4">
        <f t="shared" ca="1" si="6"/>
        <v>45973.174535995371</v>
      </c>
    </row>
    <row r="66" spans="1:22" x14ac:dyDescent="0.25">
      <c r="A66" t="s">
        <v>72</v>
      </c>
      <c r="B66" t="s">
        <v>572</v>
      </c>
      <c r="C66">
        <f t="shared" ref="C66:C129" si="8">LEN(B66)</f>
        <v>8</v>
      </c>
      <c r="D66" t="str">
        <f t="shared" si="7"/>
        <v>M1064 Movie_64</v>
      </c>
      <c r="E66" t="s">
        <v>1012</v>
      </c>
      <c r="F66" t="str">
        <f>TRIM(Table1[[#This Row],[Genre]])</f>
        <v>Sci-Fi</v>
      </c>
      <c r="G66">
        <v>163</v>
      </c>
      <c r="H66">
        <v>7.8</v>
      </c>
      <c r="I66" t="str" cm="1">
        <f t="array" ref="I66">_xlfn.IFS(H66&lt;4,"poor",H66&lt;7,"average",H66&lt;9,"good",TRUE,"excellent")</f>
        <v>good</v>
      </c>
      <c r="J66" t="s">
        <v>1015</v>
      </c>
      <c r="K66" t="str">
        <f t="shared" ref="K66:K129" si="9">LEFT(J66,3)</f>
        <v>Hin</v>
      </c>
      <c r="L66">
        <v>1983</v>
      </c>
      <c r="M66" t="str">
        <f t="shared" ref="M66:M129" si="10">RIGHT(L66,2)</f>
        <v>83</v>
      </c>
      <c r="N66" t="s">
        <v>1021</v>
      </c>
      <c r="O66" s="2">
        <v>44833</v>
      </c>
      <c r="Q66">
        <f t="shared" ref="Q66:Q129" si="11">COUNT(A66:O66)</f>
        <v>5</v>
      </c>
      <c r="R66">
        <f t="shared" ref="R66:R129" si="12">SUM(G66:G565)</f>
        <v>57989</v>
      </c>
      <c r="U66" t="str">
        <f t="shared" ref="U66:U129" si="13">IF(G66&gt;120,"long","short")</f>
        <v>long</v>
      </c>
      <c r="V66" s="4">
        <f t="shared" ref="V66:V129" ca="1" si="14">NOW()</f>
        <v>45973.174535995371</v>
      </c>
    </row>
    <row r="67" spans="1:22" x14ac:dyDescent="0.25">
      <c r="A67" t="s">
        <v>73</v>
      </c>
      <c r="B67" t="s">
        <v>573</v>
      </c>
      <c r="C67">
        <f t="shared" si="8"/>
        <v>8</v>
      </c>
      <c r="D67" t="str">
        <f t="shared" ref="D67:D130" si="15">CONCATENATE(A67," ",B67)</f>
        <v>M1065 Movie_65</v>
      </c>
      <c r="E67" t="s">
        <v>1011</v>
      </c>
      <c r="F67" t="str">
        <f>TRIM(Table1[[#This Row],[Genre]])</f>
        <v>Comedy</v>
      </c>
      <c r="G67">
        <v>200</v>
      </c>
      <c r="H67">
        <v>8.9</v>
      </c>
      <c r="I67" t="str" cm="1">
        <f t="array" ref="I67">_xlfn.IFS(H67&lt;4,"poor",H67&lt;7,"average",H67&lt;9,"good",TRUE,"excellent")</f>
        <v>good</v>
      </c>
      <c r="J67" t="s">
        <v>1016</v>
      </c>
      <c r="K67" t="str">
        <f t="shared" si="9"/>
        <v>Spa</v>
      </c>
      <c r="L67">
        <v>1998</v>
      </c>
      <c r="M67" t="str">
        <f t="shared" si="10"/>
        <v>98</v>
      </c>
      <c r="N67" t="s">
        <v>1020</v>
      </c>
      <c r="O67" s="2">
        <v>44122</v>
      </c>
      <c r="Q67">
        <f t="shared" si="11"/>
        <v>5</v>
      </c>
      <c r="R67">
        <f t="shared" si="12"/>
        <v>57826</v>
      </c>
      <c r="U67" t="str">
        <f t="shared" si="13"/>
        <v>long</v>
      </c>
      <c r="V67" s="4">
        <f t="shared" ca="1" si="14"/>
        <v>45973.174535995371</v>
      </c>
    </row>
    <row r="68" spans="1:22" x14ac:dyDescent="0.25">
      <c r="A68" t="s">
        <v>74</v>
      </c>
      <c r="B68" t="s">
        <v>574</v>
      </c>
      <c r="C68">
        <f t="shared" si="8"/>
        <v>8</v>
      </c>
      <c r="D68" t="str">
        <f t="shared" si="15"/>
        <v>M1066 Movie_66</v>
      </c>
      <c r="E68" t="s">
        <v>1008</v>
      </c>
      <c r="F68" t="str">
        <f>TRIM(Table1[[#This Row],[Genre]])</f>
        <v>Horror</v>
      </c>
      <c r="G68">
        <v>60</v>
      </c>
      <c r="H68">
        <v>1.3</v>
      </c>
      <c r="I68" t="str" cm="1">
        <f t="array" ref="I68">_xlfn.IFS(H68&lt;4,"poor",H68&lt;7,"average",H68&lt;9,"good",TRUE,"excellent")</f>
        <v>poor</v>
      </c>
      <c r="J68" t="s">
        <v>1014</v>
      </c>
      <c r="K68" t="str">
        <f t="shared" si="9"/>
        <v>Jap</v>
      </c>
      <c r="L68">
        <v>2011</v>
      </c>
      <c r="M68" t="str">
        <f t="shared" si="10"/>
        <v>11</v>
      </c>
      <c r="N68" t="s">
        <v>1021</v>
      </c>
      <c r="O68" s="2">
        <v>45013</v>
      </c>
      <c r="Q68">
        <f t="shared" si="11"/>
        <v>5</v>
      </c>
      <c r="R68">
        <f t="shared" si="12"/>
        <v>57626</v>
      </c>
      <c r="U68" t="str">
        <f t="shared" si="13"/>
        <v>short</v>
      </c>
      <c r="V68" s="4">
        <f t="shared" ca="1" si="14"/>
        <v>45973.174535995371</v>
      </c>
    </row>
    <row r="69" spans="1:22" x14ac:dyDescent="0.25">
      <c r="A69" t="s">
        <v>75</v>
      </c>
      <c r="B69" t="s">
        <v>575</v>
      </c>
      <c r="C69">
        <f t="shared" si="8"/>
        <v>8</v>
      </c>
      <c r="D69" t="str">
        <f t="shared" si="15"/>
        <v>M1067 Movie_67</v>
      </c>
      <c r="E69" t="s">
        <v>1009</v>
      </c>
      <c r="F69" t="str">
        <f>TRIM(Table1[[#This Row],[Genre]])</f>
        <v>Action</v>
      </c>
      <c r="G69">
        <v>137</v>
      </c>
      <c r="H69">
        <v>1.6</v>
      </c>
      <c r="I69" t="str" cm="1">
        <f t="array" ref="I69">_xlfn.IFS(H69&lt;4,"poor",H69&lt;7,"average",H69&lt;9,"good",TRUE,"excellent")</f>
        <v>poor</v>
      </c>
      <c r="J69" t="s">
        <v>1019</v>
      </c>
      <c r="K69" t="str">
        <f t="shared" si="9"/>
        <v>Ger</v>
      </c>
      <c r="L69">
        <v>2018</v>
      </c>
      <c r="M69" t="str">
        <f t="shared" si="10"/>
        <v>18</v>
      </c>
      <c r="N69" t="s">
        <v>1021</v>
      </c>
      <c r="O69" s="2">
        <v>45126</v>
      </c>
      <c r="Q69">
        <f t="shared" si="11"/>
        <v>5</v>
      </c>
      <c r="R69">
        <f t="shared" si="12"/>
        <v>57566</v>
      </c>
      <c r="U69" t="str">
        <f t="shared" si="13"/>
        <v>long</v>
      </c>
      <c r="V69" s="4">
        <f t="shared" ca="1" si="14"/>
        <v>45973.174535995371</v>
      </c>
    </row>
    <row r="70" spans="1:22" x14ac:dyDescent="0.25">
      <c r="A70" t="s">
        <v>76</v>
      </c>
      <c r="B70" t="s">
        <v>576</v>
      </c>
      <c r="C70">
        <f t="shared" si="8"/>
        <v>8</v>
      </c>
      <c r="D70" t="str">
        <f t="shared" si="15"/>
        <v>M1068 Movie_68</v>
      </c>
      <c r="E70" t="s">
        <v>1009</v>
      </c>
      <c r="F70" t="str">
        <f>TRIM(Table1[[#This Row],[Genre]])</f>
        <v>Action</v>
      </c>
      <c r="G70">
        <v>133</v>
      </c>
      <c r="H70">
        <v>6.7</v>
      </c>
      <c r="I70" t="str" cm="1">
        <f t="array" ref="I70">_xlfn.IFS(H70&lt;4,"poor",H70&lt;7,"average",H70&lt;9,"good",TRUE,"excellent")</f>
        <v>average</v>
      </c>
      <c r="J70" t="s">
        <v>1018</v>
      </c>
      <c r="K70" t="str">
        <f t="shared" si="9"/>
        <v>Eng</v>
      </c>
      <c r="L70">
        <v>2021</v>
      </c>
      <c r="M70" t="str">
        <f t="shared" si="10"/>
        <v>21</v>
      </c>
      <c r="N70" t="s">
        <v>1020</v>
      </c>
      <c r="O70" s="2">
        <v>44381</v>
      </c>
      <c r="Q70">
        <f t="shared" si="11"/>
        <v>5</v>
      </c>
      <c r="R70">
        <f t="shared" si="12"/>
        <v>57429</v>
      </c>
      <c r="U70" t="str">
        <f t="shared" si="13"/>
        <v>long</v>
      </c>
      <c r="V70" s="4">
        <f t="shared" ca="1" si="14"/>
        <v>45973.174535995371</v>
      </c>
    </row>
    <row r="71" spans="1:22" x14ac:dyDescent="0.25">
      <c r="A71" t="s">
        <v>77</v>
      </c>
      <c r="B71" t="s">
        <v>577</v>
      </c>
      <c r="C71">
        <f t="shared" si="8"/>
        <v>8</v>
      </c>
      <c r="D71" t="str">
        <f t="shared" si="15"/>
        <v>M1069 Movie_69</v>
      </c>
      <c r="E71" t="s">
        <v>1008</v>
      </c>
      <c r="F71" t="str">
        <f>TRIM(Table1[[#This Row],[Genre]])</f>
        <v>Horror</v>
      </c>
      <c r="G71">
        <v>113</v>
      </c>
      <c r="H71">
        <v>9.3000000000000007</v>
      </c>
      <c r="I71" t="str" cm="1">
        <f t="array" ref="I71">_xlfn.IFS(H71&lt;4,"poor",H71&lt;7,"average",H71&lt;9,"good",TRUE,"excellent")</f>
        <v>excellent</v>
      </c>
      <c r="J71" t="s">
        <v>1019</v>
      </c>
      <c r="K71" t="str">
        <f t="shared" si="9"/>
        <v>Ger</v>
      </c>
      <c r="L71">
        <v>2023</v>
      </c>
      <c r="M71" t="str">
        <f t="shared" si="10"/>
        <v>23</v>
      </c>
      <c r="N71" t="s">
        <v>1020</v>
      </c>
      <c r="O71" s="2">
        <v>45116</v>
      </c>
      <c r="Q71">
        <f t="shared" si="11"/>
        <v>5</v>
      </c>
      <c r="R71">
        <f t="shared" si="12"/>
        <v>57296</v>
      </c>
      <c r="U71" t="str">
        <f t="shared" si="13"/>
        <v>short</v>
      </c>
      <c r="V71" s="4">
        <f t="shared" ca="1" si="14"/>
        <v>45973.174535995371</v>
      </c>
    </row>
    <row r="72" spans="1:22" x14ac:dyDescent="0.25">
      <c r="A72" t="s">
        <v>78</v>
      </c>
      <c r="B72" t="s">
        <v>578</v>
      </c>
      <c r="C72">
        <f t="shared" si="8"/>
        <v>8</v>
      </c>
      <c r="D72" t="str">
        <f t="shared" si="15"/>
        <v>M1070 Movie_70</v>
      </c>
      <c r="E72" t="s">
        <v>1011</v>
      </c>
      <c r="F72" t="str">
        <f>TRIM(Table1[[#This Row],[Genre]])</f>
        <v>Comedy</v>
      </c>
      <c r="G72">
        <v>170</v>
      </c>
      <c r="H72">
        <v>10</v>
      </c>
      <c r="I72" t="str" cm="1">
        <f t="array" ref="I72">_xlfn.IFS(H72&lt;4,"poor",H72&lt;7,"average",H72&lt;9,"good",TRUE,"excellent")</f>
        <v>excellent</v>
      </c>
      <c r="J72" t="s">
        <v>1017</v>
      </c>
      <c r="K72" t="str">
        <f t="shared" si="9"/>
        <v>Fre</v>
      </c>
      <c r="L72">
        <v>2010</v>
      </c>
      <c r="M72" t="str">
        <f t="shared" si="10"/>
        <v>10</v>
      </c>
      <c r="N72" t="s">
        <v>1020</v>
      </c>
      <c r="O72" s="2">
        <v>44679</v>
      </c>
      <c r="Q72">
        <f t="shared" si="11"/>
        <v>5</v>
      </c>
      <c r="R72">
        <f t="shared" si="12"/>
        <v>57183</v>
      </c>
      <c r="U72" t="str">
        <f t="shared" si="13"/>
        <v>long</v>
      </c>
      <c r="V72" s="4">
        <f t="shared" ca="1" si="14"/>
        <v>45973.174535995371</v>
      </c>
    </row>
    <row r="73" spans="1:22" x14ac:dyDescent="0.25">
      <c r="A73" t="s">
        <v>79</v>
      </c>
      <c r="B73" t="s">
        <v>579</v>
      </c>
      <c r="C73">
        <f t="shared" si="8"/>
        <v>8</v>
      </c>
      <c r="D73" t="str">
        <f t="shared" si="15"/>
        <v>M1071 Movie_71</v>
      </c>
      <c r="E73" t="s">
        <v>1010</v>
      </c>
      <c r="F73" t="str">
        <f>TRIM(Table1[[#This Row],[Genre]])</f>
        <v>Drama</v>
      </c>
      <c r="G73">
        <v>142</v>
      </c>
      <c r="H73">
        <v>7.7</v>
      </c>
      <c r="I73" t="str" cm="1">
        <f t="array" ref="I73">_xlfn.IFS(H73&lt;4,"poor",H73&lt;7,"average",H73&lt;9,"good",TRUE,"excellent")</f>
        <v>good</v>
      </c>
      <c r="J73" t="s">
        <v>1014</v>
      </c>
      <c r="K73" t="str">
        <f t="shared" si="9"/>
        <v>Jap</v>
      </c>
      <c r="L73">
        <v>1998</v>
      </c>
      <c r="M73" t="str">
        <f t="shared" si="10"/>
        <v>98</v>
      </c>
      <c r="N73" t="s">
        <v>1021</v>
      </c>
      <c r="O73" s="2">
        <v>44599</v>
      </c>
      <c r="Q73">
        <f t="shared" si="11"/>
        <v>5</v>
      </c>
      <c r="R73">
        <f t="shared" si="12"/>
        <v>57013</v>
      </c>
      <c r="U73" t="str">
        <f t="shared" si="13"/>
        <v>long</v>
      </c>
      <c r="V73" s="4">
        <f t="shared" ca="1" si="14"/>
        <v>45973.174535995371</v>
      </c>
    </row>
    <row r="74" spans="1:22" x14ac:dyDescent="0.25">
      <c r="A74" t="s">
        <v>80</v>
      </c>
      <c r="B74" t="s">
        <v>580</v>
      </c>
      <c r="C74">
        <f t="shared" si="8"/>
        <v>8</v>
      </c>
      <c r="D74" t="str">
        <f t="shared" si="15"/>
        <v>M1072 Movie_72</v>
      </c>
      <c r="E74" t="s">
        <v>1009</v>
      </c>
      <c r="F74" t="str">
        <f>TRIM(Table1[[#This Row],[Genre]])</f>
        <v>Action</v>
      </c>
      <c r="G74">
        <v>179</v>
      </c>
      <c r="H74">
        <v>4.9000000000000004</v>
      </c>
      <c r="I74" t="str" cm="1">
        <f t="array" ref="I74">_xlfn.IFS(H74&lt;4,"poor",H74&lt;7,"average",H74&lt;9,"good",TRUE,"excellent")</f>
        <v>average</v>
      </c>
      <c r="J74" t="s">
        <v>1014</v>
      </c>
      <c r="K74" t="str">
        <f t="shared" si="9"/>
        <v>Jap</v>
      </c>
      <c r="L74">
        <v>2014</v>
      </c>
      <c r="M74" t="str">
        <f t="shared" si="10"/>
        <v>14</v>
      </c>
      <c r="N74" t="s">
        <v>1021</v>
      </c>
      <c r="O74" s="2">
        <v>44756</v>
      </c>
      <c r="Q74">
        <f t="shared" si="11"/>
        <v>5</v>
      </c>
      <c r="R74">
        <f t="shared" si="12"/>
        <v>56871</v>
      </c>
      <c r="U74" t="str">
        <f t="shared" si="13"/>
        <v>long</v>
      </c>
      <c r="V74" s="4">
        <f t="shared" ca="1" si="14"/>
        <v>45973.174535995371</v>
      </c>
    </row>
    <row r="75" spans="1:22" x14ac:dyDescent="0.25">
      <c r="A75" t="s">
        <v>81</v>
      </c>
      <c r="B75" t="s">
        <v>581</v>
      </c>
      <c r="C75">
        <f t="shared" si="8"/>
        <v>8</v>
      </c>
      <c r="D75" t="str">
        <f t="shared" si="15"/>
        <v>M1073 Movie_73</v>
      </c>
      <c r="E75" t="s">
        <v>1011</v>
      </c>
      <c r="F75" t="str">
        <f>TRIM(Table1[[#This Row],[Genre]])</f>
        <v>Comedy</v>
      </c>
      <c r="G75">
        <v>173</v>
      </c>
      <c r="H75">
        <v>1.9</v>
      </c>
      <c r="I75" t="str" cm="1">
        <f t="array" ref="I75">_xlfn.IFS(H75&lt;4,"poor",H75&lt;7,"average",H75&lt;9,"good",TRUE,"excellent")</f>
        <v>poor</v>
      </c>
      <c r="J75" t="s">
        <v>1016</v>
      </c>
      <c r="K75" t="str">
        <f t="shared" si="9"/>
        <v>Spa</v>
      </c>
      <c r="L75">
        <v>1980</v>
      </c>
      <c r="M75" t="str">
        <f t="shared" si="10"/>
        <v>80</v>
      </c>
      <c r="N75" t="s">
        <v>1020</v>
      </c>
      <c r="O75" s="2">
        <v>43985</v>
      </c>
      <c r="Q75">
        <f t="shared" si="11"/>
        <v>5</v>
      </c>
      <c r="R75">
        <f t="shared" si="12"/>
        <v>56692</v>
      </c>
      <c r="U75" t="str">
        <f t="shared" si="13"/>
        <v>long</v>
      </c>
      <c r="V75" s="4">
        <f t="shared" ca="1" si="14"/>
        <v>45973.174535995371</v>
      </c>
    </row>
    <row r="76" spans="1:22" x14ac:dyDescent="0.25">
      <c r="A76" t="s">
        <v>82</v>
      </c>
      <c r="B76" t="s">
        <v>582</v>
      </c>
      <c r="C76">
        <f t="shared" si="8"/>
        <v>8</v>
      </c>
      <c r="D76" t="str">
        <f t="shared" si="15"/>
        <v>M1074 Movie_74</v>
      </c>
      <c r="E76" t="s">
        <v>1009</v>
      </c>
      <c r="F76" t="str">
        <f>TRIM(Table1[[#This Row],[Genre]])</f>
        <v>Action</v>
      </c>
      <c r="G76">
        <v>173</v>
      </c>
      <c r="H76">
        <v>6.7</v>
      </c>
      <c r="I76" t="str" cm="1">
        <f t="array" ref="I76">_xlfn.IFS(H76&lt;4,"poor",H76&lt;7,"average",H76&lt;9,"good",TRUE,"excellent")</f>
        <v>average</v>
      </c>
      <c r="J76" t="s">
        <v>1019</v>
      </c>
      <c r="K76" t="str">
        <f t="shared" si="9"/>
        <v>Ger</v>
      </c>
      <c r="L76">
        <v>1986</v>
      </c>
      <c r="M76" t="str">
        <f t="shared" si="10"/>
        <v>86</v>
      </c>
      <c r="N76" t="s">
        <v>1020</v>
      </c>
      <c r="O76" s="2">
        <v>45128</v>
      </c>
      <c r="Q76">
        <f t="shared" si="11"/>
        <v>5</v>
      </c>
      <c r="R76">
        <f t="shared" si="12"/>
        <v>56519</v>
      </c>
      <c r="U76" t="str">
        <f t="shared" si="13"/>
        <v>long</v>
      </c>
      <c r="V76" s="4">
        <f t="shared" ca="1" si="14"/>
        <v>45973.174535995371</v>
      </c>
    </row>
    <row r="77" spans="1:22" x14ac:dyDescent="0.25">
      <c r="A77" t="s">
        <v>83</v>
      </c>
      <c r="B77" t="s">
        <v>583</v>
      </c>
      <c r="C77">
        <f t="shared" si="8"/>
        <v>8</v>
      </c>
      <c r="D77" t="str">
        <f t="shared" si="15"/>
        <v>M1075 Movie_75</v>
      </c>
      <c r="E77" t="s">
        <v>1013</v>
      </c>
      <c r="F77" t="str">
        <f>TRIM(Table1[[#This Row],[Genre]])</f>
        <v>Thriller</v>
      </c>
      <c r="G77">
        <v>114</v>
      </c>
      <c r="H77">
        <v>8.9</v>
      </c>
      <c r="I77" t="str" cm="1">
        <f t="array" ref="I77">_xlfn.IFS(H77&lt;4,"poor",H77&lt;7,"average",H77&lt;9,"good",TRUE,"excellent")</f>
        <v>good</v>
      </c>
      <c r="J77" t="s">
        <v>1015</v>
      </c>
      <c r="K77" t="str">
        <f t="shared" si="9"/>
        <v>Hin</v>
      </c>
      <c r="L77">
        <v>2007</v>
      </c>
      <c r="M77" t="str">
        <f t="shared" si="10"/>
        <v>07</v>
      </c>
      <c r="N77" t="s">
        <v>1020</v>
      </c>
      <c r="O77" s="2">
        <v>45458</v>
      </c>
      <c r="Q77">
        <f t="shared" si="11"/>
        <v>5</v>
      </c>
      <c r="R77">
        <f t="shared" si="12"/>
        <v>56346</v>
      </c>
      <c r="U77" t="str">
        <f t="shared" si="13"/>
        <v>short</v>
      </c>
      <c r="V77" s="4">
        <f t="shared" ca="1" si="14"/>
        <v>45973.174535995371</v>
      </c>
    </row>
    <row r="78" spans="1:22" x14ac:dyDescent="0.25">
      <c r="A78" t="s">
        <v>84</v>
      </c>
      <c r="B78" t="s">
        <v>584</v>
      </c>
      <c r="C78">
        <f t="shared" si="8"/>
        <v>8</v>
      </c>
      <c r="D78" t="str">
        <f t="shared" si="15"/>
        <v>M1076 Movie_76</v>
      </c>
      <c r="E78" t="s">
        <v>1010</v>
      </c>
      <c r="F78" t="str">
        <f>TRIM(Table1[[#This Row],[Genre]])</f>
        <v>Drama</v>
      </c>
      <c r="G78">
        <v>190</v>
      </c>
      <c r="H78">
        <v>5</v>
      </c>
      <c r="I78" t="str" cm="1">
        <f t="array" ref="I78">_xlfn.IFS(H78&lt;4,"poor",H78&lt;7,"average",H78&lt;9,"good",TRUE,"excellent")</f>
        <v>average</v>
      </c>
      <c r="J78" t="s">
        <v>1017</v>
      </c>
      <c r="K78" t="str">
        <f t="shared" si="9"/>
        <v>Fre</v>
      </c>
      <c r="L78">
        <v>1988</v>
      </c>
      <c r="M78" t="str">
        <f t="shared" si="10"/>
        <v>88</v>
      </c>
      <c r="N78" t="s">
        <v>1020</v>
      </c>
      <c r="O78" s="2">
        <v>45405</v>
      </c>
      <c r="Q78">
        <f t="shared" si="11"/>
        <v>5</v>
      </c>
      <c r="R78">
        <f t="shared" si="12"/>
        <v>56232</v>
      </c>
      <c r="U78" t="str">
        <f t="shared" si="13"/>
        <v>long</v>
      </c>
      <c r="V78" s="4">
        <f t="shared" ca="1" si="14"/>
        <v>45973.174535995371</v>
      </c>
    </row>
    <row r="79" spans="1:22" x14ac:dyDescent="0.25">
      <c r="A79" t="s">
        <v>85</v>
      </c>
      <c r="B79" t="s">
        <v>585</v>
      </c>
      <c r="C79">
        <f t="shared" si="8"/>
        <v>8</v>
      </c>
      <c r="D79" t="str">
        <f t="shared" si="15"/>
        <v>M1077 Movie_77</v>
      </c>
      <c r="E79" t="s">
        <v>1013</v>
      </c>
      <c r="F79" t="str">
        <f>TRIM(Table1[[#This Row],[Genre]])</f>
        <v>Thriller</v>
      </c>
      <c r="G79">
        <v>181</v>
      </c>
      <c r="H79">
        <v>7.2</v>
      </c>
      <c r="I79" t="str" cm="1">
        <f t="array" ref="I79">_xlfn.IFS(H79&lt;4,"poor",H79&lt;7,"average",H79&lt;9,"good",TRUE,"excellent")</f>
        <v>good</v>
      </c>
      <c r="J79" t="s">
        <v>1014</v>
      </c>
      <c r="K79" t="str">
        <f t="shared" si="9"/>
        <v>Jap</v>
      </c>
      <c r="L79">
        <v>1996</v>
      </c>
      <c r="M79" t="str">
        <f t="shared" si="10"/>
        <v>96</v>
      </c>
      <c r="N79" t="s">
        <v>1021</v>
      </c>
      <c r="O79" s="2">
        <v>44021</v>
      </c>
      <c r="Q79">
        <f t="shared" si="11"/>
        <v>5</v>
      </c>
      <c r="R79">
        <f t="shared" si="12"/>
        <v>56042</v>
      </c>
      <c r="U79" t="str">
        <f t="shared" si="13"/>
        <v>long</v>
      </c>
      <c r="V79" s="4">
        <f t="shared" ca="1" si="14"/>
        <v>45973.174535995371</v>
      </c>
    </row>
    <row r="80" spans="1:22" x14ac:dyDescent="0.25">
      <c r="A80" t="s">
        <v>86</v>
      </c>
      <c r="B80" t="s">
        <v>586</v>
      </c>
      <c r="C80">
        <f t="shared" si="8"/>
        <v>8</v>
      </c>
      <c r="D80" t="str">
        <f t="shared" si="15"/>
        <v>M1078 Movie_78</v>
      </c>
      <c r="E80" t="s">
        <v>1008</v>
      </c>
      <c r="F80" t="str">
        <f>TRIM(Table1[[#This Row],[Genre]])</f>
        <v>Horror</v>
      </c>
      <c r="G80">
        <v>103</v>
      </c>
      <c r="H80">
        <v>9.1</v>
      </c>
      <c r="I80" t="str" cm="1">
        <f t="array" ref="I80">_xlfn.IFS(H80&lt;4,"poor",H80&lt;7,"average",H80&lt;9,"good",TRUE,"excellent")</f>
        <v>excellent</v>
      </c>
      <c r="J80" t="s">
        <v>1019</v>
      </c>
      <c r="K80" t="str">
        <f t="shared" si="9"/>
        <v>Ger</v>
      </c>
      <c r="L80">
        <v>2003</v>
      </c>
      <c r="M80" t="str">
        <f t="shared" si="10"/>
        <v>03</v>
      </c>
      <c r="N80" t="s">
        <v>1020</v>
      </c>
      <c r="O80" s="2">
        <v>44656</v>
      </c>
      <c r="Q80">
        <f t="shared" si="11"/>
        <v>5</v>
      </c>
      <c r="R80">
        <f t="shared" si="12"/>
        <v>55861</v>
      </c>
      <c r="U80" t="str">
        <f t="shared" si="13"/>
        <v>short</v>
      </c>
      <c r="V80" s="4">
        <f t="shared" ca="1" si="14"/>
        <v>45973.174535995371</v>
      </c>
    </row>
    <row r="81" spans="1:22" x14ac:dyDescent="0.25">
      <c r="A81" t="s">
        <v>87</v>
      </c>
      <c r="B81" t="s">
        <v>587</v>
      </c>
      <c r="C81">
        <f t="shared" si="8"/>
        <v>8</v>
      </c>
      <c r="D81" t="str">
        <f t="shared" si="15"/>
        <v>M1079 Movie_79</v>
      </c>
      <c r="E81" t="s">
        <v>1010</v>
      </c>
      <c r="F81" t="str">
        <f>TRIM(Table1[[#This Row],[Genre]])</f>
        <v>Drama</v>
      </c>
      <c r="G81">
        <v>81</v>
      </c>
      <c r="H81">
        <v>1.4</v>
      </c>
      <c r="I81" t="str" cm="1">
        <f t="array" ref="I81">_xlfn.IFS(H81&lt;4,"poor",H81&lt;7,"average",H81&lt;9,"good",TRUE,"excellent")</f>
        <v>poor</v>
      </c>
      <c r="J81" t="s">
        <v>1016</v>
      </c>
      <c r="K81" t="str">
        <f t="shared" si="9"/>
        <v>Spa</v>
      </c>
      <c r="L81">
        <v>2005</v>
      </c>
      <c r="M81" t="str">
        <f t="shared" si="10"/>
        <v>05</v>
      </c>
      <c r="N81" t="s">
        <v>1021</v>
      </c>
      <c r="O81" s="2">
        <v>44886</v>
      </c>
      <c r="Q81">
        <f t="shared" si="11"/>
        <v>5</v>
      </c>
      <c r="R81">
        <f t="shared" si="12"/>
        <v>55758</v>
      </c>
      <c r="U81" t="str">
        <f t="shared" si="13"/>
        <v>short</v>
      </c>
      <c r="V81" s="4">
        <f t="shared" ca="1" si="14"/>
        <v>45973.174535995371</v>
      </c>
    </row>
    <row r="82" spans="1:22" x14ac:dyDescent="0.25">
      <c r="A82" t="s">
        <v>88</v>
      </c>
      <c r="B82" t="s">
        <v>588</v>
      </c>
      <c r="C82">
        <f t="shared" si="8"/>
        <v>8</v>
      </c>
      <c r="D82" t="str">
        <f t="shared" si="15"/>
        <v>M1080 Movie_80</v>
      </c>
      <c r="E82" t="s">
        <v>1011</v>
      </c>
      <c r="F82" t="str">
        <f>TRIM(Table1[[#This Row],[Genre]])</f>
        <v>Comedy</v>
      </c>
      <c r="G82">
        <v>132</v>
      </c>
      <c r="H82">
        <v>8.1999999999999993</v>
      </c>
      <c r="I82" t="str" cm="1">
        <f t="array" ref="I82">_xlfn.IFS(H82&lt;4,"poor",H82&lt;7,"average",H82&lt;9,"good",TRUE,"excellent")</f>
        <v>good</v>
      </c>
      <c r="J82" t="s">
        <v>1015</v>
      </c>
      <c r="K82" t="str">
        <f t="shared" si="9"/>
        <v>Hin</v>
      </c>
      <c r="L82">
        <v>2003</v>
      </c>
      <c r="M82" t="str">
        <f t="shared" si="10"/>
        <v>03</v>
      </c>
      <c r="N82" t="s">
        <v>1021</v>
      </c>
      <c r="O82" s="2">
        <v>45366</v>
      </c>
      <c r="Q82">
        <f t="shared" si="11"/>
        <v>5</v>
      </c>
      <c r="R82">
        <f t="shared" si="12"/>
        <v>55677</v>
      </c>
      <c r="U82" t="str">
        <f t="shared" si="13"/>
        <v>long</v>
      </c>
      <c r="V82" s="4">
        <f t="shared" ca="1" si="14"/>
        <v>45973.174535995371</v>
      </c>
    </row>
    <row r="83" spans="1:22" x14ac:dyDescent="0.25">
      <c r="A83" t="s">
        <v>89</v>
      </c>
      <c r="B83" t="s">
        <v>589</v>
      </c>
      <c r="C83">
        <f t="shared" si="8"/>
        <v>8</v>
      </c>
      <c r="D83" t="str">
        <f t="shared" si="15"/>
        <v>M1081 Movie_81</v>
      </c>
      <c r="E83" t="s">
        <v>1010</v>
      </c>
      <c r="F83" t="str">
        <f>TRIM(Table1[[#This Row],[Genre]])</f>
        <v>Drama</v>
      </c>
      <c r="G83">
        <v>191</v>
      </c>
      <c r="H83">
        <v>3.6</v>
      </c>
      <c r="I83" t="str" cm="1">
        <f t="array" ref="I83">_xlfn.IFS(H83&lt;4,"poor",H83&lt;7,"average",H83&lt;9,"good",TRUE,"excellent")</f>
        <v>poor</v>
      </c>
      <c r="J83" t="s">
        <v>1016</v>
      </c>
      <c r="K83" t="str">
        <f t="shared" si="9"/>
        <v>Spa</v>
      </c>
      <c r="L83">
        <v>1982</v>
      </c>
      <c r="M83" t="str">
        <f t="shared" si="10"/>
        <v>82</v>
      </c>
      <c r="N83" t="s">
        <v>1020</v>
      </c>
      <c r="O83" s="2">
        <v>44400</v>
      </c>
      <c r="Q83">
        <f t="shared" si="11"/>
        <v>5</v>
      </c>
      <c r="R83">
        <f t="shared" si="12"/>
        <v>55545</v>
      </c>
      <c r="U83" t="str">
        <f t="shared" si="13"/>
        <v>long</v>
      </c>
      <c r="V83" s="4">
        <f t="shared" ca="1" si="14"/>
        <v>45973.174535995371</v>
      </c>
    </row>
    <row r="84" spans="1:22" x14ac:dyDescent="0.25">
      <c r="A84" t="s">
        <v>90</v>
      </c>
      <c r="B84" t="s">
        <v>590</v>
      </c>
      <c r="C84">
        <f t="shared" si="8"/>
        <v>8</v>
      </c>
      <c r="D84" t="str">
        <f t="shared" si="15"/>
        <v>M1082 Movie_82</v>
      </c>
      <c r="E84" t="s">
        <v>1010</v>
      </c>
      <c r="F84" t="str">
        <f>TRIM(Table1[[#This Row],[Genre]])</f>
        <v>Drama</v>
      </c>
      <c r="G84">
        <v>145</v>
      </c>
      <c r="H84">
        <v>4.4000000000000004</v>
      </c>
      <c r="I84" t="str" cm="1">
        <f t="array" ref="I84">_xlfn.IFS(H84&lt;4,"poor",H84&lt;7,"average",H84&lt;9,"good",TRUE,"excellent")</f>
        <v>average</v>
      </c>
      <c r="J84" t="s">
        <v>1017</v>
      </c>
      <c r="K84" t="str">
        <f t="shared" si="9"/>
        <v>Fre</v>
      </c>
      <c r="L84">
        <v>2005</v>
      </c>
      <c r="M84" t="str">
        <f t="shared" si="10"/>
        <v>05</v>
      </c>
      <c r="N84" t="s">
        <v>1020</v>
      </c>
      <c r="O84" s="2">
        <v>45253</v>
      </c>
      <c r="Q84">
        <f t="shared" si="11"/>
        <v>5</v>
      </c>
      <c r="R84">
        <f t="shared" si="12"/>
        <v>55354</v>
      </c>
      <c r="U84" t="str">
        <f t="shared" si="13"/>
        <v>long</v>
      </c>
      <c r="V84" s="4">
        <f t="shared" ca="1" si="14"/>
        <v>45973.174535995371</v>
      </c>
    </row>
    <row r="85" spans="1:22" x14ac:dyDescent="0.25">
      <c r="A85" t="s">
        <v>91</v>
      </c>
      <c r="B85" t="s">
        <v>591</v>
      </c>
      <c r="C85">
        <f t="shared" si="8"/>
        <v>8</v>
      </c>
      <c r="D85" t="str">
        <f t="shared" si="15"/>
        <v>M1083 Movie_83</v>
      </c>
      <c r="E85" t="s">
        <v>1011</v>
      </c>
      <c r="F85" t="str">
        <f>TRIM(Table1[[#This Row],[Genre]])</f>
        <v>Comedy</v>
      </c>
      <c r="G85">
        <v>83</v>
      </c>
      <c r="H85">
        <v>2.2999999999999998</v>
      </c>
      <c r="I85" t="str" cm="1">
        <f t="array" ref="I85">_xlfn.IFS(H85&lt;4,"poor",H85&lt;7,"average",H85&lt;9,"good",TRUE,"excellent")</f>
        <v>poor</v>
      </c>
      <c r="J85" t="s">
        <v>1019</v>
      </c>
      <c r="K85" t="str">
        <f t="shared" si="9"/>
        <v>Ger</v>
      </c>
      <c r="L85">
        <v>1983</v>
      </c>
      <c r="M85" t="str">
        <f t="shared" si="10"/>
        <v>83</v>
      </c>
      <c r="N85" t="s">
        <v>1020</v>
      </c>
      <c r="O85" s="2">
        <v>44586</v>
      </c>
      <c r="Q85">
        <f t="shared" si="11"/>
        <v>5</v>
      </c>
      <c r="R85">
        <f t="shared" si="12"/>
        <v>55209</v>
      </c>
      <c r="U85" t="str">
        <f t="shared" si="13"/>
        <v>short</v>
      </c>
      <c r="V85" s="4">
        <f t="shared" ca="1" si="14"/>
        <v>45973.174535995371</v>
      </c>
    </row>
    <row r="86" spans="1:22" x14ac:dyDescent="0.25">
      <c r="A86" t="s">
        <v>92</v>
      </c>
      <c r="B86" t="s">
        <v>592</v>
      </c>
      <c r="C86">
        <f t="shared" si="8"/>
        <v>8</v>
      </c>
      <c r="D86" t="str">
        <f t="shared" si="15"/>
        <v>M1084 Movie_84</v>
      </c>
      <c r="E86" t="s">
        <v>1008</v>
      </c>
      <c r="F86" t="str">
        <f>TRIM(Table1[[#This Row],[Genre]])</f>
        <v>Horror</v>
      </c>
      <c r="G86">
        <v>120</v>
      </c>
      <c r="H86">
        <v>5.8</v>
      </c>
      <c r="I86" t="str" cm="1">
        <f t="array" ref="I86">_xlfn.IFS(H86&lt;4,"poor",H86&lt;7,"average",H86&lt;9,"good",TRUE,"excellent")</f>
        <v>average</v>
      </c>
      <c r="J86" t="s">
        <v>1016</v>
      </c>
      <c r="K86" t="str">
        <f t="shared" si="9"/>
        <v>Spa</v>
      </c>
      <c r="L86">
        <v>2016</v>
      </c>
      <c r="M86" t="str">
        <f t="shared" si="10"/>
        <v>16</v>
      </c>
      <c r="N86" t="s">
        <v>1020</v>
      </c>
      <c r="O86" s="2">
        <v>44762</v>
      </c>
      <c r="Q86">
        <f t="shared" si="11"/>
        <v>5</v>
      </c>
      <c r="R86">
        <f t="shared" si="12"/>
        <v>55126</v>
      </c>
      <c r="U86" t="str">
        <f t="shared" si="13"/>
        <v>short</v>
      </c>
      <c r="V86" s="4">
        <f t="shared" ca="1" si="14"/>
        <v>45973.174535995371</v>
      </c>
    </row>
    <row r="87" spans="1:22" x14ac:dyDescent="0.25">
      <c r="A87" t="s">
        <v>93</v>
      </c>
      <c r="B87" t="s">
        <v>593</v>
      </c>
      <c r="C87">
        <f t="shared" si="8"/>
        <v>8</v>
      </c>
      <c r="D87" t="str">
        <f t="shared" si="15"/>
        <v>M1085 Movie_85</v>
      </c>
      <c r="E87" t="s">
        <v>1010</v>
      </c>
      <c r="F87" t="str">
        <f>TRIM(Table1[[#This Row],[Genre]])</f>
        <v>Drama</v>
      </c>
      <c r="G87">
        <v>139</v>
      </c>
      <c r="H87">
        <v>6.1</v>
      </c>
      <c r="I87" t="str" cm="1">
        <f t="array" ref="I87">_xlfn.IFS(H87&lt;4,"poor",H87&lt;7,"average",H87&lt;9,"good",TRUE,"excellent")</f>
        <v>average</v>
      </c>
      <c r="J87" t="s">
        <v>1017</v>
      </c>
      <c r="K87" t="str">
        <f t="shared" si="9"/>
        <v>Fre</v>
      </c>
      <c r="L87">
        <v>2015</v>
      </c>
      <c r="M87" t="str">
        <f t="shared" si="10"/>
        <v>15</v>
      </c>
      <c r="N87" t="s">
        <v>1021</v>
      </c>
      <c r="O87" s="2">
        <v>44830</v>
      </c>
      <c r="Q87">
        <f t="shared" si="11"/>
        <v>5</v>
      </c>
      <c r="R87">
        <f t="shared" si="12"/>
        <v>55006</v>
      </c>
      <c r="U87" t="str">
        <f t="shared" si="13"/>
        <v>long</v>
      </c>
      <c r="V87" s="4">
        <f t="shared" ca="1" si="14"/>
        <v>45973.174535995371</v>
      </c>
    </row>
    <row r="88" spans="1:22" x14ac:dyDescent="0.25">
      <c r="A88" t="s">
        <v>94</v>
      </c>
      <c r="B88" t="s">
        <v>594</v>
      </c>
      <c r="C88">
        <f t="shared" si="8"/>
        <v>8</v>
      </c>
      <c r="D88" t="str">
        <f t="shared" si="15"/>
        <v>M1086 Movie_86</v>
      </c>
      <c r="E88" t="s">
        <v>1008</v>
      </c>
      <c r="F88" t="str">
        <f>TRIM(Table1[[#This Row],[Genre]])</f>
        <v>Horror</v>
      </c>
      <c r="G88">
        <v>117</v>
      </c>
      <c r="H88">
        <v>8.1</v>
      </c>
      <c r="I88" t="str" cm="1">
        <f t="array" ref="I88">_xlfn.IFS(H88&lt;4,"poor",H88&lt;7,"average",H88&lt;9,"good",TRUE,"excellent")</f>
        <v>good</v>
      </c>
      <c r="J88" t="s">
        <v>1014</v>
      </c>
      <c r="K88" t="str">
        <f t="shared" si="9"/>
        <v>Jap</v>
      </c>
      <c r="L88">
        <v>1992</v>
      </c>
      <c r="M88" t="str">
        <f t="shared" si="10"/>
        <v>92</v>
      </c>
      <c r="N88" t="s">
        <v>1020</v>
      </c>
      <c r="O88" s="2">
        <v>44501</v>
      </c>
      <c r="Q88">
        <f t="shared" si="11"/>
        <v>5</v>
      </c>
      <c r="R88">
        <f t="shared" si="12"/>
        <v>54867</v>
      </c>
      <c r="U88" t="str">
        <f t="shared" si="13"/>
        <v>short</v>
      </c>
      <c r="V88" s="4">
        <f t="shared" ca="1" si="14"/>
        <v>45973.174535995371</v>
      </c>
    </row>
    <row r="89" spans="1:22" x14ac:dyDescent="0.25">
      <c r="A89" t="s">
        <v>95</v>
      </c>
      <c r="B89" t="s">
        <v>595</v>
      </c>
      <c r="C89">
        <f t="shared" si="8"/>
        <v>8</v>
      </c>
      <c r="D89" t="str">
        <f t="shared" si="15"/>
        <v>M1087 Movie_87</v>
      </c>
      <c r="E89" t="s">
        <v>1008</v>
      </c>
      <c r="F89" t="str">
        <f>TRIM(Table1[[#This Row],[Genre]])</f>
        <v>Horror</v>
      </c>
      <c r="G89">
        <v>110</v>
      </c>
      <c r="H89">
        <v>2.5</v>
      </c>
      <c r="I89" t="str" cm="1">
        <f t="array" ref="I89">_xlfn.IFS(H89&lt;4,"poor",H89&lt;7,"average",H89&lt;9,"good",TRUE,"excellent")</f>
        <v>poor</v>
      </c>
      <c r="J89" t="s">
        <v>1015</v>
      </c>
      <c r="K89" t="str">
        <f t="shared" si="9"/>
        <v>Hin</v>
      </c>
      <c r="L89">
        <v>2003</v>
      </c>
      <c r="M89" t="str">
        <f t="shared" si="10"/>
        <v>03</v>
      </c>
      <c r="N89" t="s">
        <v>1020</v>
      </c>
      <c r="O89" s="2">
        <v>45022</v>
      </c>
      <c r="Q89">
        <f t="shared" si="11"/>
        <v>5</v>
      </c>
      <c r="R89">
        <f t="shared" si="12"/>
        <v>54750</v>
      </c>
      <c r="U89" t="str">
        <f t="shared" si="13"/>
        <v>short</v>
      </c>
      <c r="V89" s="4">
        <f t="shared" ca="1" si="14"/>
        <v>45973.174535995371</v>
      </c>
    </row>
    <row r="90" spans="1:22" x14ac:dyDescent="0.25">
      <c r="A90" t="s">
        <v>96</v>
      </c>
      <c r="B90" t="s">
        <v>596</v>
      </c>
      <c r="C90">
        <f t="shared" si="8"/>
        <v>8</v>
      </c>
      <c r="D90" t="str">
        <f t="shared" si="15"/>
        <v>M1088 Movie_88</v>
      </c>
      <c r="E90" t="s">
        <v>1008</v>
      </c>
      <c r="F90" t="str">
        <f>TRIM(Table1[[#This Row],[Genre]])</f>
        <v>Horror</v>
      </c>
      <c r="G90">
        <v>97</v>
      </c>
      <c r="H90">
        <v>1.7</v>
      </c>
      <c r="I90" t="str" cm="1">
        <f t="array" ref="I90">_xlfn.IFS(H90&lt;4,"poor",H90&lt;7,"average",H90&lt;9,"good",TRUE,"excellent")</f>
        <v>poor</v>
      </c>
      <c r="J90" t="s">
        <v>1019</v>
      </c>
      <c r="K90" t="str">
        <f t="shared" si="9"/>
        <v>Ger</v>
      </c>
      <c r="L90">
        <v>2015</v>
      </c>
      <c r="M90" t="str">
        <f t="shared" si="10"/>
        <v>15</v>
      </c>
      <c r="N90" t="s">
        <v>1021</v>
      </c>
      <c r="O90" s="2">
        <v>43836</v>
      </c>
      <c r="Q90">
        <f t="shared" si="11"/>
        <v>5</v>
      </c>
      <c r="R90">
        <f t="shared" si="12"/>
        <v>54640</v>
      </c>
      <c r="U90" t="str">
        <f t="shared" si="13"/>
        <v>short</v>
      </c>
      <c r="V90" s="4">
        <f t="shared" ca="1" si="14"/>
        <v>45973.174535995371</v>
      </c>
    </row>
    <row r="91" spans="1:22" x14ac:dyDescent="0.25">
      <c r="A91" t="s">
        <v>97</v>
      </c>
      <c r="B91" t="s">
        <v>597</v>
      </c>
      <c r="C91">
        <f t="shared" si="8"/>
        <v>8</v>
      </c>
      <c r="D91" t="str">
        <f t="shared" si="15"/>
        <v>M1089 Movie_89</v>
      </c>
      <c r="E91" t="s">
        <v>1009</v>
      </c>
      <c r="F91" t="str">
        <f>TRIM(Table1[[#This Row],[Genre]])</f>
        <v>Action</v>
      </c>
      <c r="G91">
        <v>66</v>
      </c>
      <c r="H91">
        <v>8.8000000000000007</v>
      </c>
      <c r="I91" t="str" cm="1">
        <f t="array" ref="I91">_xlfn.IFS(H91&lt;4,"poor",H91&lt;7,"average",H91&lt;9,"good",TRUE,"excellent")</f>
        <v>good</v>
      </c>
      <c r="J91" t="s">
        <v>1019</v>
      </c>
      <c r="K91" t="str">
        <f t="shared" si="9"/>
        <v>Ger</v>
      </c>
      <c r="L91">
        <v>1998</v>
      </c>
      <c r="M91" t="str">
        <f t="shared" si="10"/>
        <v>98</v>
      </c>
      <c r="N91" t="s">
        <v>1020</v>
      </c>
      <c r="O91" s="2">
        <v>45416</v>
      </c>
      <c r="Q91">
        <f t="shared" si="11"/>
        <v>5</v>
      </c>
      <c r="R91">
        <f t="shared" si="12"/>
        <v>54543</v>
      </c>
      <c r="U91" t="str">
        <f t="shared" si="13"/>
        <v>short</v>
      </c>
      <c r="V91" s="4">
        <f t="shared" ca="1" si="14"/>
        <v>45973.174535995371</v>
      </c>
    </row>
    <row r="92" spans="1:22" x14ac:dyDescent="0.25">
      <c r="A92" t="s">
        <v>98</v>
      </c>
      <c r="B92" t="s">
        <v>598</v>
      </c>
      <c r="C92">
        <f t="shared" si="8"/>
        <v>8</v>
      </c>
      <c r="D92" t="str">
        <f t="shared" si="15"/>
        <v>M1090 Movie_90</v>
      </c>
      <c r="E92" t="s">
        <v>1012</v>
      </c>
      <c r="F92" t="str">
        <f>TRIM(Table1[[#This Row],[Genre]])</f>
        <v>Sci-Fi</v>
      </c>
      <c r="G92">
        <v>71</v>
      </c>
      <c r="H92">
        <v>6.6</v>
      </c>
      <c r="I92" t="str" cm="1">
        <f t="array" ref="I92">_xlfn.IFS(H92&lt;4,"poor",H92&lt;7,"average",H92&lt;9,"good",TRUE,"excellent")</f>
        <v>average</v>
      </c>
      <c r="J92" t="s">
        <v>1017</v>
      </c>
      <c r="K92" t="str">
        <f t="shared" si="9"/>
        <v>Fre</v>
      </c>
      <c r="L92">
        <v>1984</v>
      </c>
      <c r="M92" t="str">
        <f t="shared" si="10"/>
        <v>84</v>
      </c>
      <c r="N92" t="s">
        <v>1021</v>
      </c>
      <c r="O92" s="2">
        <v>45331</v>
      </c>
      <c r="Q92">
        <f t="shared" si="11"/>
        <v>5</v>
      </c>
      <c r="R92">
        <f t="shared" si="12"/>
        <v>54477</v>
      </c>
      <c r="U92" t="str">
        <f t="shared" si="13"/>
        <v>short</v>
      </c>
      <c r="V92" s="4">
        <f t="shared" ca="1" si="14"/>
        <v>45973.174535995371</v>
      </c>
    </row>
    <row r="93" spans="1:22" x14ac:dyDescent="0.25">
      <c r="A93" t="s">
        <v>99</v>
      </c>
      <c r="B93" t="s">
        <v>599</v>
      </c>
      <c r="C93">
        <f t="shared" si="8"/>
        <v>8</v>
      </c>
      <c r="D93" t="str">
        <f t="shared" si="15"/>
        <v>M1091 Movie_91</v>
      </c>
      <c r="E93" t="s">
        <v>1008</v>
      </c>
      <c r="F93" t="str">
        <f>TRIM(Table1[[#This Row],[Genre]])</f>
        <v>Horror</v>
      </c>
      <c r="G93">
        <v>122</v>
      </c>
      <c r="H93">
        <v>3.2</v>
      </c>
      <c r="I93" t="str" cm="1">
        <f t="array" ref="I93">_xlfn.IFS(H93&lt;4,"poor",H93&lt;7,"average",H93&lt;9,"good",TRUE,"excellent")</f>
        <v>poor</v>
      </c>
      <c r="J93" t="s">
        <v>1019</v>
      </c>
      <c r="K93" t="str">
        <f t="shared" si="9"/>
        <v>Ger</v>
      </c>
      <c r="L93">
        <v>2004</v>
      </c>
      <c r="M93" t="str">
        <f t="shared" si="10"/>
        <v>04</v>
      </c>
      <c r="N93" t="s">
        <v>1021</v>
      </c>
      <c r="O93" s="2">
        <v>44021</v>
      </c>
      <c r="Q93">
        <f t="shared" si="11"/>
        <v>5</v>
      </c>
      <c r="R93">
        <f t="shared" si="12"/>
        <v>54406</v>
      </c>
      <c r="U93" t="str">
        <f t="shared" si="13"/>
        <v>long</v>
      </c>
      <c r="V93" s="4">
        <f t="shared" ca="1" si="14"/>
        <v>45973.174535995371</v>
      </c>
    </row>
    <row r="94" spans="1:22" x14ac:dyDescent="0.25">
      <c r="A94" t="s">
        <v>100</v>
      </c>
      <c r="B94" t="s">
        <v>600</v>
      </c>
      <c r="C94">
        <f t="shared" si="8"/>
        <v>8</v>
      </c>
      <c r="D94" t="str">
        <f t="shared" si="15"/>
        <v>M1092 Movie_92</v>
      </c>
      <c r="E94" t="s">
        <v>1011</v>
      </c>
      <c r="F94" t="str">
        <f>TRIM(Table1[[#This Row],[Genre]])</f>
        <v>Comedy</v>
      </c>
      <c r="G94">
        <v>181</v>
      </c>
      <c r="H94">
        <v>9.1999999999999993</v>
      </c>
      <c r="I94" t="str" cm="1">
        <f t="array" ref="I94">_xlfn.IFS(H94&lt;4,"poor",H94&lt;7,"average",H94&lt;9,"good",TRUE,"excellent")</f>
        <v>excellent</v>
      </c>
      <c r="J94" t="s">
        <v>1015</v>
      </c>
      <c r="K94" t="str">
        <f t="shared" si="9"/>
        <v>Hin</v>
      </c>
      <c r="L94">
        <v>2012</v>
      </c>
      <c r="M94" t="str">
        <f t="shared" si="10"/>
        <v>12</v>
      </c>
      <c r="N94" t="s">
        <v>1021</v>
      </c>
      <c r="O94" s="2">
        <v>45327</v>
      </c>
      <c r="Q94">
        <f t="shared" si="11"/>
        <v>5</v>
      </c>
      <c r="R94">
        <f t="shared" si="12"/>
        <v>54284</v>
      </c>
      <c r="U94" t="str">
        <f t="shared" si="13"/>
        <v>long</v>
      </c>
      <c r="V94" s="4">
        <f t="shared" ca="1" si="14"/>
        <v>45973.174535995371</v>
      </c>
    </row>
    <row r="95" spans="1:22" x14ac:dyDescent="0.25">
      <c r="A95" t="s">
        <v>101</v>
      </c>
      <c r="B95" t="s">
        <v>601</v>
      </c>
      <c r="C95">
        <f t="shared" si="8"/>
        <v>8</v>
      </c>
      <c r="D95" t="str">
        <f t="shared" si="15"/>
        <v>M1093 Movie_93</v>
      </c>
      <c r="E95" t="s">
        <v>1012</v>
      </c>
      <c r="F95" t="str">
        <f>TRIM(Table1[[#This Row],[Genre]])</f>
        <v>Sci-Fi</v>
      </c>
      <c r="G95">
        <v>78</v>
      </c>
      <c r="H95">
        <v>2.2999999999999998</v>
      </c>
      <c r="I95" t="str" cm="1">
        <f t="array" ref="I95">_xlfn.IFS(H95&lt;4,"poor",H95&lt;7,"average",H95&lt;9,"good",TRUE,"excellent")</f>
        <v>poor</v>
      </c>
      <c r="J95" t="s">
        <v>1015</v>
      </c>
      <c r="K95" t="str">
        <f t="shared" si="9"/>
        <v>Hin</v>
      </c>
      <c r="L95">
        <v>2008</v>
      </c>
      <c r="M95" t="str">
        <f t="shared" si="10"/>
        <v>08</v>
      </c>
      <c r="N95" t="s">
        <v>1021</v>
      </c>
      <c r="O95" s="2">
        <v>44769</v>
      </c>
      <c r="Q95">
        <f t="shared" si="11"/>
        <v>5</v>
      </c>
      <c r="R95">
        <f t="shared" si="12"/>
        <v>54103</v>
      </c>
      <c r="U95" t="str">
        <f t="shared" si="13"/>
        <v>short</v>
      </c>
      <c r="V95" s="4">
        <f t="shared" ca="1" si="14"/>
        <v>45973.174535995371</v>
      </c>
    </row>
    <row r="96" spans="1:22" x14ac:dyDescent="0.25">
      <c r="A96" t="s">
        <v>102</v>
      </c>
      <c r="B96" t="s">
        <v>602</v>
      </c>
      <c r="C96">
        <f t="shared" si="8"/>
        <v>8</v>
      </c>
      <c r="D96" t="str">
        <f t="shared" si="15"/>
        <v>M1094 Movie_94</v>
      </c>
      <c r="E96" t="s">
        <v>1008</v>
      </c>
      <c r="F96" t="str">
        <f>TRIM(Table1[[#This Row],[Genre]])</f>
        <v>Horror</v>
      </c>
      <c r="G96">
        <v>176</v>
      </c>
      <c r="H96">
        <v>5.2</v>
      </c>
      <c r="I96" t="str" cm="1">
        <f t="array" ref="I96">_xlfn.IFS(H96&lt;4,"poor",H96&lt;7,"average",H96&lt;9,"good",TRUE,"excellent")</f>
        <v>average</v>
      </c>
      <c r="J96" t="s">
        <v>1019</v>
      </c>
      <c r="K96" t="str">
        <f t="shared" si="9"/>
        <v>Ger</v>
      </c>
      <c r="L96">
        <v>2015</v>
      </c>
      <c r="M96" t="str">
        <f t="shared" si="10"/>
        <v>15</v>
      </c>
      <c r="N96" t="s">
        <v>1021</v>
      </c>
      <c r="O96" s="2">
        <v>45131</v>
      </c>
      <c r="Q96">
        <f t="shared" si="11"/>
        <v>5</v>
      </c>
      <c r="R96">
        <f t="shared" si="12"/>
        <v>54025</v>
      </c>
      <c r="U96" t="str">
        <f t="shared" si="13"/>
        <v>long</v>
      </c>
      <c r="V96" s="4">
        <f t="shared" ca="1" si="14"/>
        <v>45973.174535995371</v>
      </c>
    </row>
    <row r="97" spans="1:22" x14ac:dyDescent="0.25">
      <c r="A97" t="s">
        <v>103</v>
      </c>
      <c r="B97" t="s">
        <v>603</v>
      </c>
      <c r="C97">
        <f t="shared" si="8"/>
        <v>8</v>
      </c>
      <c r="D97" t="str">
        <f t="shared" si="15"/>
        <v>M1095 Movie_95</v>
      </c>
      <c r="E97" t="s">
        <v>1011</v>
      </c>
      <c r="F97" t="str">
        <f>TRIM(Table1[[#This Row],[Genre]])</f>
        <v>Comedy</v>
      </c>
      <c r="G97">
        <v>166</v>
      </c>
      <c r="H97">
        <v>3.3</v>
      </c>
      <c r="I97" t="str" cm="1">
        <f t="array" ref="I97">_xlfn.IFS(H97&lt;4,"poor",H97&lt;7,"average",H97&lt;9,"good",TRUE,"excellent")</f>
        <v>poor</v>
      </c>
      <c r="J97" t="s">
        <v>1016</v>
      </c>
      <c r="K97" t="str">
        <f t="shared" si="9"/>
        <v>Spa</v>
      </c>
      <c r="L97">
        <v>1997</v>
      </c>
      <c r="M97" t="str">
        <f t="shared" si="10"/>
        <v>97</v>
      </c>
      <c r="N97" t="s">
        <v>1021</v>
      </c>
      <c r="O97" s="2">
        <v>45191</v>
      </c>
      <c r="Q97">
        <f t="shared" si="11"/>
        <v>5</v>
      </c>
      <c r="R97">
        <f t="shared" si="12"/>
        <v>53849</v>
      </c>
      <c r="U97" t="str">
        <f t="shared" si="13"/>
        <v>long</v>
      </c>
      <c r="V97" s="4">
        <f t="shared" ca="1" si="14"/>
        <v>45973.174535995371</v>
      </c>
    </row>
    <row r="98" spans="1:22" x14ac:dyDescent="0.25">
      <c r="A98" t="s">
        <v>104</v>
      </c>
      <c r="B98" t="s">
        <v>604</v>
      </c>
      <c r="C98">
        <f t="shared" si="8"/>
        <v>8</v>
      </c>
      <c r="D98" t="str">
        <f t="shared" si="15"/>
        <v>M1096 Movie_96</v>
      </c>
      <c r="E98" t="s">
        <v>1011</v>
      </c>
      <c r="F98" t="str">
        <f>TRIM(Table1[[#This Row],[Genre]])</f>
        <v>Comedy</v>
      </c>
      <c r="G98">
        <v>109</v>
      </c>
      <c r="H98">
        <v>3.3</v>
      </c>
      <c r="I98" t="str" cm="1">
        <f t="array" ref="I98">_xlfn.IFS(H98&lt;4,"poor",H98&lt;7,"average",H98&lt;9,"good",TRUE,"excellent")</f>
        <v>poor</v>
      </c>
      <c r="J98" t="s">
        <v>1016</v>
      </c>
      <c r="K98" t="str">
        <f t="shared" si="9"/>
        <v>Spa</v>
      </c>
      <c r="L98">
        <v>2019</v>
      </c>
      <c r="M98" t="str">
        <f t="shared" si="10"/>
        <v>19</v>
      </c>
      <c r="N98" t="s">
        <v>1021</v>
      </c>
      <c r="O98" s="2">
        <v>45259</v>
      </c>
      <c r="Q98">
        <f t="shared" si="11"/>
        <v>5</v>
      </c>
      <c r="R98">
        <f t="shared" si="12"/>
        <v>53683</v>
      </c>
      <c r="U98" t="str">
        <f t="shared" si="13"/>
        <v>short</v>
      </c>
      <c r="V98" s="4">
        <f t="shared" ca="1" si="14"/>
        <v>45973.174535995371</v>
      </c>
    </row>
    <row r="99" spans="1:22" x14ac:dyDescent="0.25">
      <c r="A99" t="s">
        <v>105</v>
      </c>
      <c r="B99" t="s">
        <v>605</v>
      </c>
      <c r="C99">
        <f t="shared" si="8"/>
        <v>8</v>
      </c>
      <c r="D99" t="str">
        <f t="shared" si="15"/>
        <v>M1097 Movie_97</v>
      </c>
      <c r="E99" t="s">
        <v>1013</v>
      </c>
      <c r="F99" t="str">
        <f>TRIM(Table1[[#This Row],[Genre]])</f>
        <v>Thriller</v>
      </c>
      <c r="G99">
        <v>158</v>
      </c>
      <c r="H99">
        <v>1.1000000000000001</v>
      </c>
      <c r="I99" t="str" cm="1">
        <f t="array" ref="I99">_xlfn.IFS(H99&lt;4,"poor",H99&lt;7,"average",H99&lt;9,"good",TRUE,"excellent")</f>
        <v>poor</v>
      </c>
      <c r="J99" t="s">
        <v>1015</v>
      </c>
      <c r="K99" t="str">
        <f t="shared" si="9"/>
        <v>Hin</v>
      </c>
      <c r="L99">
        <v>2023</v>
      </c>
      <c r="M99" t="str">
        <f t="shared" si="10"/>
        <v>23</v>
      </c>
      <c r="N99" t="s">
        <v>1021</v>
      </c>
      <c r="O99" s="2">
        <v>44564</v>
      </c>
      <c r="Q99">
        <f t="shared" si="11"/>
        <v>5</v>
      </c>
      <c r="R99">
        <f t="shared" si="12"/>
        <v>53574</v>
      </c>
      <c r="U99" t="str">
        <f t="shared" si="13"/>
        <v>long</v>
      </c>
      <c r="V99" s="4">
        <f t="shared" ca="1" si="14"/>
        <v>45973.174535995371</v>
      </c>
    </row>
    <row r="100" spans="1:22" x14ac:dyDescent="0.25">
      <c r="A100" t="s">
        <v>106</v>
      </c>
      <c r="B100" t="s">
        <v>606</v>
      </c>
      <c r="C100">
        <f t="shared" si="8"/>
        <v>8</v>
      </c>
      <c r="D100" t="str">
        <f t="shared" si="15"/>
        <v>M1098 Movie_98</v>
      </c>
      <c r="E100" t="s">
        <v>1013</v>
      </c>
      <c r="F100" t="str">
        <f>TRIM(Table1[[#This Row],[Genre]])</f>
        <v>Thriller</v>
      </c>
      <c r="G100">
        <v>186</v>
      </c>
      <c r="H100">
        <v>8.1999999999999993</v>
      </c>
      <c r="I100" t="str" cm="1">
        <f t="array" ref="I100">_xlfn.IFS(H100&lt;4,"poor",H100&lt;7,"average",H100&lt;9,"good",TRUE,"excellent")</f>
        <v>good</v>
      </c>
      <c r="J100" t="s">
        <v>1016</v>
      </c>
      <c r="K100" t="str">
        <f t="shared" si="9"/>
        <v>Spa</v>
      </c>
      <c r="L100">
        <v>2019</v>
      </c>
      <c r="M100" t="str">
        <f t="shared" si="10"/>
        <v>19</v>
      </c>
      <c r="N100" t="s">
        <v>1021</v>
      </c>
      <c r="O100" s="2">
        <v>43960</v>
      </c>
      <c r="Q100">
        <f t="shared" si="11"/>
        <v>5</v>
      </c>
      <c r="R100">
        <f t="shared" si="12"/>
        <v>53416</v>
      </c>
      <c r="U100" t="str">
        <f t="shared" si="13"/>
        <v>long</v>
      </c>
      <c r="V100" s="4">
        <f t="shared" ca="1" si="14"/>
        <v>45973.174535995371</v>
      </c>
    </row>
    <row r="101" spans="1:22" x14ac:dyDescent="0.25">
      <c r="A101" t="s">
        <v>107</v>
      </c>
      <c r="B101" t="s">
        <v>607</v>
      </c>
      <c r="C101">
        <f t="shared" si="8"/>
        <v>8</v>
      </c>
      <c r="D101" t="str">
        <f t="shared" si="15"/>
        <v>M1099 Movie_99</v>
      </c>
      <c r="E101" t="s">
        <v>1010</v>
      </c>
      <c r="F101" t="str">
        <f>TRIM(Table1[[#This Row],[Genre]])</f>
        <v>Drama</v>
      </c>
      <c r="G101">
        <v>162</v>
      </c>
      <c r="H101">
        <v>9.1</v>
      </c>
      <c r="I101" t="str" cm="1">
        <f t="array" ref="I101">_xlfn.IFS(H101&lt;4,"poor",H101&lt;7,"average",H101&lt;9,"good",TRUE,"excellent")</f>
        <v>excellent</v>
      </c>
      <c r="J101" t="s">
        <v>1017</v>
      </c>
      <c r="K101" t="str">
        <f t="shared" si="9"/>
        <v>Fre</v>
      </c>
      <c r="L101">
        <v>1987</v>
      </c>
      <c r="M101" t="str">
        <f t="shared" si="10"/>
        <v>87</v>
      </c>
      <c r="N101" t="s">
        <v>1021</v>
      </c>
      <c r="O101" s="2">
        <v>45460</v>
      </c>
      <c r="Q101">
        <f t="shared" si="11"/>
        <v>5</v>
      </c>
      <c r="R101">
        <f t="shared" si="12"/>
        <v>53230</v>
      </c>
      <c r="U101" t="str">
        <f t="shared" si="13"/>
        <v>long</v>
      </c>
      <c r="V101" s="4">
        <f t="shared" ca="1" si="14"/>
        <v>45973.174535995371</v>
      </c>
    </row>
    <row r="102" spans="1:22" x14ac:dyDescent="0.25">
      <c r="A102" t="s">
        <v>108</v>
      </c>
      <c r="B102" t="s">
        <v>608</v>
      </c>
      <c r="C102">
        <f t="shared" si="8"/>
        <v>9</v>
      </c>
      <c r="D102" t="str">
        <f t="shared" si="15"/>
        <v>M1100 Movie_100</v>
      </c>
      <c r="E102" t="s">
        <v>1008</v>
      </c>
      <c r="F102" t="str">
        <f>TRIM(Table1[[#This Row],[Genre]])</f>
        <v>Horror</v>
      </c>
      <c r="G102">
        <v>122</v>
      </c>
      <c r="H102">
        <v>7.1</v>
      </c>
      <c r="I102" t="str" cm="1">
        <f t="array" ref="I102">_xlfn.IFS(H102&lt;4,"poor",H102&lt;7,"average",H102&lt;9,"good",TRUE,"excellent")</f>
        <v>good</v>
      </c>
      <c r="J102" t="s">
        <v>1018</v>
      </c>
      <c r="K102" t="str">
        <f t="shared" si="9"/>
        <v>Eng</v>
      </c>
      <c r="L102">
        <v>1988</v>
      </c>
      <c r="M102" t="str">
        <f t="shared" si="10"/>
        <v>88</v>
      </c>
      <c r="N102" t="s">
        <v>1020</v>
      </c>
      <c r="O102" s="2">
        <v>44925</v>
      </c>
      <c r="Q102">
        <f t="shared" si="11"/>
        <v>5</v>
      </c>
      <c r="R102">
        <f t="shared" si="12"/>
        <v>53068</v>
      </c>
      <c r="U102" t="str">
        <f t="shared" si="13"/>
        <v>long</v>
      </c>
      <c r="V102" s="4">
        <f t="shared" ca="1" si="14"/>
        <v>45973.174535995371</v>
      </c>
    </row>
    <row r="103" spans="1:22" x14ac:dyDescent="0.25">
      <c r="A103" t="s">
        <v>109</v>
      </c>
      <c r="B103" t="s">
        <v>609</v>
      </c>
      <c r="C103">
        <f t="shared" si="8"/>
        <v>9</v>
      </c>
      <c r="D103" t="str">
        <f t="shared" si="15"/>
        <v>M1101 Movie_101</v>
      </c>
      <c r="E103" t="s">
        <v>1008</v>
      </c>
      <c r="F103" t="str">
        <f>TRIM(Table1[[#This Row],[Genre]])</f>
        <v>Horror</v>
      </c>
      <c r="G103">
        <v>97</v>
      </c>
      <c r="H103">
        <v>2.4</v>
      </c>
      <c r="I103" t="str" cm="1">
        <f t="array" ref="I103">_xlfn.IFS(H103&lt;4,"poor",H103&lt;7,"average",H103&lt;9,"good",TRUE,"excellent")</f>
        <v>poor</v>
      </c>
      <c r="J103" t="s">
        <v>1014</v>
      </c>
      <c r="K103" t="str">
        <f t="shared" si="9"/>
        <v>Jap</v>
      </c>
      <c r="L103">
        <v>1986</v>
      </c>
      <c r="M103" t="str">
        <f t="shared" si="10"/>
        <v>86</v>
      </c>
      <c r="N103" t="s">
        <v>1021</v>
      </c>
      <c r="O103" s="2">
        <v>44645</v>
      </c>
      <c r="Q103">
        <f t="shared" si="11"/>
        <v>5</v>
      </c>
      <c r="R103">
        <f t="shared" si="12"/>
        <v>52946</v>
      </c>
      <c r="U103" t="str">
        <f t="shared" si="13"/>
        <v>short</v>
      </c>
      <c r="V103" s="4">
        <f t="shared" ca="1" si="14"/>
        <v>45973.174535995371</v>
      </c>
    </row>
    <row r="104" spans="1:22" x14ac:dyDescent="0.25">
      <c r="A104" t="s">
        <v>110</v>
      </c>
      <c r="B104" t="s">
        <v>610</v>
      </c>
      <c r="C104">
        <f t="shared" si="8"/>
        <v>9</v>
      </c>
      <c r="D104" t="str">
        <f t="shared" si="15"/>
        <v>M1102 Movie_102</v>
      </c>
      <c r="E104" t="s">
        <v>1012</v>
      </c>
      <c r="F104" t="str">
        <f>TRIM(Table1[[#This Row],[Genre]])</f>
        <v>Sci-Fi</v>
      </c>
      <c r="G104">
        <v>61</v>
      </c>
      <c r="H104">
        <v>5</v>
      </c>
      <c r="I104" t="str" cm="1">
        <f t="array" ref="I104">_xlfn.IFS(H104&lt;4,"poor",H104&lt;7,"average",H104&lt;9,"good",TRUE,"excellent")</f>
        <v>average</v>
      </c>
      <c r="J104" t="s">
        <v>1019</v>
      </c>
      <c r="K104" t="str">
        <f t="shared" si="9"/>
        <v>Ger</v>
      </c>
      <c r="L104">
        <v>2005</v>
      </c>
      <c r="M104" t="str">
        <f t="shared" si="10"/>
        <v>05</v>
      </c>
      <c r="N104" t="s">
        <v>1021</v>
      </c>
      <c r="O104" s="2">
        <v>44277</v>
      </c>
      <c r="Q104">
        <f t="shared" si="11"/>
        <v>5</v>
      </c>
      <c r="R104">
        <f t="shared" si="12"/>
        <v>52849</v>
      </c>
      <c r="U104" t="str">
        <f t="shared" si="13"/>
        <v>short</v>
      </c>
      <c r="V104" s="4">
        <f t="shared" ca="1" si="14"/>
        <v>45973.174535995371</v>
      </c>
    </row>
    <row r="105" spans="1:22" x14ac:dyDescent="0.25">
      <c r="A105" t="s">
        <v>111</v>
      </c>
      <c r="B105" t="s">
        <v>611</v>
      </c>
      <c r="C105">
        <f t="shared" si="8"/>
        <v>9</v>
      </c>
      <c r="D105" t="str">
        <f t="shared" si="15"/>
        <v>M1103 Movie_103</v>
      </c>
      <c r="E105" t="s">
        <v>1011</v>
      </c>
      <c r="F105" t="str">
        <f>TRIM(Table1[[#This Row],[Genre]])</f>
        <v>Comedy</v>
      </c>
      <c r="G105">
        <v>87</v>
      </c>
      <c r="H105">
        <v>4.0999999999999996</v>
      </c>
      <c r="I105" t="str" cm="1">
        <f t="array" ref="I105">_xlfn.IFS(H105&lt;4,"poor",H105&lt;7,"average",H105&lt;9,"good",TRUE,"excellent")</f>
        <v>average</v>
      </c>
      <c r="J105" t="s">
        <v>1017</v>
      </c>
      <c r="K105" t="str">
        <f t="shared" si="9"/>
        <v>Fre</v>
      </c>
      <c r="L105">
        <v>2003</v>
      </c>
      <c r="M105" t="str">
        <f t="shared" si="10"/>
        <v>03</v>
      </c>
      <c r="N105" t="s">
        <v>1020</v>
      </c>
      <c r="O105" s="2">
        <v>44710</v>
      </c>
      <c r="Q105">
        <f t="shared" si="11"/>
        <v>5</v>
      </c>
      <c r="R105">
        <f t="shared" si="12"/>
        <v>52788</v>
      </c>
      <c r="U105" t="str">
        <f t="shared" si="13"/>
        <v>short</v>
      </c>
      <c r="V105" s="4">
        <f t="shared" ca="1" si="14"/>
        <v>45973.174535995371</v>
      </c>
    </row>
    <row r="106" spans="1:22" x14ac:dyDescent="0.25">
      <c r="A106" t="s">
        <v>112</v>
      </c>
      <c r="B106" t="s">
        <v>612</v>
      </c>
      <c r="C106">
        <f t="shared" si="8"/>
        <v>9</v>
      </c>
      <c r="D106" t="str">
        <f t="shared" si="15"/>
        <v>M1104 Movie_104</v>
      </c>
      <c r="E106" t="s">
        <v>1008</v>
      </c>
      <c r="F106" t="str">
        <f>TRIM(Table1[[#This Row],[Genre]])</f>
        <v>Horror</v>
      </c>
      <c r="G106">
        <v>168</v>
      </c>
      <c r="H106">
        <v>6.3</v>
      </c>
      <c r="I106" t="str" cm="1">
        <f t="array" ref="I106">_xlfn.IFS(H106&lt;4,"poor",H106&lt;7,"average",H106&lt;9,"good",TRUE,"excellent")</f>
        <v>average</v>
      </c>
      <c r="J106" t="s">
        <v>1015</v>
      </c>
      <c r="K106" t="str">
        <f t="shared" si="9"/>
        <v>Hin</v>
      </c>
      <c r="L106">
        <v>2001</v>
      </c>
      <c r="M106" t="str">
        <f t="shared" si="10"/>
        <v>01</v>
      </c>
      <c r="N106" t="s">
        <v>1021</v>
      </c>
      <c r="O106" s="2">
        <v>45520</v>
      </c>
      <c r="Q106">
        <f t="shared" si="11"/>
        <v>5</v>
      </c>
      <c r="R106">
        <f t="shared" si="12"/>
        <v>52701</v>
      </c>
      <c r="U106" t="str">
        <f t="shared" si="13"/>
        <v>long</v>
      </c>
      <c r="V106" s="4">
        <f t="shared" ca="1" si="14"/>
        <v>45973.174535995371</v>
      </c>
    </row>
    <row r="107" spans="1:22" x14ac:dyDescent="0.25">
      <c r="A107" t="s">
        <v>113</v>
      </c>
      <c r="B107" t="s">
        <v>613</v>
      </c>
      <c r="C107">
        <f t="shared" si="8"/>
        <v>9</v>
      </c>
      <c r="D107" t="str">
        <f t="shared" si="15"/>
        <v>M1105 Movie_105</v>
      </c>
      <c r="E107" t="s">
        <v>1010</v>
      </c>
      <c r="F107" t="str">
        <f>TRIM(Table1[[#This Row],[Genre]])</f>
        <v>Drama</v>
      </c>
      <c r="G107">
        <v>116</v>
      </c>
      <c r="H107">
        <v>6.8</v>
      </c>
      <c r="I107" t="str" cm="1">
        <f t="array" ref="I107">_xlfn.IFS(H107&lt;4,"poor",H107&lt;7,"average",H107&lt;9,"good",TRUE,"excellent")</f>
        <v>average</v>
      </c>
      <c r="J107" t="s">
        <v>1018</v>
      </c>
      <c r="K107" t="str">
        <f t="shared" si="9"/>
        <v>Eng</v>
      </c>
      <c r="L107">
        <v>2015</v>
      </c>
      <c r="M107" t="str">
        <f t="shared" si="10"/>
        <v>15</v>
      </c>
      <c r="N107" t="s">
        <v>1021</v>
      </c>
      <c r="O107" s="2">
        <v>44264</v>
      </c>
      <c r="Q107">
        <f t="shared" si="11"/>
        <v>5</v>
      </c>
      <c r="R107">
        <f t="shared" si="12"/>
        <v>52533</v>
      </c>
      <c r="U107" t="str">
        <f t="shared" si="13"/>
        <v>short</v>
      </c>
      <c r="V107" s="4">
        <f t="shared" ca="1" si="14"/>
        <v>45973.174535995371</v>
      </c>
    </row>
    <row r="108" spans="1:22" x14ac:dyDescent="0.25">
      <c r="A108" t="s">
        <v>114</v>
      </c>
      <c r="B108" t="s">
        <v>614</v>
      </c>
      <c r="C108">
        <f t="shared" si="8"/>
        <v>9</v>
      </c>
      <c r="D108" t="str">
        <f t="shared" si="15"/>
        <v>M1106 Movie_106</v>
      </c>
      <c r="E108" t="s">
        <v>1009</v>
      </c>
      <c r="F108" t="str">
        <f>TRIM(Table1[[#This Row],[Genre]])</f>
        <v>Action</v>
      </c>
      <c r="G108">
        <v>105</v>
      </c>
      <c r="H108">
        <v>4.8</v>
      </c>
      <c r="I108" t="str" cm="1">
        <f t="array" ref="I108">_xlfn.IFS(H108&lt;4,"poor",H108&lt;7,"average",H108&lt;9,"good",TRUE,"excellent")</f>
        <v>average</v>
      </c>
      <c r="J108" t="s">
        <v>1014</v>
      </c>
      <c r="K108" t="str">
        <f t="shared" si="9"/>
        <v>Jap</v>
      </c>
      <c r="L108">
        <v>2003</v>
      </c>
      <c r="M108" t="str">
        <f t="shared" si="10"/>
        <v>03</v>
      </c>
      <c r="N108" t="s">
        <v>1021</v>
      </c>
      <c r="O108" s="2">
        <v>44844</v>
      </c>
      <c r="Q108">
        <f t="shared" si="11"/>
        <v>5</v>
      </c>
      <c r="R108">
        <f t="shared" si="12"/>
        <v>52417</v>
      </c>
      <c r="U108" t="str">
        <f t="shared" si="13"/>
        <v>short</v>
      </c>
      <c r="V108" s="4">
        <f t="shared" ca="1" si="14"/>
        <v>45973.174535995371</v>
      </c>
    </row>
    <row r="109" spans="1:22" x14ac:dyDescent="0.25">
      <c r="A109" t="s">
        <v>115</v>
      </c>
      <c r="B109" t="s">
        <v>615</v>
      </c>
      <c r="C109">
        <f t="shared" si="8"/>
        <v>9</v>
      </c>
      <c r="D109" t="str">
        <f t="shared" si="15"/>
        <v>M1107 Movie_107</v>
      </c>
      <c r="E109" t="s">
        <v>1011</v>
      </c>
      <c r="F109" t="str">
        <f>TRIM(Table1[[#This Row],[Genre]])</f>
        <v>Comedy</v>
      </c>
      <c r="G109">
        <v>192</v>
      </c>
      <c r="H109">
        <v>3.3</v>
      </c>
      <c r="I109" t="str" cm="1">
        <f t="array" ref="I109">_xlfn.IFS(H109&lt;4,"poor",H109&lt;7,"average",H109&lt;9,"good",TRUE,"excellent")</f>
        <v>poor</v>
      </c>
      <c r="J109" t="s">
        <v>1015</v>
      </c>
      <c r="K109" t="str">
        <f t="shared" si="9"/>
        <v>Hin</v>
      </c>
      <c r="L109">
        <v>1989</v>
      </c>
      <c r="M109" t="str">
        <f t="shared" si="10"/>
        <v>89</v>
      </c>
      <c r="N109" t="s">
        <v>1020</v>
      </c>
      <c r="O109" s="2">
        <v>44380</v>
      </c>
      <c r="Q109">
        <f t="shared" si="11"/>
        <v>5</v>
      </c>
      <c r="R109">
        <f t="shared" si="12"/>
        <v>52312</v>
      </c>
      <c r="U109" t="str">
        <f t="shared" si="13"/>
        <v>long</v>
      </c>
      <c r="V109" s="4">
        <f t="shared" ca="1" si="14"/>
        <v>45973.174535995371</v>
      </c>
    </row>
    <row r="110" spans="1:22" x14ac:dyDescent="0.25">
      <c r="A110" t="s">
        <v>116</v>
      </c>
      <c r="B110" t="s">
        <v>616</v>
      </c>
      <c r="C110">
        <f t="shared" si="8"/>
        <v>9</v>
      </c>
      <c r="D110" t="str">
        <f t="shared" si="15"/>
        <v>M1108 Movie_108</v>
      </c>
      <c r="E110" t="s">
        <v>1009</v>
      </c>
      <c r="F110" t="str">
        <f>TRIM(Table1[[#This Row],[Genre]])</f>
        <v>Action</v>
      </c>
      <c r="G110">
        <v>178</v>
      </c>
      <c r="H110">
        <v>8.6</v>
      </c>
      <c r="I110" t="str" cm="1">
        <f t="array" ref="I110">_xlfn.IFS(H110&lt;4,"poor",H110&lt;7,"average",H110&lt;9,"good",TRUE,"excellent")</f>
        <v>good</v>
      </c>
      <c r="J110" t="s">
        <v>1018</v>
      </c>
      <c r="K110" t="str">
        <f t="shared" si="9"/>
        <v>Eng</v>
      </c>
      <c r="L110">
        <v>1992</v>
      </c>
      <c r="M110" t="str">
        <f t="shared" si="10"/>
        <v>92</v>
      </c>
      <c r="N110" t="s">
        <v>1020</v>
      </c>
      <c r="O110" s="2">
        <v>44492</v>
      </c>
      <c r="Q110">
        <f t="shared" si="11"/>
        <v>5</v>
      </c>
      <c r="R110">
        <f t="shared" si="12"/>
        <v>52120</v>
      </c>
      <c r="U110" t="str">
        <f t="shared" si="13"/>
        <v>long</v>
      </c>
      <c r="V110" s="4">
        <f t="shared" ca="1" si="14"/>
        <v>45973.174535995371</v>
      </c>
    </row>
    <row r="111" spans="1:22" x14ac:dyDescent="0.25">
      <c r="A111" t="s">
        <v>117</v>
      </c>
      <c r="B111" t="s">
        <v>617</v>
      </c>
      <c r="C111">
        <f t="shared" si="8"/>
        <v>9</v>
      </c>
      <c r="D111" t="str">
        <f t="shared" si="15"/>
        <v>M1109 Movie_109</v>
      </c>
      <c r="E111" t="s">
        <v>1010</v>
      </c>
      <c r="F111" t="str">
        <f>TRIM(Table1[[#This Row],[Genre]])</f>
        <v>Drama</v>
      </c>
      <c r="G111">
        <v>72</v>
      </c>
      <c r="H111">
        <v>2.8</v>
      </c>
      <c r="I111" t="str" cm="1">
        <f t="array" ref="I111">_xlfn.IFS(H111&lt;4,"poor",H111&lt;7,"average",H111&lt;9,"good",TRUE,"excellent")</f>
        <v>poor</v>
      </c>
      <c r="J111" t="s">
        <v>1017</v>
      </c>
      <c r="K111" t="str">
        <f t="shared" si="9"/>
        <v>Fre</v>
      </c>
      <c r="L111">
        <v>2018</v>
      </c>
      <c r="M111" t="str">
        <f t="shared" si="10"/>
        <v>18</v>
      </c>
      <c r="N111" t="s">
        <v>1020</v>
      </c>
      <c r="O111" s="2">
        <v>45527</v>
      </c>
      <c r="Q111">
        <f t="shared" si="11"/>
        <v>5</v>
      </c>
      <c r="R111">
        <f t="shared" si="12"/>
        <v>51942</v>
      </c>
      <c r="U111" t="str">
        <f t="shared" si="13"/>
        <v>short</v>
      </c>
      <c r="V111" s="4">
        <f t="shared" ca="1" si="14"/>
        <v>45973.174535995371</v>
      </c>
    </row>
    <row r="112" spans="1:22" x14ac:dyDescent="0.25">
      <c r="A112" t="s">
        <v>118</v>
      </c>
      <c r="B112" t="s">
        <v>618</v>
      </c>
      <c r="C112">
        <f t="shared" si="8"/>
        <v>9</v>
      </c>
      <c r="D112" t="str">
        <f t="shared" si="15"/>
        <v>M1110 Movie_110</v>
      </c>
      <c r="E112" t="s">
        <v>1013</v>
      </c>
      <c r="F112" t="str">
        <f>TRIM(Table1[[#This Row],[Genre]])</f>
        <v>Thriller</v>
      </c>
      <c r="G112">
        <v>123</v>
      </c>
      <c r="H112">
        <v>4.5</v>
      </c>
      <c r="I112" t="str" cm="1">
        <f t="array" ref="I112">_xlfn.IFS(H112&lt;4,"poor",H112&lt;7,"average",H112&lt;9,"good",TRUE,"excellent")</f>
        <v>average</v>
      </c>
      <c r="J112" t="s">
        <v>1018</v>
      </c>
      <c r="K112" t="str">
        <f t="shared" si="9"/>
        <v>Eng</v>
      </c>
      <c r="L112">
        <v>2012</v>
      </c>
      <c r="M112" t="str">
        <f t="shared" si="10"/>
        <v>12</v>
      </c>
      <c r="N112" t="s">
        <v>1020</v>
      </c>
      <c r="O112" s="2">
        <v>44411</v>
      </c>
      <c r="Q112">
        <f t="shared" si="11"/>
        <v>5</v>
      </c>
      <c r="R112">
        <f t="shared" si="12"/>
        <v>51870</v>
      </c>
      <c r="U112" t="str">
        <f t="shared" si="13"/>
        <v>long</v>
      </c>
      <c r="V112" s="4">
        <f t="shared" ca="1" si="14"/>
        <v>45973.174535995371</v>
      </c>
    </row>
    <row r="113" spans="1:22" x14ac:dyDescent="0.25">
      <c r="A113" t="s">
        <v>119</v>
      </c>
      <c r="B113" t="s">
        <v>619</v>
      </c>
      <c r="C113">
        <f t="shared" si="8"/>
        <v>9</v>
      </c>
      <c r="D113" t="str">
        <f t="shared" si="15"/>
        <v>M1111 Movie_111</v>
      </c>
      <c r="E113" t="s">
        <v>1010</v>
      </c>
      <c r="F113" t="str">
        <f>TRIM(Table1[[#This Row],[Genre]])</f>
        <v>Drama</v>
      </c>
      <c r="G113">
        <v>91</v>
      </c>
      <c r="H113">
        <v>5.3</v>
      </c>
      <c r="I113" t="str" cm="1">
        <f t="array" ref="I113">_xlfn.IFS(H113&lt;4,"poor",H113&lt;7,"average",H113&lt;9,"good",TRUE,"excellent")</f>
        <v>average</v>
      </c>
      <c r="J113" t="s">
        <v>1016</v>
      </c>
      <c r="K113" t="str">
        <f t="shared" si="9"/>
        <v>Spa</v>
      </c>
      <c r="L113">
        <v>2005</v>
      </c>
      <c r="M113" t="str">
        <f t="shared" si="10"/>
        <v>05</v>
      </c>
      <c r="N113" t="s">
        <v>1021</v>
      </c>
      <c r="O113" s="2">
        <v>44522</v>
      </c>
      <c r="Q113">
        <f t="shared" si="11"/>
        <v>5</v>
      </c>
      <c r="R113">
        <f t="shared" si="12"/>
        <v>51747</v>
      </c>
      <c r="U113" t="str">
        <f t="shared" si="13"/>
        <v>short</v>
      </c>
      <c r="V113" s="4">
        <f t="shared" ca="1" si="14"/>
        <v>45973.174535995371</v>
      </c>
    </row>
    <row r="114" spans="1:22" x14ac:dyDescent="0.25">
      <c r="A114" t="s">
        <v>120</v>
      </c>
      <c r="B114" t="s">
        <v>620</v>
      </c>
      <c r="C114">
        <f t="shared" si="8"/>
        <v>9</v>
      </c>
      <c r="D114" t="str">
        <f t="shared" si="15"/>
        <v>M1112 Movie_112</v>
      </c>
      <c r="E114" t="s">
        <v>1009</v>
      </c>
      <c r="F114" t="str">
        <f>TRIM(Table1[[#This Row],[Genre]])</f>
        <v>Action</v>
      </c>
      <c r="G114">
        <v>176</v>
      </c>
      <c r="H114">
        <v>3.1</v>
      </c>
      <c r="I114" t="str" cm="1">
        <f t="array" ref="I114">_xlfn.IFS(H114&lt;4,"poor",H114&lt;7,"average",H114&lt;9,"good",TRUE,"excellent")</f>
        <v>poor</v>
      </c>
      <c r="J114" t="s">
        <v>1017</v>
      </c>
      <c r="K114" t="str">
        <f t="shared" si="9"/>
        <v>Fre</v>
      </c>
      <c r="L114">
        <v>2012</v>
      </c>
      <c r="M114" t="str">
        <f t="shared" si="10"/>
        <v>12</v>
      </c>
      <c r="N114" t="s">
        <v>1021</v>
      </c>
      <c r="O114" s="2">
        <v>44951</v>
      </c>
      <c r="Q114">
        <f t="shared" si="11"/>
        <v>5</v>
      </c>
      <c r="R114">
        <f t="shared" si="12"/>
        <v>51656</v>
      </c>
      <c r="U114" t="str">
        <f t="shared" si="13"/>
        <v>long</v>
      </c>
      <c r="V114" s="4">
        <f t="shared" ca="1" si="14"/>
        <v>45973.174535995371</v>
      </c>
    </row>
    <row r="115" spans="1:22" x14ac:dyDescent="0.25">
      <c r="A115" t="s">
        <v>121</v>
      </c>
      <c r="B115" t="s">
        <v>621</v>
      </c>
      <c r="C115">
        <f t="shared" si="8"/>
        <v>9</v>
      </c>
      <c r="D115" t="str">
        <f t="shared" si="15"/>
        <v>M1113 Movie_113</v>
      </c>
      <c r="E115" t="s">
        <v>1011</v>
      </c>
      <c r="F115" t="str">
        <f>TRIM(Table1[[#This Row],[Genre]])</f>
        <v>Comedy</v>
      </c>
      <c r="G115">
        <v>94</v>
      </c>
      <c r="H115">
        <v>6.1</v>
      </c>
      <c r="I115" t="str" cm="1">
        <f t="array" ref="I115">_xlfn.IFS(H115&lt;4,"poor",H115&lt;7,"average",H115&lt;9,"good",TRUE,"excellent")</f>
        <v>average</v>
      </c>
      <c r="J115" t="s">
        <v>1019</v>
      </c>
      <c r="K115" t="str">
        <f t="shared" si="9"/>
        <v>Ger</v>
      </c>
      <c r="L115">
        <v>1982</v>
      </c>
      <c r="M115" t="str">
        <f t="shared" si="10"/>
        <v>82</v>
      </c>
      <c r="N115" t="s">
        <v>1021</v>
      </c>
      <c r="O115" s="2">
        <v>45014</v>
      </c>
      <c r="Q115">
        <f t="shared" si="11"/>
        <v>5</v>
      </c>
      <c r="R115">
        <f t="shared" si="12"/>
        <v>51480</v>
      </c>
      <c r="U115" t="str">
        <f t="shared" si="13"/>
        <v>short</v>
      </c>
      <c r="V115" s="4">
        <f t="shared" ca="1" si="14"/>
        <v>45973.174535995371</v>
      </c>
    </row>
    <row r="116" spans="1:22" x14ac:dyDescent="0.25">
      <c r="A116" t="s">
        <v>122</v>
      </c>
      <c r="B116" t="s">
        <v>622</v>
      </c>
      <c r="C116">
        <f t="shared" si="8"/>
        <v>9</v>
      </c>
      <c r="D116" t="str">
        <f t="shared" si="15"/>
        <v>M1114 Movie_114</v>
      </c>
      <c r="E116" t="s">
        <v>1012</v>
      </c>
      <c r="F116" t="str">
        <f>TRIM(Table1[[#This Row],[Genre]])</f>
        <v>Sci-Fi</v>
      </c>
      <c r="G116">
        <v>178</v>
      </c>
      <c r="H116">
        <v>6.2</v>
      </c>
      <c r="I116" t="str" cm="1">
        <f t="array" ref="I116">_xlfn.IFS(H116&lt;4,"poor",H116&lt;7,"average",H116&lt;9,"good",TRUE,"excellent")</f>
        <v>average</v>
      </c>
      <c r="J116" t="s">
        <v>1015</v>
      </c>
      <c r="K116" t="str">
        <f t="shared" si="9"/>
        <v>Hin</v>
      </c>
      <c r="L116">
        <v>1982</v>
      </c>
      <c r="M116" t="str">
        <f t="shared" si="10"/>
        <v>82</v>
      </c>
      <c r="N116" t="s">
        <v>1020</v>
      </c>
      <c r="O116" s="2">
        <v>44098</v>
      </c>
      <c r="Q116">
        <f t="shared" si="11"/>
        <v>5</v>
      </c>
      <c r="R116">
        <f t="shared" si="12"/>
        <v>51386</v>
      </c>
      <c r="U116" t="str">
        <f t="shared" si="13"/>
        <v>long</v>
      </c>
      <c r="V116" s="4">
        <f t="shared" ca="1" si="14"/>
        <v>45973.174535995371</v>
      </c>
    </row>
    <row r="117" spans="1:22" x14ac:dyDescent="0.25">
      <c r="A117" t="s">
        <v>123</v>
      </c>
      <c r="B117" t="s">
        <v>623</v>
      </c>
      <c r="C117">
        <f t="shared" si="8"/>
        <v>9</v>
      </c>
      <c r="D117" t="str">
        <f t="shared" si="15"/>
        <v>M1115 Movie_115</v>
      </c>
      <c r="E117" t="s">
        <v>1008</v>
      </c>
      <c r="F117" t="str">
        <f>TRIM(Table1[[#This Row],[Genre]])</f>
        <v>Horror</v>
      </c>
      <c r="G117">
        <v>195</v>
      </c>
      <c r="H117">
        <v>9.9</v>
      </c>
      <c r="I117" t="str" cm="1">
        <f t="array" ref="I117">_xlfn.IFS(H117&lt;4,"poor",H117&lt;7,"average",H117&lt;9,"good",TRUE,"excellent")</f>
        <v>excellent</v>
      </c>
      <c r="J117" t="s">
        <v>1016</v>
      </c>
      <c r="K117" t="str">
        <f t="shared" si="9"/>
        <v>Spa</v>
      </c>
      <c r="L117">
        <v>1982</v>
      </c>
      <c r="M117" t="str">
        <f t="shared" si="10"/>
        <v>82</v>
      </c>
      <c r="N117" t="s">
        <v>1020</v>
      </c>
      <c r="O117" s="2">
        <v>44990</v>
      </c>
      <c r="Q117">
        <f t="shared" si="11"/>
        <v>5</v>
      </c>
      <c r="R117">
        <f t="shared" si="12"/>
        <v>51208</v>
      </c>
      <c r="U117" t="str">
        <f t="shared" si="13"/>
        <v>long</v>
      </c>
      <c r="V117" s="4">
        <f t="shared" ca="1" si="14"/>
        <v>45973.174535995371</v>
      </c>
    </row>
    <row r="118" spans="1:22" x14ac:dyDescent="0.25">
      <c r="A118" t="s">
        <v>124</v>
      </c>
      <c r="B118" t="s">
        <v>624</v>
      </c>
      <c r="C118">
        <f t="shared" si="8"/>
        <v>9</v>
      </c>
      <c r="D118" t="str">
        <f t="shared" si="15"/>
        <v>M1116 Movie_116</v>
      </c>
      <c r="E118" t="s">
        <v>1010</v>
      </c>
      <c r="F118" t="str">
        <f>TRIM(Table1[[#This Row],[Genre]])</f>
        <v>Drama</v>
      </c>
      <c r="G118">
        <v>141</v>
      </c>
      <c r="H118">
        <v>3.7</v>
      </c>
      <c r="I118" t="str" cm="1">
        <f t="array" ref="I118">_xlfn.IFS(H118&lt;4,"poor",H118&lt;7,"average",H118&lt;9,"good",TRUE,"excellent")</f>
        <v>poor</v>
      </c>
      <c r="J118" t="s">
        <v>1019</v>
      </c>
      <c r="K118" t="str">
        <f t="shared" si="9"/>
        <v>Ger</v>
      </c>
      <c r="L118">
        <v>1988</v>
      </c>
      <c r="M118" t="str">
        <f t="shared" si="10"/>
        <v>88</v>
      </c>
      <c r="N118" t="s">
        <v>1021</v>
      </c>
      <c r="O118" s="2">
        <v>44824</v>
      </c>
      <c r="Q118">
        <f t="shared" si="11"/>
        <v>5</v>
      </c>
      <c r="R118">
        <f t="shared" si="12"/>
        <v>51013</v>
      </c>
      <c r="U118" t="str">
        <f t="shared" si="13"/>
        <v>long</v>
      </c>
      <c r="V118" s="4">
        <f t="shared" ca="1" si="14"/>
        <v>45973.174535995371</v>
      </c>
    </row>
    <row r="119" spans="1:22" x14ac:dyDescent="0.25">
      <c r="A119" t="s">
        <v>125</v>
      </c>
      <c r="B119" t="s">
        <v>625</v>
      </c>
      <c r="C119">
        <f t="shared" si="8"/>
        <v>9</v>
      </c>
      <c r="D119" t="str">
        <f t="shared" si="15"/>
        <v>M1117 Movie_117</v>
      </c>
      <c r="E119" t="s">
        <v>1011</v>
      </c>
      <c r="F119" t="str">
        <f>TRIM(Table1[[#This Row],[Genre]])</f>
        <v>Comedy</v>
      </c>
      <c r="G119">
        <v>173</v>
      </c>
      <c r="H119">
        <v>9.8000000000000007</v>
      </c>
      <c r="I119" t="str" cm="1">
        <f t="array" ref="I119">_xlfn.IFS(H119&lt;4,"poor",H119&lt;7,"average",H119&lt;9,"good",TRUE,"excellent")</f>
        <v>excellent</v>
      </c>
      <c r="J119" t="s">
        <v>1018</v>
      </c>
      <c r="K119" t="str">
        <f t="shared" si="9"/>
        <v>Eng</v>
      </c>
      <c r="L119">
        <v>2025</v>
      </c>
      <c r="M119" t="str">
        <f t="shared" si="10"/>
        <v>25</v>
      </c>
      <c r="N119" t="s">
        <v>1020</v>
      </c>
      <c r="O119" s="2">
        <v>45445</v>
      </c>
      <c r="Q119">
        <f t="shared" si="11"/>
        <v>5</v>
      </c>
      <c r="R119">
        <f t="shared" si="12"/>
        <v>50872</v>
      </c>
      <c r="U119" t="str">
        <f t="shared" si="13"/>
        <v>long</v>
      </c>
      <c r="V119" s="4">
        <f t="shared" ca="1" si="14"/>
        <v>45973.174535995371</v>
      </c>
    </row>
    <row r="120" spans="1:22" x14ac:dyDescent="0.25">
      <c r="A120" t="s">
        <v>126</v>
      </c>
      <c r="B120" t="s">
        <v>626</v>
      </c>
      <c r="C120">
        <f t="shared" si="8"/>
        <v>9</v>
      </c>
      <c r="D120" t="str">
        <f t="shared" si="15"/>
        <v>M1118 Movie_118</v>
      </c>
      <c r="E120" t="s">
        <v>1008</v>
      </c>
      <c r="F120" t="str">
        <f>TRIM(Table1[[#This Row],[Genre]])</f>
        <v>Horror</v>
      </c>
      <c r="G120">
        <v>189</v>
      </c>
      <c r="H120">
        <v>6.9</v>
      </c>
      <c r="I120" t="str" cm="1">
        <f t="array" ref="I120">_xlfn.IFS(H120&lt;4,"poor",H120&lt;7,"average",H120&lt;9,"good",TRUE,"excellent")</f>
        <v>average</v>
      </c>
      <c r="J120" t="s">
        <v>1016</v>
      </c>
      <c r="K120" t="str">
        <f t="shared" si="9"/>
        <v>Spa</v>
      </c>
      <c r="L120">
        <v>2001</v>
      </c>
      <c r="M120" t="str">
        <f t="shared" si="10"/>
        <v>01</v>
      </c>
      <c r="N120" t="s">
        <v>1021</v>
      </c>
      <c r="O120" s="2">
        <v>44534</v>
      </c>
      <c r="Q120">
        <f t="shared" si="11"/>
        <v>5</v>
      </c>
      <c r="R120">
        <f t="shared" si="12"/>
        <v>50699</v>
      </c>
      <c r="U120" t="str">
        <f t="shared" si="13"/>
        <v>long</v>
      </c>
      <c r="V120" s="4">
        <f t="shared" ca="1" si="14"/>
        <v>45973.174535995371</v>
      </c>
    </row>
    <row r="121" spans="1:22" x14ac:dyDescent="0.25">
      <c r="A121" t="s">
        <v>127</v>
      </c>
      <c r="B121" t="s">
        <v>627</v>
      </c>
      <c r="C121">
        <f t="shared" si="8"/>
        <v>9</v>
      </c>
      <c r="D121" t="str">
        <f t="shared" si="15"/>
        <v>M1119 Movie_119</v>
      </c>
      <c r="E121" t="s">
        <v>1013</v>
      </c>
      <c r="F121" t="str">
        <f>TRIM(Table1[[#This Row],[Genre]])</f>
        <v>Thriller</v>
      </c>
      <c r="G121">
        <v>169</v>
      </c>
      <c r="H121">
        <v>3.5</v>
      </c>
      <c r="I121" t="str" cm="1">
        <f t="array" ref="I121">_xlfn.IFS(H121&lt;4,"poor",H121&lt;7,"average",H121&lt;9,"good",TRUE,"excellent")</f>
        <v>poor</v>
      </c>
      <c r="J121" t="s">
        <v>1019</v>
      </c>
      <c r="K121" t="str">
        <f t="shared" si="9"/>
        <v>Ger</v>
      </c>
      <c r="L121">
        <v>2010</v>
      </c>
      <c r="M121" t="str">
        <f t="shared" si="10"/>
        <v>10</v>
      </c>
      <c r="N121" t="s">
        <v>1020</v>
      </c>
      <c r="O121" s="2">
        <v>45228</v>
      </c>
      <c r="Q121">
        <f t="shared" si="11"/>
        <v>5</v>
      </c>
      <c r="R121">
        <f t="shared" si="12"/>
        <v>50510</v>
      </c>
      <c r="U121" t="str">
        <f t="shared" si="13"/>
        <v>long</v>
      </c>
      <c r="V121" s="4">
        <f t="shared" ca="1" si="14"/>
        <v>45973.174535995371</v>
      </c>
    </row>
    <row r="122" spans="1:22" x14ac:dyDescent="0.25">
      <c r="A122" t="s">
        <v>128</v>
      </c>
      <c r="B122" t="s">
        <v>628</v>
      </c>
      <c r="C122">
        <f t="shared" si="8"/>
        <v>9</v>
      </c>
      <c r="D122" t="str">
        <f t="shared" si="15"/>
        <v>M1120 Movie_120</v>
      </c>
      <c r="E122" t="s">
        <v>1013</v>
      </c>
      <c r="F122" t="str">
        <f>TRIM(Table1[[#This Row],[Genre]])</f>
        <v>Thriller</v>
      </c>
      <c r="G122">
        <v>200</v>
      </c>
      <c r="H122">
        <v>6.1</v>
      </c>
      <c r="I122" t="str" cm="1">
        <f t="array" ref="I122">_xlfn.IFS(H122&lt;4,"poor",H122&lt;7,"average",H122&lt;9,"good",TRUE,"excellent")</f>
        <v>average</v>
      </c>
      <c r="J122" t="s">
        <v>1017</v>
      </c>
      <c r="K122" t="str">
        <f t="shared" si="9"/>
        <v>Fre</v>
      </c>
      <c r="L122">
        <v>2013</v>
      </c>
      <c r="M122" t="str">
        <f t="shared" si="10"/>
        <v>13</v>
      </c>
      <c r="N122" t="s">
        <v>1021</v>
      </c>
      <c r="O122" s="2">
        <v>45392</v>
      </c>
      <c r="Q122">
        <f t="shared" si="11"/>
        <v>5</v>
      </c>
      <c r="R122">
        <f t="shared" si="12"/>
        <v>50341</v>
      </c>
      <c r="U122" t="str">
        <f t="shared" si="13"/>
        <v>long</v>
      </c>
      <c r="V122" s="4">
        <f t="shared" ca="1" si="14"/>
        <v>45973.174535995371</v>
      </c>
    </row>
    <row r="123" spans="1:22" x14ac:dyDescent="0.25">
      <c r="A123" t="s">
        <v>129</v>
      </c>
      <c r="B123" t="s">
        <v>629</v>
      </c>
      <c r="C123">
        <f t="shared" si="8"/>
        <v>9</v>
      </c>
      <c r="D123" t="str">
        <f t="shared" si="15"/>
        <v>M1121 Movie_121</v>
      </c>
      <c r="E123" t="s">
        <v>1008</v>
      </c>
      <c r="F123" t="str">
        <f>TRIM(Table1[[#This Row],[Genre]])</f>
        <v>Horror</v>
      </c>
      <c r="G123">
        <v>174</v>
      </c>
      <c r="H123">
        <v>7.2</v>
      </c>
      <c r="I123" t="str" cm="1">
        <f t="array" ref="I123">_xlfn.IFS(H123&lt;4,"poor",H123&lt;7,"average",H123&lt;9,"good",TRUE,"excellent")</f>
        <v>good</v>
      </c>
      <c r="J123" t="s">
        <v>1018</v>
      </c>
      <c r="K123" t="str">
        <f t="shared" si="9"/>
        <v>Eng</v>
      </c>
      <c r="L123">
        <v>2009</v>
      </c>
      <c r="M123" t="str">
        <f t="shared" si="10"/>
        <v>09</v>
      </c>
      <c r="N123" t="s">
        <v>1021</v>
      </c>
      <c r="O123" s="2">
        <v>43930</v>
      </c>
      <c r="Q123">
        <f t="shared" si="11"/>
        <v>5</v>
      </c>
      <c r="R123">
        <f t="shared" si="12"/>
        <v>50141</v>
      </c>
      <c r="U123" t="str">
        <f t="shared" si="13"/>
        <v>long</v>
      </c>
      <c r="V123" s="4">
        <f t="shared" ca="1" si="14"/>
        <v>45973.174535995371</v>
      </c>
    </row>
    <row r="124" spans="1:22" x14ac:dyDescent="0.25">
      <c r="A124" t="s">
        <v>130</v>
      </c>
      <c r="B124" t="s">
        <v>630</v>
      </c>
      <c r="C124">
        <f t="shared" si="8"/>
        <v>9</v>
      </c>
      <c r="D124" t="str">
        <f t="shared" si="15"/>
        <v>M1122 Movie_122</v>
      </c>
      <c r="E124" t="s">
        <v>1013</v>
      </c>
      <c r="F124" t="str">
        <f>TRIM(Table1[[#This Row],[Genre]])</f>
        <v>Thriller</v>
      </c>
      <c r="G124">
        <v>100</v>
      </c>
      <c r="H124">
        <v>7.7</v>
      </c>
      <c r="I124" t="str" cm="1">
        <f t="array" ref="I124">_xlfn.IFS(H124&lt;4,"poor",H124&lt;7,"average",H124&lt;9,"good",TRUE,"excellent")</f>
        <v>good</v>
      </c>
      <c r="J124" t="s">
        <v>1019</v>
      </c>
      <c r="K124" t="str">
        <f t="shared" si="9"/>
        <v>Ger</v>
      </c>
      <c r="L124">
        <v>1989</v>
      </c>
      <c r="M124" t="str">
        <f t="shared" si="10"/>
        <v>89</v>
      </c>
      <c r="N124" t="s">
        <v>1021</v>
      </c>
      <c r="O124" s="2">
        <v>43925</v>
      </c>
      <c r="Q124">
        <f t="shared" si="11"/>
        <v>5</v>
      </c>
      <c r="R124">
        <f t="shared" si="12"/>
        <v>49967</v>
      </c>
      <c r="U124" t="str">
        <f t="shared" si="13"/>
        <v>short</v>
      </c>
      <c r="V124" s="4">
        <f t="shared" ca="1" si="14"/>
        <v>45973.174535995371</v>
      </c>
    </row>
    <row r="125" spans="1:22" x14ac:dyDescent="0.25">
      <c r="A125" t="s">
        <v>131</v>
      </c>
      <c r="B125" t="s">
        <v>631</v>
      </c>
      <c r="C125">
        <f t="shared" si="8"/>
        <v>9</v>
      </c>
      <c r="D125" t="str">
        <f t="shared" si="15"/>
        <v>M1123 Movie_123</v>
      </c>
      <c r="E125" t="s">
        <v>1011</v>
      </c>
      <c r="F125" t="str">
        <f>TRIM(Table1[[#This Row],[Genre]])</f>
        <v>Comedy</v>
      </c>
      <c r="G125">
        <v>181</v>
      </c>
      <c r="H125">
        <v>1.4</v>
      </c>
      <c r="I125" t="str" cm="1">
        <f t="array" ref="I125">_xlfn.IFS(H125&lt;4,"poor",H125&lt;7,"average",H125&lt;9,"good",TRUE,"excellent")</f>
        <v>poor</v>
      </c>
      <c r="J125" t="s">
        <v>1018</v>
      </c>
      <c r="K125" t="str">
        <f t="shared" si="9"/>
        <v>Eng</v>
      </c>
      <c r="L125">
        <v>2018</v>
      </c>
      <c r="M125" t="str">
        <f t="shared" si="10"/>
        <v>18</v>
      </c>
      <c r="N125" t="s">
        <v>1021</v>
      </c>
      <c r="O125" s="2">
        <v>44034</v>
      </c>
      <c r="Q125">
        <f t="shared" si="11"/>
        <v>5</v>
      </c>
      <c r="R125">
        <f t="shared" si="12"/>
        <v>49867</v>
      </c>
      <c r="U125" t="str">
        <f t="shared" si="13"/>
        <v>long</v>
      </c>
      <c r="V125" s="4">
        <f t="shared" ca="1" si="14"/>
        <v>45973.174535995371</v>
      </c>
    </row>
    <row r="126" spans="1:22" x14ac:dyDescent="0.25">
      <c r="A126" t="s">
        <v>132</v>
      </c>
      <c r="B126" t="s">
        <v>632</v>
      </c>
      <c r="C126">
        <f t="shared" si="8"/>
        <v>9</v>
      </c>
      <c r="D126" t="str">
        <f t="shared" si="15"/>
        <v>M1124 Movie_124</v>
      </c>
      <c r="E126" t="s">
        <v>1010</v>
      </c>
      <c r="F126" t="str">
        <f>TRIM(Table1[[#This Row],[Genre]])</f>
        <v>Drama</v>
      </c>
      <c r="G126">
        <v>175</v>
      </c>
      <c r="H126">
        <v>6.5</v>
      </c>
      <c r="I126" t="str" cm="1">
        <f t="array" ref="I126">_xlfn.IFS(H126&lt;4,"poor",H126&lt;7,"average",H126&lt;9,"good",TRUE,"excellent")</f>
        <v>average</v>
      </c>
      <c r="J126" t="s">
        <v>1019</v>
      </c>
      <c r="K126" t="str">
        <f t="shared" si="9"/>
        <v>Ger</v>
      </c>
      <c r="L126">
        <v>2012</v>
      </c>
      <c r="M126" t="str">
        <f t="shared" si="10"/>
        <v>12</v>
      </c>
      <c r="N126" t="s">
        <v>1021</v>
      </c>
      <c r="O126" s="2">
        <v>45113</v>
      </c>
      <c r="Q126">
        <f t="shared" si="11"/>
        <v>5</v>
      </c>
      <c r="R126">
        <f t="shared" si="12"/>
        <v>49686</v>
      </c>
      <c r="U126" t="str">
        <f t="shared" si="13"/>
        <v>long</v>
      </c>
      <c r="V126" s="4">
        <f t="shared" ca="1" si="14"/>
        <v>45973.174535995371</v>
      </c>
    </row>
    <row r="127" spans="1:22" x14ac:dyDescent="0.25">
      <c r="A127" t="s">
        <v>133</v>
      </c>
      <c r="B127" t="s">
        <v>633</v>
      </c>
      <c r="C127">
        <f t="shared" si="8"/>
        <v>9</v>
      </c>
      <c r="D127" t="str">
        <f t="shared" si="15"/>
        <v>M1125 Movie_125</v>
      </c>
      <c r="E127" t="s">
        <v>1011</v>
      </c>
      <c r="F127" t="str">
        <f>TRIM(Table1[[#This Row],[Genre]])</f>
        <v>Comedy</v>
      </c>
      <c r="G127">
        <v>126</v>
      </c>
      <c r="H127">
        <v>5.5</v>
      </c>
      <c r="I127" t="str" cm="1">
        <f t="array" ref="I127">_xlfn.IFS(H127&lt;4,"poor",H127&lt;7,"average",H127&lt;9,"good",TRUE,"excellent")</f>
        <v>average</v>
      </c>
      <c r="J127" t="s">
        <v>1015</v>
      </c>
      <c r="K127" t="str">
        <f t="shared" si="9"/>
        <v>Hin</v>
      </c>
      <c r="L127">
        <v>1988</v>
      </c>
      <c r="M127" t="str">
        <f t="shared" si="10"/>
        <v>88</v>
      </c>
      <c r="N127" t="s">
        <v>1021</v>
      </c>
      <c r="O127" s="2">
        <v>45436</v>
      </c>
      <c r="Q127">
        <f t="shared" si="11"/>
        <v>5</v>
      </c>
      <c r="R127">
        <f t="shared" si="12"/>
        <v>49511</v>
      </c>
      <c r="U127" t="str">
        <f t="shared" si="13"/>
        <v>long</v>
      </c>
      <c r="V127" s="4">
        <f t="shared" ca="1" si="14"/>
        <v>45973.174535995371</v>
      </c>
    </row>
    <row r="128" spans="1:22" x14ac:dyDescent="0.25">
      <c r="A128" t="s">
        <v>134</v>
      </c>
      <c r="B128" t="s">
        <v>634</v>
      </c>
      <c r="C128">
        <f t="shared" si="8"/>
        <v>9</v>
      </c>
      <c r="D128" t="str">
        <f t="shared" si="15"/>
        <v>M1126 Movie_126</v>
      </c>
      <c r="E128" t="s">
        <v>1011</v>
      </c>
      <c r="F128" t="str">
        <f>TRIM(Table1[[#This Row],[Genre]])</f>
        <v>Comedy</v>
      </c>
      <c r="G128">
        <v>123</v>
      </c>
      <c r="H128">
        <v>9.1</v>
      </c>
      <c r="I128" t="str" cm="1">
        <f t="array" ref="I128">_xlfn.IFS(H128&lt;4,"poor",H128&lt;7,"average",H128&lt;9,"good",TRUE,"excellent")</f>
        <v>excellent</v>
      </c>
      <c r="J128" t="s">
        <v>1017</v>
      </c>
      <c r="K128" t="str">
        <f t="shared" si="9"/>
        <v>Fre</v>
      </c>
      <c r="L128">
        <v>2000</v>
      </c>
      <c r="M128" t="str">
        <f t="shared" si="10"/>
        <v>00</v>
      </c>
      <c r="N128" t="s">
        <v>1020</v>
      </c>
      <c r="O128" s="2">
        <v>44772</v>
      </c>
      <c r="Q128">
        <f t="shared" si="11"/>
        <v>5</v>
      </c>
      <c r="R128">
        <f t="shared" si="12"/>
        <v>49385</v>
      </c>
      <c r="U128" t="str">
        <f t="shared" si="13"/>
        <v>long</v>
      </c>
      <c r="V128" s="4">
        <f t="shared" ca="1" si="14"/>
        <v>45973.174535995371</v>
      </c>
    </row>
    <row r="129" spans="1:22" x14ac:dyDescent="0.25">
      <c r="A129" t="s">
        <v>135</v>
      </c>
      <c r="B129" t="s">
        <v>635</v>
      </c>
      <c r="C129">
        <f t="shared" si="8"/>
        <v>9</v>
      </c>
      <c r="D129" t="str">
        <f t="shared" si="15"/>
        <v>M1127 Movie_127</v>
      </c>
      <c r="E129" t="s">
        <v>1008</v>
      </c>
      <c r="F129" t="str">
        <f>TRIM(Table1[[#This Row],[Genre]])</f>
        <v>Horror</v>
      </c>
      <c r="G129">
        <v>130</v>
      </c>
      <c r="H129">
        <v>3.6</v>
      </c>
      <c r="I129" t="str" cm="1">
        <f t="array" ref="I129">_xlfn.IFS(H129&lt;4,"poor",H129&lt;7,"average",H129&lt;9,"good",TRUE,"excellent")</f>
        <v>poor</v>
      </c>
      <c r="J129" t="s">
        <v>1016</v>
      </c>
      <c r="K129" t="str">
        <f t="shared" si="9"/>
        <v>Spa</v>
      </c>
      <c r="L129">
        <v>2019</v>
      </c>
      <c r="M129" t="str">
        <f t="shared" si="10"/>
        <v>19</v>
      </c>
      <c r="N129" t="s">
        <v>1021</v>
      </c>
      <c r="O129" s="2">
        <v>43864</v>
      </c>
      <c r="Q129">
        <f t="shared" si="11"/>
        <v>5</v>
      </c>
      <c r="R129">
        <f t="shared" si="12"/>
        <v>49262</v>
      </c>
      <c r="U129" t="str">
        <f t="shared" si="13"/>
        <v>long</v>
      </c>
      <c r="V129" s="4">
        <f t="shared" ca="1" si="14"/>
        <v>45973.174535995371</v>
      </c>
    </row>
    <row r="130" spans="1:22" x14ac:dyDescent="0.25">
      <c r="A130" t="s">
        <v>136</v>
      </c>
      <c r="B130" t="s">
        <v>636</v>
      </c>
      <c r="C130">
        <f t="shared" ref="C130:C193" si="16">LEN(B130)</f>
        <v>9</v>
      </c>
      <c r="D130" t="str">
        <f t="shared" si="15"/>
        <v>M1128 Movie_128</v>
      </c>
      <c r="E130" t="s">
        <v>1012</v>
      </c>
      <c r="F130" t="str">
        <f>TRIM(Table1[[#This Row],[Genre]])</f>
        <v>Sci-Fi</v>
      </c>
      <c r="G130">
        <v>193</v>
      </c>
      <c r="H130">
        <v>8.1999999999999993</v>
      </c>
      <c r="I130" t="str" cm="1">
        <f t="array" ref="I130">_xlfn.IFS(H130&lt;4,"poor",H130&lt;7,"average",H130&lt;9,"good",TRUE,"excellent")</f>
        <v>good</v>
      </c>
      <c r="J130" t="s">
        <v>1019</v>
      </c>
      <c r="K130" t="str">
        <f t="shared" ref="K130:K193" si="17">LEFT(J130,3)</f>
        <v>Ger</v>
      </c>
      <c r="L130">
        <v>2000</v>
      </c>
      <c r="M130" t="str">
        <f t="shared" ref="M130:M193" si="18">RIGHT(L130,2)</f>
        <v>00</v>
      </c>
      <c r="N130" t="s">
        <v>1020</v>
      </c>
      <c r="O130" s="2">
        <v>44085</v>
      </c>
      <c r="Q130">
        <f t="shared" ref="Q130:Q193" si="19">COUNT(A130:O130)</f>
        <v>5</v>
      </c>
      <c r="R130">
        <f t="shared" ref="R130:R193" si="20">SUM(G130:G629)</f>
        <v>49132</v>
      </c>
      <c r="U130" t="str">
        <f t="shared" ref="U130:U193" si="21">IF(G130&gt;120,"long","short")</f>
        <v>long</v>
      </c>
      <c r="V130" s="4">
        <f t="shared" ref="V130:V193" ca="1" si="22">NOW()</f>
        <v>45973.174535995371</v>
      </c>
    </row>
    <row r="131" spans="1:22" x14ac:dyDescent="0.25">
      <c r="A131" t="s">
        <v>137</v>
      </c>
      <c r="B131" t="s">
        <v>637</v>
      </c>
      <c r="C131">
        <f t="shared" si="16"/>
        <v>9</v>
      </c>
      <c r="D131" t="str">
        <f t="shared" ref="D131:D194" si="23">CONCATENATE(A131," ",B131)</f>
        <v>M1129 Movie_129</v>
      </c>
      <c r="E131" t="s">
        <v>1012</v>
      </c>
      <c r="F131" t="str">
        <f>TRIM(Table1[[#This Row],[Genre]])</f>
        <v>Sci-Fi</v>
      </c>
      <c r="G131">
        <v>184</v>
      </c>
      <c r="H131">
        <v>6.5</v>
      </c>
      <c r="I131" t="str" cm="1">
        <f t="array" ref="I131">_xlfn.IFS(H131&lt;4,"poor",H131&lt;7,"average",H131&lt;9,"good",TRUE,"excellent")</f>
        <v>average</v>
      </c>
      <c r="J131" t="s">
        <v>1018</v>
      </c>
      <c r="K131" t="str">
        <f t="shared" si="17"/>
        <v>Eng</v>
      </c>
      <c r="L131">
        <v>1990</v>
      </c>
      <c r="M131" t="str">
        <f t="shared" si="18"/>
        <v>90</v>
      </c>
      <c r="N131" t="s">
        <v>1020</v>
      </c>
      <c r="O131" s="2">
        <v>44154</v>
      </c>
      <c r="Q131">
        <f t="shared" si="19"/>
        <v>5</v>
      </c>
      <c r="R131">
        <f t="shared" si="20"/>
        <v>48939</v>
      </c>
      <c r="U131" t="str">
        <f t="shared" si="21"/>
        <v>long</v>
      </c>
      <c r="V131" s="4">
        <f t="shared" ca="1" si="22"/>
        <v>45973.174535995371</v>
      </c>
    </row>
    <row r="132" spans="1:22" x14ac:dyDescent="0.25">
      <c r="A132" t="s">
        <v>138</v>
      </c>
      <c r="B132" t="s">
        <v>638</v>
      </c>
      <c r="C132">
        <f t="shared" si="16"/>
        <v>9</v>
      </c>
      <c r="D132" t="str">
        <f t="shared" si="23"/>
        <v>M1130 Movie_130</v>
      </c>
      <c r="E132" t="s">
        <v>1010</v>
      </c>
      <c r="F132" t="str">
        <f>TRIM(Table1[[#This Row],[Genre]])</f>
        <v>Drama</v>
      </c>
      <c r="G132">
        <v>121</v>
      </c>
      <c r="H132">
        <v>4.2</v>
      </c>
      <c r="I132" t="str" cm="1">
        <f t="array" ref="I132">_xlfn.IFS(H132&lt;4,"poor",H132&lt;7,"average",H132&lt;9,"good",TRUE,"excellent")</f>
        <v>average</v>
      </c>
      <c r="J132" t="s">
        <v>1017</v>
      </c>
      <c r="K132" t="str">
        <f t="shared" si="17"/>
        <v>Fre</v>
      </c>
      <c r="L132">
        <v>2005</v>
      </c>
      <c r="M132" t="str">
        <f t="shared" si="18"/>
        <v>05</v>
      </c>
      <c r="N132" t="s">
        <v>1021</v>
      </c>
      <c r="O132" s="2">
        <v>44734</v>
      </c>
      <c r="Q132">
        <f t="shared" si="19"/>
        <v>5</v>
      </c>
      <c r="R132">
        <f t="shared" si="20"/>
        <v>48755</v>
      </c>
      <c r="U132" t="str">
        <f t="shared" si="21"/>
        <v>long</v>
      </c>
      <c r="V132" s="4">
        <f t="shared" ca="1" si="22"/>
        <v>45973.174535995371</v>
      </c>
    </row>
    <row r="133" spans="1:22" x14ac:dyDescent="0.25">
      <c r="A133" t="s">
        <v>139</v>
      </c>
      <c r="B133" t="s">
        <v>639</v>
      </c>
      <c r="C133">
        <f t="shared" si="16"/>
        <v>9</v>
      </c>
      <c r="D133" t="str">
        <f t="shared" si="23"/>
        <v>M1131 Movie_131</v>
      </c>
      <c r="E133" t="s">
        <v>1008</v>
      </c>
      <c r="F133" t="str">
        <f>TRIM(Table1[[#This Row],[Genre]])</f>
        <v>Horror</v>
      </c>
      <c r="G133">
        <v>130</v>
      </c>
      <c r="H133">
        <v>6.7</v>
      </c>
      <c r="I133" t="str" cm="1">
        <f t="array" ref="I133">_xlfn.IFS(H133&lt;4,"poor",H133&lt;7,"average",H133&lt;9,"good",TRUE,"excellent")</f>
        <v>average</v>
      </c>
      <c r="J133" t="s">
        <v>1016</v>
      </c>
      <c r="K133" t="str">
        <f t="shared" si="17"/>
        <v>Spa</v>
      </c>
      <c r="L133">
        <v>2019</v>
      </c>
      <c r="M133" t="str">
        <f t="shared" si="18"/>
        <v>19</v>
      </c>
      <c r="N133" t="s">
        <v>1020</v>
      </c>
      <c r="O133" s="2">
        <v>44765</v>
      </c>
      <c r="Q133">
        <f t="shared" si="19"/>
        <v>5</v>
      </c>
      <c r="R133">
        <f t="shared" si="20"/>
        <v>48634</v>
      </c>
      <c r="U133" t="str">
        <f t="shared" si="21"/>
        <v>long</v>
      </c>
      <c r="V133" s="4">
        <f t="shared" ca="1" si="22"/>
        <v>45973.174535995371</v>
      </c>
    </row>
    <row r="134" spans="1:22" x14ac:dyDescent="0.25">
      <c r="A134" t="s">
        <v>140</v>
      </c>
      <c r="B134" t="s">
        <v>640</v>
      </c>
      <c r="C134">
        <f t="shared" si="16"/>
        <v>9</v>
      </c>
      <c r="D134" t="str">
        <f t="shared" si="23"/>
        <v>M1132 Movie_132</v>
      </c>
      <c r="E134" t="s">
        <v>1012</v>
      </c>
      <c r="F134" t="str">
        <f>TRIM(Table1[[#This Row],[Genre]])</f>
        <v>Sci-Fi</v>
      </c>
      <c r="G134">
        <v>172</v>
      </c>
      <c r="H134">
        <v>6.6</v>
      </c>
      <c r="I134" t="str" cm="1">
        <f t="array" ref="I134">_xlfn.IFS(H134&lt;4,"poor",H134&lt;7,"average",H134&lt;9,"good",TRUE,"excellent")</f>
        <v>average</v>
      </c>
      <c r="J134" t="s">
        <v>1018</v>
      </c>
      <c r="K134" t="str">
        <f t="shared" si="17"/>
        <v>Eng</v>
      </c>
      <c r="L134">
        <v>1999</v>
      </c>
      <c r="M134" t="str">
        <f t="shared" si="18"/>
        <v>99</v>
      </c>
      <c r="N134" t="s">
        <v>1020</v>
      </c>
      <c r="O134" s="2">
        <v>43832</v>
      </c>
      <c r="Q134">
        <f t="shared" si="19"/>
        <v>5</v>
      </c>
      <c r="R134">
        <f t="shared" si="20"/>
        <v>48504</v>
      </c>
      <c r="U134" t="str">
        <f t="shared" si="21"/>
        <v>long</v>
      </c>
      <c r="V134" s="4">
        <f t="shared" ca="1" si="22"/>
        <v>45973.174535995371</v>
      </c>
    </row>
    <row r="135" spans="1:22" x14ac:dyDescent="0.25">
      <c r="A135" t="s">
        <v>141</v>
      </c>
      <c r="B135" t="s">
        <v>641</v>
      </c>
      <c r="C135">
        <f t="shared" si="16"/>
        <v>9</v>
      </c>
      <c r="D135" t="str">
        <f t="shared" si="23"/>
        <v>M1133 Movie_133</v>
      </c>
      <c r="E135" t="s">
        <v>1013</v>
      </c>
      <c r="F135" t="str">
        <f>TRIM(Table1[[#This Row],[Genre]])</f>
        <v>Thriller</v>
      </c>
      <c r="G135">
        <v>79</v>
      </c>
      <c r="H135">
        <v>7.1</v>
      </c>
      <c r="I135" t="str" cm="1">
        <f t="array" ref="I135">_xlfn.IFS(H135&lt;4,"poor",H135&lt;7,"average",H135&lt;9,"good",TRUE,"excellent")</f>
        <v>good</v>
      </c>
      <c r="J135" t="s">
        <v>1017</v>
      </c>
      <c r="K135" t="str">
        <f t="shared" si="17"/>
        <v>Fre</v>
      </c>
      <c r="L135">
        <v>2017</v>
      </c>
      <c r="M135" t="str">
        <f t="shared" si="18"/>
        <v>17</v>
      </c>
      <c r="N135" t="s">
        <v>1020</v>
      </c>
      <c r="O135" s="2">
        <v>44707</v>
      </c>
      <c r="Q135">
        <f t="shared" si="19"/>
        <v>5</v>
      </c>
      <c r="R135">
        <f t="shared" si="20"/>
        <v>48332</v>
      </c>
      <c r="U135" t="str">
        <f t="shared" si="21"/>
        <v>short</v>
      </c>
      <c r="V135" s="4">
        <f t="shared" ca="1" si="22"/>
        <v>45973.174535995371</v>
      </c>
    </row>
    <row r="136" spans="1:22" x14ac:dyDescent="0.25">
      <c r="A136" t="s">
        <v>142</v>
      </c>
      <c r="B136" t="s">
        <v>642</v>
      </c>
      <c r="C136">
        <f t="shared" si="16"/>
        <v>9</v>
      </c>
      <c r="D136" t="str">
        <f t="shared" si="23"/>
        <v>M1134 Movie_134</v>
      </c>
      <c r="E136" t="s">
        <v>1012</v>
      </c>
      <c r="F136" t="str">
        <f>TRIM(Table1[[#This Row],[Genre]])</f>
        <v>Sci-Fi</v>
      </c>
      <c r="G136">
        <v>133</v>
      </c>
      <c r="H136">
        <v>7.5</v>
      </c>
      <c r="I136" t="str" cm="1">
        <f t="array" ref="I136">_xlfn.IFS(H136&lt;4,"poor",H136&lt;7,"average",H136&lt;9,"good",TRUE,"excellent")</f>
        <v>good</v>
      </c>
      <c r="J136" t="s">
        <v>1018</v>
      </c>
      <c r="K136" t="str">
        <f t="shared" si="17"/>
        <v>Eng</v>
      </c>
      <c r="L136">
        <v>2001</v>
      </c>
      <c r="M136" t="str">
        <f t="shared" si="18"/>
        <v>01</v>
      </c>
      <c r="N136" t="s">
        <v>1020</v>
      </c>
      <c r="O136" s="2">
        <v>44245</v>
      </c>
      <c r="Q136">
        <f t="shared" si="19"/>
        <v>5</v>
      </c>
      <c r="R136">
        <f t="shared" si="20"/>
        <v>48253</v>
      </c>
      <c r="U136" t="str">
        <f t="shared" si="21"/>
        <v>long</v>
      </c>
      <c r="V136" s="4">
        <f t="shared" ca="1" si="22"/>
        <v>45973.174535995371</v>
      </c>
    </row>
    <row r="137" spans="1:22" x14ac:dyDescent="0.25">
      <c r="A137" t="s">
        <v>143</v>
      </c>
      <c r="B137" t="s">
        <v>643</v>
      </c>
      <c r="C137">
        <f t="shared" si="16"/>
        <v>9</v>
      </c>
      <c r="D137" t="str">
        <f t="shared" si="23"/>
        <v>M1135 Movie_135</v>
      </c>
      <c r="E137" t="s">
        <v>1013</v>
      </c>
      <c r="F137" t="str">
        <f>TRIM(Table1[[#This Row],[Genre]])</f>
        <v>Thriller</v>
      </c>
      <c r="G137">
        <v>120</v>
      </c>
      <c r="H137">
        <v>6.9</v>
      </c>
      <c r="I137" t="str" cm="1">
        <f t="array" ref="I137">_xlfn.IFS(H137&lt;4,"poor",H137&lt;7,"average",H137&lt;9,"good",TRUE,"excellent")</f>
        <v>average</v>
      </c>
      <c r="J137" t="s">
        <v>1014</v>
      </c>
      <c r="K137" t="str">
        <f t="shared" si="17"/>
        <v>Jap</v>
      </c>
      <c r="L137">
        <v>2012</v>
      </c>
      <c r="M137" t="str">
        <f t="shared" si="18"/>
        <v>12</v>
      </c>
      <c r="N137" t="s">
        <v>1020</v>
      </c>
      <c r="O137" s="2">
        <v>45241</v>
      </c>
      <c r="Q137">
        <f t="shared" si="19"/>
        <v>5</v>
      </c>
      <c r="R137">
        <f t="shared" si="20"/>
        <v>48120</v>
      </c>
      <c r="U137" t="str">
        <f t="shared" si="21"/>
        <v>short</v>
      </c>
      <c r="V137" s="4">
        <f t="shared" ca="1" si="22"/>
        <v>45973.174535995371</v>
      </c>
    </row>
    <row r="138" spans="1:22" x14ac:dyDescent="0.25">
      <c r="A138" t="s">
        <v>144</v>
      </c>
      <c r="B138" t="s">
        <v>644</v>
      </c>
      <c r="C138">
        <f t="shared" si="16"/>
        <v>9</v>
      </c>
      <c r="D138" t="str">
        <f t="shared" si="23"/>
        <v>M1136 Movie_136</v>
      </c>
      <c r="E138" t="s">
        <v>1010</v>
      </c>
      <c r="F138" t="str">
        <f>TRIM(Table1[[#This Row],[Genre]])</f>
        <v>Drama</v>
      </c>
      <c r="G138">
        <v>129</v>
      </c>
      <c r="H138">
        <v>8.5</v>
      </c>
      <c r="I138" t="str" cm="1">
        <f t="array" ref="I138">_xlfn.IFS(H138&lt;4,"poor",H138&lt;7,"average",H138&lt;9,"good",TRUE,"excellent")</f>
        <v>good</v>
      </c>
      <c r="J138" t="s">
        <v>1014</v>
      </c>
      <c r="K138" t="str">
        <f t="shared" si="17"/>
        <v>Jap</v>
      </c>
      <c r="L138">
        <v>2012</v>
      </c>
      <c r="M138" t="str">
        <f t="shared" si="18"/>
        <v>12</v>
      </c>
      <c r="N138" t="s">
        <v>1020</v>
      </c>
      <c r="O138" s="2">
        <v>44101</v>
      </c>
      <c r="Q138">
        <f t="shared" si="19"/>
        <v>5</v>
      </c>
      <c r="R138">
        <f t="shared" si="20"/>
        <v>48000</v>
      </c>
      <c r="U138" t="str">
        <f t="shared" si="21"/>
        <v>long</v>
      </c>
      <c r="V138" s="4">
        <f t="shared" ca="1" si="22"/>
        <v>45973.174535995371</v>
      </c>
    </row>
    <row r="139" spans="1:22" x14ac:dyDescent="0.25">
      <c r="A139" t="s">
        <v>145</v>
      </c>
      <c r="B139" t="s">
        <v>645</v>
      </c>
      <c r="C139">
        <f t="shared" si="16"/>
        <v>9</v>
      </c>
      <c r="D139" t="str">
        <f t="shared" si="23"/>
        <v>M1137 Movie_137</v>
      </c>
      <c r="E139" t="s">
        <v>1011</v>
      </c>
      <c r="F139" t="str">
        <f>TRIM(Table1[[#This Row],[Genre]])</f>
        <v>Comedy</v>
      </c>
      <c r="G139">
        <v>145</v>
      </c>
      <c r="H139">
        <v>6.7</v>
      </c>
      <c r="I139" t="str" cm="1">
        <f t="array" ref="I139">_xlfn.IFS(H139&lt;4,"poor",H139&lt;7,"average",H139&lt;9,"good",TRUE,"excellent")</f>
        <v>average</v>
      </c>
      <c r="J139" t="s">
        <v>1017</v>
      </c>
      <c r="K139" t="str">
        <f t="shared" si="17"/>
        <v>Fre</v>
      </c>
      <c r="L139">
        <v>2014</v>
      </c>
      <c r="M139" t="str">
        <f t="shared" si="18"/>
        <v>14</v>
      </c>
      <c r="N139" t="s">
        <v>1021</v>
      </c>
      <c r="O139" s="2">
        <v>45162</v>
      </c>
      <c r="Q139">
        <f t="shared" si="19"/>
        <v>5</v>
      </c>
      <c r="R139">
        <f t="shared" si="20"/>
        <v>47871</v>
      </c>
      <c r="U139" t="str">
        <f t="shared" si="21"/>
        <v>long</v>
      </c>
      <c r="V139" s="4">
        <f t="shared" ca="1" si="22"/>
        <v>45973.174535995371</v>
      </c>
    </row>
    <row r="140" spans="1:22" x14ac:dyDescent="0.25">
      <c r="A140" t="s">
        <v>146</v>
      </c>
      <c r="B140" t="s">
        <v>646</v>
      </c>
      <c r="C140">
        <f t="shared" si="16"/>
        <v>9</v>
      </c>
      <c r="D140" t="str">
        <f t="shared" si="23"/>
        <v>M1138 Movie_138</v>
      </c>
      <c r="E140" t="s">
        <v>1011</v>
      </c>
      <c r="F140" t="str">
        <f>TRIM(Table1[[#This Row],[Genre]])</f>
        <v>Comedy</v>
      </c>
      <c r="G140">
        <v>141</v>
      </c>
      <c r="H140">
        <v>9.1</v>
      </c>
      <c r="I140" t="str" cm="1">
        <f t="array" ref="I140">_xlfn.IFS(H140&lt;4,"poor",H140&lt;7,"average",H140&lt;9,"good",TRUE,"excellent")</f>
        <v>excellent</v>
      </c>
      <c r="J140" t="s">
        <v>1016</v>
      </c>
      <c r="K140" t="str">
        <f t="shared" si="17"/>
        <v>Spa</v>
      </c>
      <c r="L140">
        <v>2011</v>
      </c>
      <c r="M140" t="str">
        <f t="shared" si="18"/>
        <v>11</v>
      </c>
      <c r="N140" t="s">
        <v>1020</v>
      </c>
      <c r="O140" s="2">
        <v>44449</v>
      </c>
      <c r="Q140">
        <f t="shared" si="19"/>
        <v>5</v>
      </c>
      <c r="R140">
        <f t="shared" si="20"/>
        <v>47726</v>
      </c>
      <c r="U140" t="str">
        <f t="shared" si="21"/>
        <v>long</v>
      </c>
      <c r="V140" s="4">
        <f t="shared" ca="1" si="22"/>
        <v>45973.174535995371</v>
      </c>
    </row>
    <row r="141" spans="1:22" x14ac:dyDescent="0.25">
      <c r="A141" t="s">
        <v>147</v>
      </c>
      <c r="B141" t="s">
        <v>647</v>
      </c>
      <c r="C141">
        <f t="shared" si="16"/>
        <v>9</v>
      </c>
      <c r="D141" t="str">
        <f t="shared" si="23"/>
        <v>M1139 Movie_139</v>
      </c>
      <c r="E141" t="s">
        <v>1012</v>
      </c>
      <c r="F141" t="str">
        <f>TRIM(Table1[[#This Row],[Genre]])</f>
        <v>Sci-Fi</v>
      </c>
      <c r="G141">
        <v>198</v>
      </c>
      <c r="H141">
        <v>6.8</v>
      </c>
      <c r="I141" t="str" cm="1">
        <f t="array" ref="I141">_xlfn.IFS(H141&lt;4,"poor",H141&lt;7,"average",H141&lt;9,"good",TRUE,"excellent")</f>
        <v>average</v>
      </c>
      <c r="J141" t="s">
        <v>1016</v>
      </c>
      <c r="K141" t="str">
        <f t="shared" si="17"/>
        <v>Spa</v>
      </c>
      <c r="L141">
        <v>2025</v>
      </c>
      <c r="M141" t="str">
        <f t="shared" si="18"/>
        <v>25</v>
      </c>
      <c r="N141" t="s">
        <v>1020</v>
      </c>
      <c r="O141" s="2">
        <v>44156</v>
      </c>
      <c r="Q141">
        <f t="shared" si="19"/>
        <v>5</v>
      </c>
      <c r="R141">
        <f t="shared" si="20"/>
        <v>47585</v>
      </c>
      <c r="U141" t="str">
        <f t="shared" si="21"/>
        <v>long</v>
      </c>
      <c r="V141" s="4">
        <f t="shared" ca="1" si="22"/>
        <v>45973.174535995371</v>
      </c>
    </row>
    <row r="142" spans="1:22" x14ac:dyDescent="0.25">
      <c r="A142" t="s">
        <v>148</v>
      </c>
      <c r="B142" t="s">
        <v>648</v>
      </c>
      <c r="C142">
        <f t="shared" si="16"/>
        <v>9</v>
      </c>
      <c r="D142" t="str">
        <f t="shared" si="23"/>
        <v>M1140 Movie_140</v>
      </c>
      <c r="E142" t="s">
        <v>1013</v>
      </c>
      <c r="F142" t="str">
        <f>TRIM(Table1[[#This Row],[Genre]])</f>
        <v>Thriller</v>
      </c>
      <c r="G142">
        <v>80</v>
      </c>
      <c r="H142">
        <v>3.8</v>
      </c>
      <c r="I142" t="str" cm="1">
        <f t="array" ref="I142">_xlfn.IFS(H142&lt;4,"poor",H142&lt;7,"average",H142&lt;9,"good",TRUE,"excellent")</f>
        <v>poor</v>
      </c>
      <c r="J142" t="s">
        <v>1018</v>
      </c>
      <c r="K142" t="str">
        <f t="shared" si="17"/>
        <v>Eng</v>
      </c>
      <c r="L142">
        <v>2016</v>
      </c>
      <c r="M142" t="str">
        <f t="shared" si="18"/>
        <v>16</v>
      </c>
      <c r="N142" t="s">
        <v>1020</v>
      </c>
      <c r="O142" s="2">
        <v>44392</v>
      </c>
      <c r="Q142">
        <f t="shared" si="19"/>
        <v>5</v>
      </c>
      <c r="R142">
        <f t="shared" si="20"/>
        <v>47387</v>
      </c>
      <c r="U142" t="str">
        <f t="shared" si="21"/>
        <v>short</v>
      </c>
      <c r="V142" s="4">
        <f t="shared" ca="1" si="22"/>
        <v>45973.174535995371</v>
      </c>
    </row>
    <row r="143" spans="1:22" x14ac:dyDescent="0.25">
      <c r="A143" t="s">
        <v>149</v>
      </c>
      <c r="B143" t="s">
        <v>649</v>
      </c>
      <c r="C143">
        <f t="shared" si="16"/>
        <v>9</v>
      </c>
      <c r="D143" t="str">
        <f t="shared" si="23"/>
        <v>M1141 Movie_141</v>
      </c>
      <c r="E143" t="s">
        <v>1009</v>
      </c>
      <c r="F143" t="str">
        <f>TRIM(Table1[[#This Row],[Genre]])</f>
        <v>Action</v>
      </c>
      <c r="G143">
        <v>95</v>
      </c>
      <c r="H143">
        <v>5</v>
      </c>
      <c r="I143" t="str" cm="1">
        <f t="array" ref="I143">_xlfn.IFS(H143&lt;4,"poor",H143&lt;7,"average",H143&lt;9,"good",TRUE,"excellent")</f>
        <v>average</v>
      </c>
      <c r="J143" t="s">
        <v>1017</v>
      </c>
      <c r="K143" t="str">
        <f t="shared" si="17"/>
        <v>Fre</v>
      </c>
      <c r="L143">
        <v>1999</v>
      </c>
      <c r="M143" t="str">
        <f t="shared" si="18"/>
        <v>99</v>
      </c>
      <c r="N143" t="s">
        <v>1020</v>
      </c>
      <c r="O143" s="2">
        <v>44022</v>
      </c>
      <c r="Q143">
        <f t="shared" si="19"/>
        <v>5</v>
      </c>
      <c r="R143">
        <f t="shared" si="20"/>
        <v>47307</v>
      </c>
      <c r="U143" t="str">
        <f t="shared" si="21"/>
        <v>short</v>
      </c>
      <c r="V143" s="4">
        <f t="shared" ca="1" si="22"/>
        <v>45973.174535995371</v>
      </c>
    </row>
    <row r="144" spans="1:22" x14ac:dyDescent="0.25">
      <c r="A144" t="s">
        <v>150</v>
      </c>
      <c r="B144" t="s">
        <v>650</v>
      </c>
      <c r="C144">
        <f t="shared" si="16"/>
        <v>9</v>
      </c>
      <c r="D144" t="str">
        <f t="shared" si="23"/>
        <v>M1142 Movie_142</v>
      </c>
      <c r="E144" t="s">
        <v>1009</v>
      </c>
      <c r="F144" t="str">
        <f>TRIM(Table1[[#This Row],[Genre]])</f>
        <v>Action</v>
      </c>
      <c r="G144">
        <v>98</v>
      </c>
      <c r="H144">
        <v>6.2</v>
      </c>
      <c r="I144" t="str" cm="1">
        <f t="array" ref="I144">_xlfn.IFS(H144&lt;4,"poor",H144&lt;7,"average",H144&lt;9,"good",TRUE,"excellent")</f>
        <v>average</v>
      </c>
      <c r="J144" t="s">
        <v>1019</v>
      </c>
      <c r="K144" t="str">
        <f t="shared" si="17"/>
        <v>Ger</v>
      </c>
      <c r="L144">
        <v>2010</v>
      </c>
      <c r="M144" t="str">
        <f t="shared" si="18"/>
        <v>10</v>
      </c>
      <c r="N144" t="s">
        <v>1020</v>
      </c>
      <c r="O144" s="2">
        <v>45171</v>
      </c>
      <c r="Q144">
        <f t="shared" si="19"/>
        <v>5</v>
      </c>
      <c r="R144">
        <f t="shared" si="20"/>
        <v>47212</v>
      </c>
      <c r="U144" t="str">
        <f t="shared" si="21"/>
        <v>short</v>
      </c>
      <c r="V144" s="4">
        <f t="shared" ca="1" si="22"/>
        <v>45973.174535995371</v>
      </c>
    </row>
    <row r="145" spans="1:22" x14ac:dyDescent="0.25">
      <c r="A145" t="s">
        <v>151</v>
      </c>
      <c r="B145" t="s">
        <v>651</v>
      </c>
      <c r="C145">
        <f t="shared" si="16"/>
        <v>9</v>
      </c>
      <c r="D145" t="str">
        <f t="shared" si="23"/>
        <v>M1143 Movie_143</v>
      </c>
      <c r="E145" t="s">
        <v>1009</v>
      </c>
      <c r="F145" t="str">
        <f>TRIM(Table1[[#This Row],[Genre]])</f>
        <v>Action</v>
      </c>
      <c r="G145">
        <v>119</v>
      </c>
      <c r="H145">
        <v>7.6</v>
      </c>
      <c r="I145" t="str" cm="1">
        <f t="array" ref="I145">_xlfn.IFS(H145&lt;4,"poor",H145&lt;7,"average",H145&lt;9,"good",TRUE,"excellent")</f>
        <v>good</v>
      </c>
      <c r="J145" t="s">
        <v>1014</v>
      </c>
      <c r="K145" t="str">
        <f t="shared" si="17"/>
        <v>Jap</v>
      </c>
      <c r="L145">
        <v>1981</v>
      </c>
      <c r="M145" t="str">
        <f t="shared" si="18"/>
        <v>81</v>
      </c>
      <c r="N145" t="s">
        <v>1020</v>
      </c>
      <c r="O145" s="2">
        <v>44569</v>
      </c>
      <c r="Q145">
        <f t="shared" si="19"/>
        <v>5</v>
      </c>
      <c r="R145">
        <f t="shared" si="20"/>
        <v>47114</v>
      </c>
      <c r="U145" t="str">
        <f t="shared" si="21"/>
        <v>short</v>
      </c>
      <c r="V145" s="4">
        <f t="shared" ca="1" si="22"/>
        <v>45973.174535995371</v>
      </c>
    </row>
    <row r="146" spans="1:22" x14ac:dyDescent="0.25">
      <c r="A146" t="s">
        <v>152</v>
      </c>
      <c r="B146" t="s">
        <v>652</v>
      </c>
      <c r="C146">
        <f t="shared" si="16"/>
        <v>9</v>
      </c>
      <c r="D146" t="str">
        <f t="shared" si="23"/>
        <v>M1144 Movie_144</v>
      </c>
      <c r="E146" t="s">
        <v>1011</v>
      </c>
      <c r="F146" t="str">
        <f>TRIM(Table1[[#This Row],[Genre]])</f>
        <v>Comedy</v>
      </c>
      <c r="G146">
        <v>158</v>
      </c>
      <c r="H146">
        <v>1.8</v>
      </c>
      <c r="I146" t="str" cm="1">
        <f t="array" ref="I146">_xlfn.IFS(H146&lt;4,"poor",H146&lt;7,"average",H146&lt;9,"good",TRUE,"excellent")</f>
        <v>poor</v>
      </c>
      <c r="J146" t="s">
        <v>1016</v>
      </c>
      <c r="K146" t="str">
        <f t="shared" si="17"/>
        <v>Spa</v>
      </c>
      <c r="L146">
        <v>2003</v>
      </c>
      <c r="M146" t="str">
        <f t="shared" si="18"/>
        <v>03</v>
      </c>
      <c r="N146" t="s">
        <v>1021</v>
      </c>
      <c r="O146" s="2">
        <v>44343</v>
      </c>
      <c r="Q146">
        <f t="shared" si="19"/>
        <v>5</v>
      </c>
      <c r="R146">
        <f t="shared" si="20"/>
        <v>46995</v>
      </c>
      <c r="U146" t="str">
        <f t="shared" si="21"/>
        <v>long</v>
      </c>
      <c r="V146" s="4">
        <f t="shared" ca="1" si="22"/>
        <v>45973.174535995371</v>
      </c>
    </row>
    <row r="147" spans="1:22" x14ac:dyDescent="0.25">
      <c r="A147" t="s">
        <v>153</v>
      </c>
      <c r="B147" t="s">
        <v>653</v>
      </c>
      <c r="C147">
        <f t="shared" si="16"/>
        <v>9</v>
      </c>
      <c r="D147" t="str">
        <f t="shared" si="23"/>
        <v>M1145 Movie_145</v>
      </c>
      <c r="E147" t="s">
        <v>1008</v>
      </c>
      <c r="F147" t="str">
        <f>TRIM(Table1[[#This Row],[Genre]])</f>
        <v>Horror</v>
      </c>
      <c r="G147">
        <v>99</v>
      </c>
      <c r="H147">
        <v>3.7</v>
      </c>
      <c r="I147" t="str" cm="1">
        <f t="array" ref="I147">_xlfn.IFS(H147&lt;4,"poor",H147&lt;7,"average",H147&lt;9,"good",TRUE,"excellent")</f>
        <v>poor</v>
      </c>
      <c r="J147" t="s">
        <v>1014</v>
      </c>
      <c r="K147" t="str">
        <f t="shared" si="17"/>
        <v>Jap</v>
      </c>
      <c r="L147">
        <v>2001</v>
      </c>
      <c r="M147" t="str">
        <f t="shared" si="18"/>
        <v>01</v>
      </c>
      <c r="N147" t="s">
        <v>1021</v>
      </c>
      <c r="O147" s="2">
        <v>43999</v>
      </c>
      <c r="Q147">
        <f t="shared" si="19"/>
        <v>5</v>
      </c>
      <c r="R147">
        <f t="shared" si="20"/>
        <v>46837</v>
      </c>
      <c r="U147" t="str">
        <f t="shared" si="21"/>
        <v>short</v>
      </c>
      <c r="V147" s="4">
        <f t="shared" ca="1" si="22"/>
        <v>45973.174535995371</v>
      </c>
    </row>
    <row r="148" spans="1:22" x14ac:dyDescent="0.25">
      <c r="A148" t="s">
        <v>154</v>
      </c>
      <c r="B148" t="s">
        <v>654</v>
      </c>
      <c r="C148">
        <f t="shared" si="16"/>
        <v>9</v>
      </c>
      <c r="D148" t="str">
        <f t="shared" si="23"/>
        <v>M1146 Movie_146</v>
      </c>
      <c r="E148" t="s">
        <v>1011</v>
      </c>
      <c r="F148" t="str">
        <f>TRIM(Table1[[#This Row],[Genre]])</f>
        <v>Comedy</v>
      </c>
      <c r="G148">
        <v>114</v>
      </c>
      <c r="H148">
        <v>7.7</v>
      </c>
      <c r="I148" t="str" cm="1">
        <f t="array" ref="I148">_xlfn.IFS(H148&lt;4,"poor",H148&lt;7,"average",H148&lt;9,"good",TRUE,"excellent")</f>
        <v>good</v>
      </c>
      <c r="J148" t="s">
        <v>1019</v>
      </c>
      <c r="K148" t="str">
        <f t="shared" si="17"/>
        <v>Ger</v>
      </c>
      <c r="L148">
        <v>2023</v>
      </c>
      <c r="M148" t="str">
        <f t="shared" si="18"/>
        <v>23</v>
      </c>
      <c r="N148" t="s">
        <v>1020</v>
      </c>
      <c r="O148" s="2">
        <v>44592</v>
      </c>
      <c r="Q148">
        <f t="shared" si="19"/>
        <v>5</v>
      </c>
      <c r="R148">
        <f t="shared" si="20"/>
        <v>46738</v>
      </c>
      <c r="U148" t="str">
        <f t="shared" si="21"/>
        <v>short</v>
      </c>
      <c r="V148" s="4">
        <f t="shared" ca="1" si="22"/>
        <v>45973.174535995371</v>
      </c>
    </row>
    <row r="149" spans="1:22" x14ac:dyDescent="0.25">
      <c r="A149" t="s">
        <v>155</v>
      </c>
      <c r="B149" t="s">
        <v>655</v>
      </c>
      <c r="C149">
        <f t="shared" si="16"/>
        <v>9</v>
      </c>
      <c r="D149" t="str">
        <f t="shared" si="23"/>
        <v>M1147 Movie_147</v>
      </c>
      <c r="E149" t="s">
        <v>1008</v>
      </c>
      <c r="F149" t="str">
        <f>TRIM(Table1[[#This Row],[Genre]])</f>
        <v>Horror</v>
      </c>
      <c r="G149">
        <v>76</v>
      </c>
      <c r="H149">
        <v>2.6</v>
      </c>
      <c r="I149" t="str" cm="1">
        <f t="array" ref="I149">_xlfn.IFS(H149&lt;4,"poor",H149&lt;7,"average",H149&lt;9,"good",TRUE,"excellent")</f>
        <v>poor</v>
      </c>
      <c r="J149" t="s">
        <v>1019</v>
      </c>
      <c r="K149" t="str">
        <f t="shared" si="17"/>
        <v>Ger</v>
      </c>
      <c r="L149">
        <v>1987</v>
      </c>
      <c r="M149" t="str">
        <f t="shared" si="18"/>
        <v>87</v>
      </c>
      <c r="N149" t="s">
        <v>1021</v>
      </c>
      <c r="O149" s="2">
        <v>45191</v>
      </c>
      <c r="Q149">
        <f t="shared" si="19"/>
        <v>5</v>
      </c>
      <c r="R149">
        <f t="shared" si="20"/>
        <v>46624</v>
      </c>
      <c r="U149" t="str">
        <f t="shared" si="21"/>
        <v>short</v>
      </c>
      <c r="V149" s="4">
        <f t="shared" ca="1" si="22"/>
        <v>45973.174535995371</v>
      </c>
    </row>
    <row r="150" spans="1:22" x14ac:dyDescent="0.25">
      <c r="A150" t="s">
        <v>156</v>
      </c>
      <c r="B150" t="s">
        <v>656</v>
      </c>
      <c r="C150">
        <f t="shared" si="16"/>
        <v>9</v>
      </c>
      <c r="D150" t="str">
        <f t="shared" si="23"/>
        <v>M1148 Movie_148</v>
      </c>
      <c r="E150" t="s">
        <v>1013</v>
      </c>
      <c r="F150" t="str">
        <f>TRIM(Table1[[#This Row],[Genre]])</f>
        <v>Thriller</v>
      </c>
      <c r="G150">
        <v>166</v>
      </c>
      <c r="H150">
        <v>2.2000000000000002</v>
      </c>
      <c r="I150" t="str" cm="1">
        <f t="array" ref="I150">_xlfn.IFS(H150&lt;4,"poor",H150&lt;7,"average",H150&lt;9,"good",TRUE,"excellent")</f>
        <v>poor</v>
      </c>
      <c r="J150" t="s">
        <v>1015</v>
      </c>
      <c r="K150" t="str">
        <f t="shared" si="17"/>
        <v>Hin</v>
      </c>
      <c r="L150">
        <v>2006</v>
      </c>
      <c r="M150" t="str">
        <f t="shared" si="18"/>
        <v>06</v>
      </c>
      <c r="N150" t="s">
        <v>1021</v>
      </c>
      <c r="O150" s="2">
        <v>45159</v>
      </c>
      <c r="Q150">
        <f t="shared" si="19"/>
        <v>5</v>
      </c>
      <c r="R150">
        <f t="shared" si="20"/>
        <v>46548</v>
      </c>
      <c r="U150" t="str">
        <f t="shared" si="21"/>
        <v>long</v>
      </c>
      <c r="V150" s="4">
        <f t="shared" ca="1" si="22"/>
        <v>45973.174535995371</v>
      </c>
    </row>
    <row r="151" spans="1:22" x14ac:dyDescent="0.25">
      <c r="A151" t="s">
        <v>157</v>
      </c>
      <c r="B151" t="s">
        <v>657</v>
      </c>
      <c r="C151">
        <f t="shared" si="16"/>
        <v>9</v>
      </c>
      <c r="D151" t="str">
        <f t="shared" si="23"/>
        <v>M1149 Movie_149</v>
      </c>
      <c r="E151" t="s">
        <v>1012</v>
      </c>
      <c r="F151" t="str">
        <f>TRIM(Table1[[#This Row],[Genre]])</f>
        <v>Sci-Fi</v>
      </c>
      <c r="G151">
        <v>164</v>
      </c>
      <c r="H151">
        <v>5.9</v>
      </c>
      <c r="I151" t="str" cm="1">
        <f t="array" ref="I151">_xlfn.IFS(H151&lt;4,"poor",H151&lt;7,"average",H151&lt;9,"good",TRUE,"excellent")</f>
        <v>average</v>
      </c>
      <c r="J151" t="s">
        <v>1018</v>
      </c>
      <c r="K151" t="str">
        <f t="shared" si="17"/>
        <v>Eng</v>
      </c>
      <c r="L151">
        <v>2017</v>
      </c>
      <c r="M151" t="str">
        <f t="shared" si="18"/>
        <v>17</v>
      </c>
      <c r="N151" t="s">
        <v>1020</v>
      </c>
      <c r="O151" s="2">
        <v>44169</v>
      </c>
      <c r="Q151">
        <f t="shared" si="19"/>
        <v>5</v>
      </c>
      <c r="R151">
        <f t="shared" si="20"/>
        <v>46382</v>
      </c>
      <c r="U151" t="str">
        <f t="shared" si="21"/>
        <v>long</v>
      </c>
      <c r="V151" s="4">
        <f t="shared" ca="1" si="22"/>
        <v>45973.174535995371</v>
      </c>
    </row>
    <row r="152" spans="1:22" x14ac:dyDescent="0.25">
      <c r="A152" t="s">
        <v>158</v>
      </c>
      <c r="B152" t="s">
        <v>658</v>
      </c>
      <c r="C152">
        <f t="shared" si="16"/>
        <v>9</v>
      </c>
      <c r="D152" t="str">
        <f t="shared" si="23"/>
        <v>M1150 Movie_150</v>
      </c>
      <c r="E152" t="s">
        <v>1009</v>
      </c>
      <c r="F152" t="str">
        <f>TRIM(Table1[[#This Row],[Genre]])</f>
        <v>Action</v>
      </c>
      <c r="G152">
        <v>144</v>
      </c>
      <c r="H152">
        <v>9.6999999999999993</v>
      </c>
      <c r="I152" t="str" cm="1">
        <f t="array" ref="I152">_xlfn.IFS(H152&lt;4,"poor",H152&lt;7,"average",H152&lt;9,"good",TRUE,"excellent")</f>
        <v>excellent</v>
      </c>
      <c r="J152" t="s">
        <v>1018</v>
      </c>
      <c r="K152" t="str">
        <f t="shared" si="17"/>
        <v>Eng</v>
      </c>
      <c r="L152">
        <v>1999</v>
      </c>
      <c r="M152" t="str">
        <f t="shared" si="18"/>
        <v>99</v>
      </c>
      <c r="N152" t="s">
        <v>1020</v>
      </c>
      <c r="O152" s="2">
        <v>43937</v>
      </c>
      <c r="Q152">
        <f t="shared" si="19"/>
        <v>5</v>
      </c>
      <c r="R152">
        <f t="shared" si="20"/>
        <v>46218</v>
      </c>
      <c r="U152" t="str">
        <f t="shared" si="21"/>
        <v>long</v>
      </c>
      <c r="V152" s="4">
        <f t="shared" ca="1" si="22"/>
        <v>45973.174535995371</v>
      </c>
    </row>
    <row r="153" spans="1:22" x14ac:dyDescent="0.25">
      <c r="A153" t="s">
        <v>159</v>
      </c>
      <c r="B153" t="s">
        <v>659</v>
      </c>
      <c r="C153">
        <f t="shared" si="16"/>
        <v>9</v>
      </c>
      <c r="D153" t="str">
        <f t="shared" si="23"/>
        <v>M1151 Movie_151</v>
      </c>
      <c r="E153" t="s">
        <v>1013</v>
      </c>
      <c r="F153" t="str">
        <f>TRIM(Table1[[#This Row],[Genre]])</f>
        <v>Thriller</v>
      </c>
      <c r="G153">
        <v>198</v>
      </c>
      <c r="H153">
        <v>5.8</v>
      </c>
      <c r="I153" t="str" cm="1">
        <f t="array" ref="I153">_xlfn.IFS(H153&lt;4,"poor",H153&lt;7,"average",H153&lt;9,"good",TRUE,"excellent")</f>
        <v>average</v>
      </c>
      <c r="J153" t="s">
        <v>1018</v>
      </c>
      <c r="K153" t="str">
        <f t="shared" si="17"/>
        <v>Eng</v>
      </c>
      <c r="L153">
        <v>2024</v>
      </c>
      <c r="M153" t="str">
        <f t="shared" si="18"/>
        <v>24</v>
      </c>
      <c r="N153" t="s">
        <v>1021</v>
      </c>
      <c r="O153" s="2">
        <v>44642</v>
      </c>
      <c r="Q153">
        <f t="shared" si="19"/>
        <v>5</v>
      </c>
      <c r="R153">
        <f t="shared" si="20"/>
        <v>46074</v>
      </c>
      <c r="U153" t="str">
        <f t="shared" si="21"/>
        <v>long</v>
      </c>
      <c r="V153" s="4">
        <f t="shared" ca="1" si="22"/>
        <v>45973.174535995371</v>
      </c>
    </row>
    <row r="154" spans="1:22" x14ac:dyDescent="0.25">
      <c r="A154" t="s">
        <v>160</v>
      </c>
      <c r="B154" t="s">
        <v>660</v>
      </c>
      <c r="C154">
        <f t="shared" si="16"/>
        <v>9</v>
      </c>
      <c r="D154" t="str">
        <f t="shared" si="23"/>
        <v>M1152 Movie_152</v>
      </c>
      <c r="E154" t="s">
        <v>1013</v>
      </c>
      <c r="F154" t="str">
        <f>TRIM(Table1[[#This Row],[Genre]])</f>
        <v>Thriller</v>
      </c>
      <c r="G154">
        <v>179</v>
      </c>
      <c r="H154">
        <v>9.1999999999999993</v>
      </c>
      <c r="I154" t="str" cm="1">
        <f t="array" ref="I154">_xlfn.IFS(H154&lt;4,"poor",H154&lt;7,"average",H154&lt;9,"good",TRUE,"excellent")</f>
        <v>excellent</v>
      </c>
      <c r="J154" t="s">
        <v>1017</v>
      </c>
      <c r="K154" t="str">
        <f t="shared" si="17"/>
        <v>Fre</v>
      </c>
      <c r="L154">
        <v>2020</v>
      </c>
      <c r="M154" t="str">
        <f t="shared" si="18"/>
        <v>20</v>
      </c>
      <c r="N154" t="s">
        <v>1020</v>
      </c>
      <c r="O154" s="2">
        <v>45112</v>
      </c>
      <c r="Q154">
        <f t="shared" si="19"/>
        <v>5</v>
      </c>
      <c r="R154">
        <f t="shared" si="20"/>
        <v>45876</v>
      </c>
      <c r="U154" t="str">
        <f t="shared" si="21"/>
        <v>long</v>
      </c>
      <c r="V154" s="4">
        <f t="shared" ca="1" si="22"/>
        <v>45973.174535995371</v>
      </c>
    </row>
    <row r="155" spans="1:22" x14ac:dyDescent="0.25">
      <c r="A155" t="s">
        <v>161</v>
      </c>
      <c r="B155" t="s">
        <v>661</v>
      </c>
      <c r="C155">
        <f t="shared" si="16"/>
        <v>9</v>
      </c>
      <c r="D155" t="str">
        <f t="shared" si="23"/>
        <v>M1153 Movie_153</v>
      </c>
      <c r="E155" t="s">
        <v>1012</v>
      </c>
      <c r="F155" t="str">
        <f>TRIM(Table1[[#This Row],[Genre]])</f>
        <v>Sci-Fi</v>
      </c>
      <c r="G155">
        <v>166</v>
      </c>
      <c r="H155">
        <v>8.5</v>
      </c>
      <c r="I155" t="str" cm="1">
        <f t="array" ref="I155">_xlfn.IFS(H155&lt;4,"poor",H155&lt;7,"average",H155&lt;9,"good",TRUE,"excellent")</f>
        <v>good</v>
      </c>
      <c r="J155" t="s">
        <v>1016</v>
      </c>
      <c r="K155" t="str">
        <f t="shared" si="17"/>
        <v>Spa</v>
      </c>
      <c r="L155">
        <v>1981</v>
      </c>
      <c r="M155" t="str">
        <f t="shared" si="18"/>
        <v>81</v>
      </c>
      <c r="N155" t="s">
        <v>1020</v>
      </c>
      <c r="O155" s="2">
        <v>44456</v>
      </c>
      <c r="Q155">
        <f t="shared" si="19"/>
        <v>5</v>
      </c>
      <c r="R155">
        <f t="shared" si="20"/>
        <v>45697</v>
      </c>
      <c r="U155" t="str">
        <f t="shared" si="21"/>
        <v>long</v>
      </c>
      <c r="V155" s="4">
        <f t="shared" ca="1" si="22"/>
        <v>45973.174535995371</v>
      </c>
    </row>
    <row r="156" spans="1:22" x14ac:dyDescent="0.25">
      <c r="A156" t="s">
        <v>162</v>
      </c>
      <c r="B156" t="s">
        <v>662</v>
      </c>
      <c r="C156">
        <f t="shared" si="16"/>
        <v>9</v>
      </c>
      <c r="D156" t="str">
        <f t="shared" si="23"/>
        <v>M1154 Movie_154</v>
      </c>
      <c r="E156" t="s">
        <v>1013</v>
      </c>
      <c r="F156" t="str">
        <f>TRIM(Table1[[#This Row],[Genre]])</f>
        <v>Thriller</v>
      </c>
      <c r="G156">
        <v>75</v>
      </c>
      <c r="H156">
        <v>3.3</v>
      </c>
      <c r="I156" t="str" cm="1">
        <f t="array" ref="I156">_xlfn.IFS(H156&lt;4,"poor",H156&lt;7,"average",H156&lt;9,"good",TRUE,"excellent")</f>
        <v>poor</v>
      </c>
      <c r="J156" t="s">
        <v>1016</v>
      </c>
      <c r="K156" t="str">
        <f t="shared" si="17"/>
        <v>Spa</v>
      </c>
      <c r="L156">
        <v>2018</v>
      </c>
      <c r="M156" t="str">
        <f t="shared" si="18"/>
        <v>18</v>
      </c>
      <c r="N156" t="s">
        <v>1021</v>
      </c>
      <c r="O156" s="2">
        <v>45317</v>
      </c>
      <c r="Q156">
        <f t="shared" si="19"/>
        <v>5</v>
      </c>
      <c r="R156">
        <f t="shared" si="20"/>
        <v>45531</v>
      </c>
      <c r="U156" t="str">
        <f t="shared" si="21"/>
        <v>short</v>
      </c>
      <c r="V156" s="4">
        <f t="shared" ca="1" si="22"/>
        <v>45973.174535995371</v>
      </c>
    </row>
    <row r="157" spans="1:22" x14ac:dyDescent="0.25">
      <c r="A157" t="s">
        <v>163</v>
      </c>
      <c r="B157" t="s">
        <v>663</v>
      </c>
      <c r="C157">
        <f t="shared" si="16"/>
        <v>9</v>
      </c>
      <c r="D157" t="str">
        <f t="shared" si="23"/>
        <v>M1155 Movie_155</v>
      </c>
      <c r="E157" t="s">
        <v>1012</v>
      </c>
      <c r="F157" t="str">
        <f>TRIM(Table1[[#This Row],[Genre]])</f>
        <v>Sci-Fi</v>
      </c>
      <c r="G157">
        <v>112</v>
      </c>
      <c r="H157">
        <v>8.4</v>
      </c>
      <c r="I157" t="str" cm="1">
        <f t="array" ref="I157">_xlfn.IFS(H157&lt;4,"poor",H157&lt;7,"average",H157&lt;9,"good",TRUE,"excellent")</f>
        <v>good</v>
      </c>
      <c r="J157" t="s">
        <v>1015</v>
      </c>
      <c r="K157" t="str">
        <f t="shared" si="17"/>
        <v>Hin</v>
      </c>
      <c r="L157">
        <v>2010</v>
      </c>
      <c r="M157" t="str">
        <f t="shared" si="18"/>
        <v>10</v>
      </c>
      <c r="N157" t="s">
        <v>1021</v>
      </c>
      <c r="O157" s="2">
        <v>45263</v>
      </c>
      <c r="Q157">
        <f t="shared" si="19"/>
        <v>5</v>
      </c>
      <c r="R157">
        <f t="shared" si="20"/>
        <v>45456</v>
      </c>
      <c r="U157" t="str">
        <f t="shared" si="21"/>
        <v>short</v>
      </c>
      <c r="V157" s="4">
        <f t="shared" ca="1" si="22"/>
        <v>45973.174535995371</v>
      </c>
    </row>
    <row r="158" spans="1:22" x14ac:dyDescent="0.25">
      <c r="A158" t="s">
        <v>164</v>
      </c>
      <c r="B158" t="s">
        <v>664</v>
      </c>
      <c r="C158">
        <f t="shared" si="16"/>
        <v>9</v>
      </c>
      <c r="D158" t="str">
        <f t="shared" si="23"/>
        <v>M1156 Movie_156</v>
      </c>
      <c r="E158" t="s">
        <v>1010</v>
      </c>
      <c r="F158" t="str">
        <f>TRIM(Table1[[#This Row],[Genre]])</f>
        <v>Drama</v>
      </c>
      <c r="G158">
        <v>167</v>
      </c>
      <c r="H158">
        <v>5.3</v>
      </c>
      <c r="I158" t="str" cm="1">
        <f t="array" ref="I158">_xlfn.IFS(H158&lt;4,"poor",H158&lt;7,"average",H158&lt;9,"good",TRUE,"excellent")</f>
        <v>average</v>
      </c>
      <c r="J158" t="s">
        <v>1014</v>
      </c>
      <c r="K158" t="str">
        <f t="shared" si="17"/>
        <v>Jap</v>
      </c>
      <c r="L158">
        <v>1996</v>
      </c>
      <c r="M158" t="str">
        <f t="shared" si="18"/>
        <v>96</v>
      </c>
      <c r="N158" t="s">
        <v>1020</v>
      </c>
      <c r="O158" s="2">
        <v>45377</v>
      </c>
      <c r="Q158">
        <f t="shared" si="19"/>
        <v>5</v>
      </c>
      <c r="R158">
        <f t="shared" si="20"/>
        <v>45344</v>
      </c>
      <c r="U158" t="str">
        <f t="shared" si="21"/>
        <v>long</v>
      </c>
      <c r="V158" s="4">
        <f t="shared" ca="1" si="22"/>
        <v>45973.174535995371</v>
      </c>
    </row>
    <row r="159" spans="1:22" x14ac:dyDescent="0.25">
      <c r="A159" t="s">
        <v>165</v>
      </c>
      <c r="B159" t="s">
        <v>665</v>
      </c>
      <c r="C159">
        <f t="shared" si="16"/>
        <v>9</v>
      </c>
      <c r="D159" t="str">
        <f t="shared" si="23"/>
        <v>M1157 Movie_157</v>
      </c>
      <c r="E159" t="s">
        <v>1012</v>
      </c>
      <c r="F159" t="str">
        <f>TRIM(Table1[[#This Row],[Genre]])</f>
        <v>Sci-Fi</v>
      </c>
      <c r="G159">
        <v>159</v>
      </c>
      <c r="H159">
        <v>8.3000000000000007</v>
      </c>
      <c r="I159" t="str" cm="1">
        <f t="array" ref="I159">_xlfn.IFS(H159&lt;4,"poor",H159&lt;7,"average",H159&lt;9,"good",TRUE,"excellent")</f>
        <v>good</v>
      </c>
      <c r="J159" t="s">
        <v>1015</v>
      </c>
      <c r="K159" t="str">
        <f t="shared" si="17"/>
        <v>Hin</v>
      </c>
      <c r="L159">
        <v>2021</v>
      </c>
      <c r="M159" t="str">
        <f t="shared" si="18"/>
        <v>21</v>
      </c>
      <c r="N159" t="s">
        <v>1021</v>
      </c>
      <c r="O159" s="2">
        <v>44310</v>
      </c>
      <c r="Q159">
        <f t="shared" si="19"/>
        <v>5</v>
      </c>
      <c r="R159">
        <f t="shared" si="20"/>
        <v>45177</v>
      </c>
      <c r="U159" t="str">
        <f t="shared" si="21"/>
        <v>long</v>
      </c>
      <c r="V159" s="4">
        <f t="shared" ca="1" si="22"/>
        <v>45973.174535995371</v>
      </c>
    </row>
    <row r="160" spans="1:22" x14ac:dyDescent="0.25">
      <c r="A160" t="s">
        <v>166</v>
      </c>
      <c r="B160" t="s">
        <v>666</v>
      </c>
      <c r="C160">
        <f t="shared" si="16"/>
        <v>9</v>
      </c>
      <c r="D160" t="str">
        <f t="shared" si="23"/>
        <v>M1158 Movie_158</v>
      </c>
      <c r="E160" t="s">
        <v>1009</v>
      </c>
      <c r="F160" t="str">
        <f>TRIM(Table1[[#This Row],[Genre]])</f>
        <v>Action</v>
      </c>
      <c r="G160">
        <v>65</v>
      </c>
      <c r="H160">
        <v>7.7</v>
      </c>
      <c r="I160" t="str" cm="1">
        <f t="array" ref="I160">_xlfn.IFS(H160&lt;4,"poor",H160&lt;7,"average",H160&lt;9,"good",TRUE,"excellent")</f>
        <v>good</v>
      </c>
      <c r="J160" t="s">
        <v>1015</v>
      </c>
      <c r="K160" t="str">
        <f t="shared" si="17"/>
        <v>Hin</v>
      </c>
      <c r="L160">
        <v>2017</v>
      </c>
      <c r="M160" t="str">
        <f t="shared" si="18"/>
        <v>17</v>
      </c>
      <c r="N160" t="s">
        <v>1020</v>
      </c>
      <c r="O160" s="2">
        <v>44710</v>
      </c>
      <c r="Q160">
        <f t="shared" si="19"/>
        <v>5</v>
      </c>
      <c r="R160">
        <f t="shared" si="20"/>
        <v>45018</v>
      </c>
      <c r="U160" t="str">
        <f t="shared" si="21"/>
        <v>short</v>
      </c>
      <c r="V160" s="4">
        <f t="shared" ca="1" si="22"/>
        <v>45973.174535995371</v>
      </c>
    </row>
    <row r="161" spans="1:22" x14ac:dyDescent="0.25">
      <c r="A161" t="s">
        <v>167</v>
      </c>
      <c r="B161" t="s">
        <v>667</v>
      </c>
      <c r="C161">
        <f t="shared" si="16"/>
        <v>9</v>
      </c>
      <c r="D161" t="str">
        <f t="shared" si="23"/>
        <v>M1159 Movie_159</v>
      </c>
      <c r="E161" t="s">
        <v>1008</v>
      </c>
      <c r="F161" t="str">
        <f>TRIM(Table1[[#This Row],[Genre]])</f>
        <v>Horror</v>
      </c>
      <c r="G161">
        <v>157</v>
      </c>
      <c r="H161">
        <v>4</v>
      </c>
      <c r="I161" t="str" cm="1">
        <f t="array" ref="I161">_xlfn.IFS(H161&lt;4,"poor",H161&lt;7,"average",H161&lt;9,"good",TRUE,"excellent")</f>
        <v>average</v>
      </c>
      <c r="J161" t="s">
        <v>1019</v>
      </c>
      <c r="K161" t="str">
        <f t="shared" si="17"/>
        <v>Ger</v>
      </c>
      <c r="L161">
        <v>2016</v>
      </c>
      <c r="M161" t="str">
        <f t="shared" si="18"/>
        <v>16</v>
      </c>
      <c r="N161" t="s">
        <v>1020</v>
      </c>
      <c r="O161" s="2">
        <v>45173</v>
      </c>
      <c r="Q161">
        <f t="shared" si="19"/>
        <v>5</v>
      </c>
      <c r="R161">
        <f t="shared" si="20"/>
        <v>44953</v>
      </c>
      <c r="U161" t="str">
        <f t="shared" si="21"/>
        <v>long</v>
      </c>
      <c r="V161" s="4">
        <f t="shared" ca="1" si="22"/>
        <v>45973.174535995371</v>
      </c>
    </row>
    <row r="162" spans="1:22" x14ac:dyDescent="0.25">
      <c r="A162" t="s">
        <v>168</v>
      </c>
      <c r="B162" t="s">
        <v>668</v>
      </c>
      <c r="C162">
        <f t="shared" si="16"/>
        <v>9</v>
      </c>
      <c r="D162" t="str">
        <f t="shared" si="23"/>
        <v>M1160 Movie_160</v>
      </c>
      <c r="E162" t="s">
        <v>1008</v>
      </c>
      <c r="F162" t="str">
        <f>TRIM(Table1[[#This Row],[Genre]])</f>
        <v>Horror</v>
      </c>
      <c r="G162">
        <v>182</v>
      </c>
      <c r="H162">
        <v>2</v>
      </c>
      <c r="I162" t="str" cm="1">
        <f t="array" ref="I162">_xlfn.IFS(H162&lt;4,"poor",H162&lt;7,"average",H162&lt;9,"good",TRUE,"excellent")</f>
        <v>poor</v>
      </c>
      <c r="J162" t="s">
        <v>1018</v>
      </c>
      <c r="K162" t="str">
        <f t="shared" si="17"/>
        <v>Eng</v>
      </c>
      <c r="L162">
        <v>1994</v>
      </c>
      <c r="M162" t="str">
        <f t="shared" si="18"/>
        <v>94</v>
      </c>
      <c r="N162" t="s">
        <v>1020</v>
      </c>
      <c r="O162" s="2">
        <v>44017</v>
      </c>
      <c r="Q162">
        <f t="shared" si="19"/>
        <v>5</v>
      </c>
      <c r="R162">
        <f t="shared" si="20"/>
        <v>44796</v>
      </c>
      <c r="U162" t="str">
        <f t="shared" si="21"/>
        <v>long</v>
      </c>
      <c r="V162" s="4">
        <f t="shared" ca="1" si="22"/>
        <v>45973.174535995371</v>
      </c>
    </row>
    <row r="163" spans="1:22" x14ac:dyDescent="0.25">
      <c r="A163" t="s">
        <v>169</v>
      </c>
      <c r="B163" t="s">
        <v>669</v>
      </c>
      <c r="C163">
        <f t="shared" si="16"/>
        <v>9</v>
      </c>
      <c r="D163" t="str">
        <f t="shared" si="23"/>
        <v>M1161 Movie_161</v>
      </c>
      <c r="E163" t="s">
        <v>1009</v>
      </c>
      <c r="F163" t="str">
        <f>TRIM(Table1[[#This Row],[Genre]])</f>
        <v>Action</v>
      </c>
      <c r="G163">
        <v>61</v>
      </c>
      <c r="H163">
        <v>9.6999999999999993</v>
      </c>
      <c r="I163" t="str" cm="1">
        <f t="array" ref="I163">_xlfn.IFS(H163&lt;4,"poor",H163&lt;7,"average",H163&lt;9,"good",TRUE,"excellent")</f>
        <v>excellent</v>
      </c>
      <c r="J163" t="s">
        <v>1017</v>
      </c>
      <c r="K163" t="str">
        <f t="shared" si="17"/>
        <v>Fre</v>
      </c>
      <c r="L163">
        <v>1983</v>
      </c>
      <c r="M163" t="str">
        <f t="shared" si="18"/>
        <v>83</v>
      </c>
      <c r="N163" t="s">
        <v>1020</v>
      </c>
      <c r="O163" s="2">
        <v>45272</v>
      </c>
      <c r="Q163">
        <f t="shared" si="19"/>
        <v>5</v>
      </c>
      <c r="R163">
        <f t="shared" si="20"/>
        <v>44614</v>
      </c>
      <c r="U163" t="str">
        <f t="shared" si="21"/>
        <v>short</v>
      </c>
      <c r="V163" s="4">
        <f t="shared" ca="1" si="22"/>
        <v>45973.174535995371</v>
      </c>
    </row>
    <row r="164" spans="1:22" x14ac:dyDescent="0.25">
      <c r="A164" t="s">
        <v>170</v>
      </c>
      <c r="B164" t="s">
        <v>670</v>
      </c>
      <c r="C164">
        <f t="shared" si="16"/>
        <v>9</v>
      </c>
      <c r="D164" t="str">
        <f t="shared" si="23"/>
        <v>M1162 Movie_162</v>
      </c>
      <c r="E164" t="s">
        <v>1008</v>
      </c>
      <c r="F164" t="str">
        <f>TRIM(Table1[[#This Row],[Genre]])</f>
        <v>Horror</v>
      </c>
      <c r="G164">
        <v>150</v>
      </c>
      <c r="H164">
        <v>2.2999999999999998</v>
      </c>
      <c r="I164" t="str" cm="1">
        <f t="array" ref="I164">_xlfn.IFS(H164&lt;4,"poor",H164&lt;7,"average",H164&lt;9,"good",TRUE,"excellent")</f>
        <v>poor</v>
      </c>
      <c r="J164" t="s">
        <v>1016</v>
      </c>
      <c r="K164" t="str">
        <f t="shared" si="17"/>
        <v>Spa</v>
      </c>
      <c r="L164">
        <v>2017</v>
      </c>
      <c r="M164" t="str">
        <f t="shared" si="18"/>
        <v>17</v>
      </c>
      <c r="N164" t="s">
        <v>1020</v>
      </c>
      <c r="O164" s="2">
        <v>44025</v>
      </c>
      <c r="Q164">
        <f t="shared" si="19"/>
        <v>5</v>
      </c>
      <c r="R164">
        <f t="shared" si="20"/>
        <v>44553</v>
      </c>
      <c r="U164" t="str">
        <f t="shared" si="21"/>
        <v>long</v>
      </c>
      <c r="V164" s="4">
        <f t="shared" ca="1" si="22"/>
        <v>45973.174535995371</v>
      </c>
    </row>
    <row r="165" spans="1:22" x14ac:dyDescent="0.25">
      <c r="A165" t="s">
        <v>171</v>
      </c>
      <c r="B165" t="s">
        <v>671</v>
      </c>
      <c r="C165">
        <f t="shared" si="16"/>
        <v>9</v>
      </c>
      <c r="D165" t="str">
        <f t="shared" si="23"/>
        <v>M1163 Movie_163</v>
      </c>
      <c r="E165" t="s">
        <v>1012</v>
      </c>
      <c r="F165" t="str">
        <f>TRIM(Table1[[#This Row],[Genre]])</f>
        <v>Sci-Fi</v>
      </c>
      <c r="G165">
        <v>136</v>
      </c>
      <c r="H165">
        <v>9.6999999999999993</v>
      </c>
      <c r="I165" t="str" cm="1">
        <f t="array" ref="I165">_xlfn.IFS(H165&lt;4,"poor",H165&lt;7,"average",H165&lt;9,"good",TRUE,"excellent")</f>
        <v>excellent</v>
      </c>
      <c r="J165" t="s">
        <v>1017</v>
      </c>
      <c r="K165" t="str">
        <f t="shared" si="17"/>
        <v>Fre</v>
      </c>
      <c r="L165">
        <v>2010</v>
      </c>
      <c r="M165" t="str">
        <f t="shared" si="18"/>
        <v>10</v>
      </c>
      <c r="N165" t="s">
        <v>1020</v>
      </c>
      <c r="O165" s="2">
        <v>43833</v>
      </c>
      <c r="Q165">
        <f t="shared" si="19"/>
        <v>5</v>
      </c>
      <c r="R165">
        <f t="shared" si="20"/>
        <v>44403</v>
      </c>
      <c r="U165" t="str">
        <f t="shared" si="21"/>
        <v>long</v>
      </c>
      <c r="V165" s="4">
        <f t="shared" ca="1" si="22"/>
        <v>45973.174535995371</v>
      </c>
    </row>
    <row r="166" spans="1:22" x14ac:dyDescent="0.25">
      <c r="A166" t="s">
        <v>172</v>
      </c>
      <c r="B166" t="s">
        <v>672</v>
      </c>
      <c r="C166">
        <f t="shared" si="16"/>
        <v>9</v>
      </c>
      <c r="D166" t="str">
        <f t="shared" si="23"/>
        <v>M1164 Movie_164</v>
      </c>
      <c r="E166" t="s">
        <v>1010</v>
      </c>
      <c r="F166" t="str">
        <f>TRIM(Table1[[#This Row],[Genre]])</f>
        <v>Drama</v>
      </c>
      <c r="G166">
        <v>159</v>
      </c>
      <c r="H166">
        <v>8.6999999999999993</v>
      </c>
      <c r="I166" t="str" cm="1">
        <f t="array" ref="I166">_xlfn.IFS(H166&lt;4,"poor",H166&lt;7,"average",H166&lt;9,"good",TRUE,"excellent")</f>
        <v>good</v>
      </c>
      <c r="J166" t="s">
        <v>1018</v>
      </c>
      <c r="K166" t="str">
        <f t="shared" si="17"/>
        <v>Eng</v>
      </c>
      <c r="L166">
        <v>1990</v>
      </c>
      <c r="M166" t="str">
        <f t="shared" si="18"/>
        <v>90</v>
      </c>
      <c r="N166" t="s">
        <v>1021</v>
      </c>
      <c r="O166" s="2">
        <v>44268</v>
      </c>
      <c r="Q166">
        <f t="shared" si="19"/>
        <v>5</v>
      </c>
      <c r="R166">
        <f t="shared" si="20"/>
        <v>44267</v>
      </c>
      <c r="U166" t="str">
        <f t="shared" si="21"/>
        <v>long</v>
      </c>
      <c r="V166" s="4">
        <f t="shared" ca="1" si="22"/>
        <v>45973.174535995371</v>
      </c>
    </row>
    <row r="167" spans="1:22" x14ac:dyDescent="0.25">
      <c r="A167" t="s">
        <v>173</v>
      </c>
      <c r="B167" t="s">
        <v>673</v>
      </c>
      <c r="C167">
        <f t="shared" si="16"/>
        <v>9</v>
      </c>
      <c r="D167" t="str">
        <f t="shared" si="23"/>
        <v>M1165 Movie_165</v>
      </c>
      <c r="E167" t="s">
        <v>1008</v>
      </c>
      <c r="F167" t="str">
        <f>TRIM(Table1[[#This Row],[Genre]])</f>
        <v>Horror</v>
      </c>
      <c r="G167">
        <v>167</v>
      </c>
      <c r="H167">
        <v>7.5</v>
      </c>
      <c r="I167" t="str" cm="1">
        <f t="array" ref="I167">_xlfn.IFS(H167&lt;4,"poor",H167&lt;7,"average",H167&lt;9,"good",TRUE,"excellent")</f>
        <v>good</v>
      </c>
      <c r="J167" t="s">
        <v>1018</v>
      </c>
      <c r="K167" t="str">
        <f t="shared" si="17"/>
        <v>Eng</v>
      </c>
      <c r="L167">
        <v>2013</v>
      </c>
      <c r="M167" t="str">
        <f t="shared" si="18"/>
        <v>13</v>
      </c>
      <c r="N167" t="s">
        <v>1021</v>
      </c>
      <c r="O167" s="2">
        <v>44807</v>
      </c>
      <c r="Q167">
        <f t="shared" si="19"/>
        <v>5</v>
      </c>
      <c r="R167">
        <f t="shared" si="20"/>
        <v>44108</v>
      </c>
      <c r="U167" t="str">
        <f t="shared" si="21"/>
        <v>long</v>
      </c>
      <c r="V167" s="4">
        <f t="shared" ca="1" si="22"/>
        <v>45973.174535995371</v>
      </c>
    </row>
    <row r="168" spans="1:22" x14ac:dyDescent="0.25">
      <c r="A168" t="s">
        <v>174</v>
      </c>
      <c r="B168" t="s">
        <v>674</v>
      </c>
      <c r="C168">
        <f t="shared" si="16"/>
        <v>9</v>
      </c>
      <c r="D168" t="str">
        <f t="shared" si="23"/>
        <v>M1166 Movie_166</v>
      </c>
      <c r="E168" t="s">
        <v>1010</v>
      </c>
      <c r="F168" t="str">
        <f>TRIM(Table1[[#This Row],[Genre]])</f>
        <v>Drama</v>
      </c>
      <c r="G168">
        <v>197</v>
      </c>
      <c r="H168">
        <v>9.8000000000000007</v>
      </c>
      <c r="I168" t="str" cm="1">
        <f t="array" ref="I168">_xlfn.IFS(H168&lt;4,"poor",H168&lt;7,"average",H168&lt;9,"good",TRUE,"excellent")</f>
        <v>excellent</v>
      </c>
      <c r="J168" t="s">
        <v>1016</v>
      </c>
      <c r="K168" t="str">
        <f t="shared" si="17"/>
        <v>Spa</v>
      </c>
      <c r="L168">
        <v>2020</v>
      </c>
      <c r="M168" t="str">
        <f t="shared" si="18"/>
        <v>20</v>
      </c>
      <c r="N168" t="s">
        <v>1021</v>
      </c>
      <c r="O168" s="2">
        <v>43990</v>
      </c>
      <c r="Q168">
        <f t="shared" si="19"/>
        <v>5</v>
      </c>
      <c r="R168">
        <f t="shared" si="20"/>
        <v>43941</v>
      </c>
      <c r="U168" t="str">
        <f t="shared" si="21"/>
        <v>long</v>
      </c>
      <c r="V168" s="4">
        <f t="shared" ca="1" si="22"/>
        <v>45973.174535995371</v>
      </c>
    </row>
    <row r="169" spans="1:22" x14ac:dyDescent="0.25">
      <c r="A169" t="s">
        <v>175</v>
      </c>
      <c r="B169" t="s">
        <v>675</v>
      </c>
      <c r="C169">
        <f t="shared" si="16"/>
        <v>9</v>
      </c>
      <c r="D169" t="str">
        <f t="shared" si="23"/>
        <v>M1167 Movie_167</v>
      </c>
      <c r="E169" t="s">
        <v>1009</v>
      </c>
      <c r="F169" t="str">
        <f>TRIM(Table1[[#This Row],[Genre]])</f>
        <v>Action</v>
      </c>
      <c r="G169">
        <v>199</v>
      </c>
      <c r="H169">
        <v>9.6999999999999993</v>
      </c>
      <c r="I169" t="str" cm="1">
        <f t="array" ref="I169">_xlfn.IFS(H169&lt;4,"poor",H169&lt;7,"average",H169&lt;9,"good",TRUE,"excellent")</f>
        <v>excellent</v>
      </c>
      <c r="J169" t="s">
        <v>1019</v>
      </c>
      <c r="K169" t="str">
        <f t="shared" si="17"/>
        <v>Ger</v>
      </c>
      <c r="L169">
        <v>2019</v>
      </c>
      <c r="M169" t="str">
        <f t="shared" si="18"/>
        <v>19</v>
      </c>
      <c r="N169" t="s">
        <v>1021</v>
      </c>
      <c r="O169" s="2">
        <v>44102</v>
      </c>
      <c r="Q169">
        <f t="shared" si="19"/>
        <v>5</v>
      </c>
      <c r="R169">
        <f t="shared" si="20"/>
        <v>43744</v>
      </c>
      <c r="U169" t="str">
        <f t="shared" si="21"/>
        <v>long</v>
      </c>
      <c r="V169" s="4">
        <f t="shared" ca="1" si="22"/>
        <v>45973.174535995371</v>
      </c>
    </row>
    <row r="170" spans="1:22" x14ac:dyDescent="0.25">
      <c r="A170" t="s">
        <v>176</v>
      </c>
      <c r="B170" t="s">
        <v>676</v>
      </c>
      <c r="C170">
        <f t="shared" si="16"/>
        <v>9</v>
      </c>
      <c r="D170" t="str">
        <f t="shared" si="23"/>
        <v>M1168 Movie_168</v>
      </c>
      <c r="E170" t="s">
        <v>1010</v>
      </c>
      <c r="F170" t="str">
        <f>TRIM(Table1[[#This Row],[Genre]])</f>
        <v>Drama</v>
      </c>
      <c r="G170">
        <v>116</v>
      </c>
      <c r="H170">
        <v>8.1999999999999993</v>
      </c>
      <c r="I170" t="str" cm="1">
        <f t="array" ref="I170">_xlfn.IFS(H170&lt;4,"poor",H170&lt;7,"average",H170&lt;9,"good",TRUE,"excellent")</f>
        <v>good</v>
      </c>
      <c r="J170" t="s">
        <v>1014</v>
      </c>
      <c r="K170" t="str">
        <f t="shared" si="17"/>
        <v>Jap</v>
      </c>
      <c r="L170">
        <v>2004</v>
      </c>
      <c r="M170" t="str">
        <f t="shared" si="18"/>
        <v>04</v>
      </c>
      <c r="N170" t="s">
        <v>1020</v>
      </c>
      <c r="O170" s="2">
        <v>45046</v>
      </c>
      <c r="Q170">
        <f t="shared" si="19"/>
        <v>5</v>
      </c>
      <c r="R170">
        <f t="shared" si="20"/>
        <v>43545</v>
      </c>
      <c r="U170" t="str">
        <f t="shared" si="21"/>
        <v>short</v>
      </c>
      <c r="V170" s="4">
        <f t="shared" ca="1" si="22"/>
        <v>45973.174535995371</v>
      </c>
    </row>
    <row r="171" spans="1:22" x14ac:dyDescent="0.25">
      <c r="A171" t="s">
        <v>177</v>
      </c>
      <c r="B171" t="s">
        <v>677</v>
      </c>
      <c r="C171">
        <f t="shared" si="16"/>
        <v>9</v>
      </c>
      <c r="D171" t="str">
        <f t="shared" si="23"/>
        <v>M1169 Movie_169</v>
      </c>
      <c r="E171" t="s">
        <v>1013</v>
      </c>
      <c r="F171" t="str">
        <f>TRIM(Table1[[#This Row],[Genre]])</f>
        <v>Thriller</v>
      </c>
      <c r="G171">
        <v>184</v>
      </c>
      <c r="H171">
        <v>4.3</v>
      </c>
      <c r="I171" t="str" cm="1">
        <f t="array" ref="I171">_xlfn.IFS(H171&lt;4,"poor",H171&lt;7,"average",H171&lt;9,"good",TRUE,"excellent")</f>
        <v>average</v>
      </c>
      <c r="J171" t="s">
        <v>1015</v>
      </c>
      <c r="K171" t="str">
        <f t="shared" si="17"/>
        <v>Hin</v>
      </c>
      <c r="L171">
        <v>1989</v>
      </c>
      <c r="M171" t="str">
        <f t="shared" si="18"/>
        <v>89</v>
      </c>
      <c r="N171" t="s">
        <v>1021</v>
      </c>
      <c r="O171" s="2">
        <v>44294</v>
      </c>
      <c r="Q171">
        <f t="shared" si="19"/>
        <v>5</v>
      </c>
      <c r="R171">
        <f t="shared" si="20"/>
        <v>43429</v>
      </c>
      <c r="U171" t="str">
        <f t="shared" si="21"/>
        <v>long</v>
      </c>
      <c r="V171" s="4">
        <f t="shared" ca="1" si="22"/>
        <v>45973.174535995371</v>
      </c>
    </row>
    <row r="172" spans="1:22" x14ac:dyDescent="0.25">
      <c r="A172" t="s">
        <v>178</v>
      </c>
      <c r="B172" t="s">
        <v>678</v>
      </c>
      <c r="C172">
        <f t="shared" si="16"/>
        <v>9</v>
      </c>
      <c r="D172" t="str">
        <f t="shared" si="23"/>
        <v>M1170 Movie_170</v>
      </c>
      <c r="E172" t="s">
        <v>1011</v>
      </c>
      <c r="F172" t="str">
        <f>TRIM(Table1[[#This Row],[Genre]])</f>
        <v>Comedy</v>
      </c>
      <c r="G172">
        <v>116</v>
      </c>
      <c r="H172">
        <v>8.1</v>
      </c>
      <c r="I172" t="str" cm="1">
        <f t="array" ref="I172">_xlfn.IFS(H172&lt;4,"poor",H172&lt;7,"average",H172&lt;9,"good",TRUE,"excellent")</f>
        <v>good</v>
      </c>
      <c r="J172" t="s">
        <v>1019</v>
      </c>
      <c r="K172" t="str">
        <f t="shared" si="17"/>
        <v>Ger</v>
      </c>
      <c r="L172">
        <v>2023</v>
      </c>
      <c r="M172" t="str">
        <f t="shared" si="18"/>
        <v>23</v>
      </c>
      <c r="N172" t="s">
        <v>1021</v>
      </c>
      <c r="O172" s="2">
        <v>44894</v>
      </c>
      <c r="Q172">
        <f t="shared" si="19"/>
        <v>5</v>
      </c>
      <c r="R172">
        <f t="shared" si="20"/>
        <v>43245</v>
      </c>
      <c r="U172" t="str">
        <f t="shared" si="21"/>
        <v>short</v>
      </c>
      <c r="V172" s="4">
        <f t="shared" ca="1" si="22"/>
        <v>45973.174535995371</v>
      </c>
    </row>
    <row r="173" spans="1:22" x14ac:dyDescent="0.25">
      <c r="A173" t="s">
        <v>179</v>
      </c>
      <c r="B173" t="s">
        <v>679</v>
      </c>
      <c r="C173">
        <f t="shared" si="16"/>
        <v>9</v>
      </c>
      <c r="D173" t="str">
        <f t="shared" si="23"/>
        <v>M1171 Movie_171</v>
      </c>
      <c r="E173" t="s">
        <v>1013</v>
      </c>
      <c r="F173" t="str">
        <f>TRIM(Table1[[#This Row],[Genre]])</f>
        <v>Thriller</v>
      </c>
      <c r="G173">
        <v>129</v>
      </c>
      <c r="H173">
        <v>1.1000000000000001</v>
      </c>
      <c r="I173" t="str" cm="1">
        <f t="array" ref="I173">_xlfn.IFS(H173&lt;4,"poor",H173&lt;7,"average",H173&lt;9,"good",TRUE,"excellent")</f>
        <v>poor</v>
      </c>
      <c r="J173" t="s">
        <v>1018</v>
      </c>
      <c r="K173" t="str">
        <f t="shared" si="17"/>
        <v>Eng</v>
      </c>
      <c r="L173">
        <v>1995</v>
      </c>
      <c r="M173" t="str">
        <f t="shared" si="18"/>
        <v>95</v>
      </c>
      <c r="N173" t="s">
        <v>1021</v>
      </c>
      <c r="O173" s="2">
        <v>45223</v>
      </c>
      <c r="Q173">
        <f t="shared" si="19"/>
        <v>5</v>
      </c>
      <c r="R173">
        <f t="shared" si="20"/>
        <v>43129</v>
      </c>
      <c r="U173" t="str">
        <f t="shared" si="21"/>
        <v>long</v>
      </c>
      <c r="V173" s="4">
        <f t="shared" ca="1" si="22"/>
        <v>45973.174535995371</v>
      </c>
    </row>
    <row r="174" spans="1:22" x14ac:dyDescent="0.25">
      <c r="A174" t="s">
        <v>180</v>
      </c>
      <c r="B174" t="s">
        <v>680</v>
      </c>
      <c r="C174">
        <f t="shared" si="16"/>
        <v>9</v>
      </c>
      <c r="D174" t="str">
        <f t="shared" si="23"/>
        <v>M1172 Movie_172</v>
      </c>
      <c r="E174" t="s">
        <v>1009</v>
      </c>
      <c r="F174" t="str">
        <f>TRIM(Table1[[#This Row],[Genre]])</f>
        <v>Action</v>
      </c>
      <c r="G174">
        <v>171</v>
      </c>
      <c r="H174">
        <v>5.8</v>
      </c>
      <c r="I174" t="str" cm="1">
        <f t="array" ref="I174">_xlfn.IFS(H174&lt;4,"poor",H174&lt;7,"average",H174&lt;9,"good",TRUE,"excellent")</f>
        <v>average</v>
      </c>
      <c r="J174" t="s">
        <v>1018</v>
      </c>
      <c r="K174" t="str">
        <f t="shared" si="17"/>
        <v>Eng</v>
      </c>
      <c r="L174">
        <v>1982</v>
      </c>
      <c r="M174" t="str">
        <f t="shared" si="18"/>
        <v>82</v>
      </c>
      <c r="N174" t="s">
        <v>1020</v>
      </c>
      <c r="O174" s="2">
        <v>44742</v>
      </c>
      <c r="Q174">
        <f t="shared" si="19"/>
        <v>5</v>
      </c>
      <c r="R174">
        <f t="shared" si="20"/>
        <v>43000</v>
      </c>
      <c r="U174" t="str">
        <f t="shared" si="21"/>
        <v>long</v>
      </c>
      <c r="V174" s="4">
        <f t="shared" ca="1" si="22"/>
        <v>45973.174535995371</v>
      </c>
    </row>
    <row r="175" spans="1:22" x14ac:dyDescent="0.25">
      <c r="A175" t="s">
        <v>181</v>
      </c>
      <c r="B175" t="s">
        <v>681</v>
      </c>
      <c r="C175">
        <f t="shared" si="16"/>
        <v>9</v>
      </c>
      <c r="D175" t="str">
        <f t="shared" si="23"/>
        <v>M1173 Movie_173</v>
      </c>
      <c r="E175" t="s">
        <v>1008</v>
      </c>
      <c r="F175" t="str">
        <f>TRIM(Table1[[#This Row],[Genre]])</f>
        <v>Horror</v>
      </c>
      <c r="G175">
        <v>184</v>
      </c>
      <c r="H175">
        <v>5.0999999999999996</v>
      </c>
      <c r="I175" t="str" cm="1">
        <f t="array" ref="I175">_xlfn.IFS(H175&lt;4,"poor",H175&lt;7,"average",H175&lt;9,"good",TRUE,"excellent")</f>
        <v>average</v>
      </c>
      <c r="J175" t="s">
        <v>1019</v>
      </c>
      <c r="K175" t="str">
        <f t="shared" si="17"/>
        <v>Ger</v>
      </c>
      <c r="L175">
        <v>2016</v>
      </c>
      <c r="M175" t="str">
        <f t="shared" si="18"/>
        <v>16</v>
      </c>
      <c r="N175" t="s">
        <v>1020</v>
      </c>
      <c r="O175" s="2">
        <v>43850</v>
      </c>
      <c r="Q175">
        <f t="shared" si="19"/>
        <v>5</v>
      </c>
      <c r="R175">
        <f t="shared" si="20"/>
        <v>42829</v>
      </c>
      <c r="U175" t="str">
        <f t="shared" si="21"/>
        <v>long</v>
      </c>
      <c r="V175" s="4">
        <f t="shared" ca="1" si="22"/>
        <v>45973.174535995371</v>
      </c>
    </row>
    <row r="176" spans="1:22" x14ac:dyDescent="0.25">
      <c r="A176" t="s">
        <v>182</v>
      </c>
      <c r="B176" t="s">
        <v>682</v>
      </c>
      <c r="C176">
        <f t="shared" si="16"/>
        <v>9</v>
      </c>
      <c r="D176" t="str">
        <f t="shared" si="23"/>
        <v>M1174 Movie_174</v>
      </c>
      <c r="E176" t="s">
        <v>1008</v>
      </c>
      <c r="F176" t="str">
        <f>TRIM(Table1[[#This Row],[Genre]])</f>
        <v>Horror</v>
      </c>
      <c r="G176">
        <v>67</v>
      </c>
      <c r="H176">
        <v>7.1</v>
      </c>
      <c r="I176" t="str" cm="1">
        <f t="array" ref="I176">_xlfn.IFS(H176&lt;4,"poor",H176&lt;7,"average",H176&lt;9,"good",TRUE,"excellent")</f>
        <v>good</v>
      </c>
      <c r="J176" t="s">
        <v>1015</v>
      </c>
      <c r="K176" t="str">
        <f t="shared" si="17"/>
        <v>Hin</v>
      </c>
      <c r="L176">
        <v>2024</v>
      </c>
      <c r="M176" t="str">
        <f t="shared" si="18"/>
        <v>24</v>
      </c>
      <c r="N176" t="s">
        <v>1021</v>
      </c>
      <c r="O176" s="2">
        <v>43847</v>
      </c>
      <c r="Q176">
        <f t="shared" si="19"/>
        <v>5</v>
      </c>
      <c r="R176">
        <f t="shared" si="20"/>
        <v>42645</v>
      </c>
      <c r="U176" t="str">
        <f t="shared" si="21"/>
        <v>short</v>
      </c>
      <c r="V176" s="4">
        <f t="shared" ca="1" si="22"/>
        <v>45973.174535995371</v>
      </c>
    </row>
    <row r="177" spans="1:22" x14ac:dyDescent="0.25">
      <c r="A177" t="s">
        <v>183</v>
      </c>
      <c r="B177" t="s">
        <v>683</v>
      </c>
      <c r="C177">
        <f t="shared" si="16"/>
        <v>9</v>
      </c>
      <c r="D177" t="str">
        <f t="shared" si="23"/>
        <v>M1175 Movie_175</v>
      </c>
      <c r="E177" t="s">
        <v>1010</v>
      </c>
      <c r="F177" t="str">
        <f>TRIM(Table1[[#This Row],[Genre]])</f>
        <v>Drama</v>
      </c>
      <c r="G177">
        <v>159</v>
      </c>
      <c r="H177">
        <v>7.1</v>
      </c>
      <c r="I177" t="str" cm="1">
        <f t="array" ref="I177">_xlfn.IFS(H177&lt;4,"poor",H177&lt;7,"average",H177&lt;9,"good",TRUE,"excellent")</f>
        <v>good</v>
      </c>
      <c r="J177" t="s">
        <v>1015</v>
      </c>
      <c r="K177" t="str">
        <f t="shared" si="17"/>
        <v>Hin</v>
      </c>
      <c r="L177">
        <v>1987</v>
      </c>
      <c r="M177" t="str">
        <f t="shared" si="18"/>
        <v>87</v>
      </c>
      <c r="N177" t="s">
        <v>1020</v>
      </c>
      <c r="O177" s="2">
        <v>45255</v>
      </c>
      <c r="Q177">
        <f t="shared" si="19"/>
        <v>5</v>
      </c>
      <c r="R177">
        <f t="shared" si="20"/>
        <v>42578</v>
      </c>
      <c r="U177" t="str">
        <f t="shared" si="21"/>
        <v>long</v>
      </c>
      <c r="V177" s="4">
        <f t="shared" ca="1" si="22"/>
        <v>45973.174535995371</v>
      </c>
    </row>
    <row r="178" spans="1:22" x14ac:dyDescent="0.25">
      <c r="A178" t="s">
        <v>184</v>
      </c>
      <c r="B178" t="s">
        <v>684</v>
      </c>
      <c r="C178">
        <f t="shared" si="16"/>
        <v>9</v>
      </c>
      <c r="D178" t="str">
        <f t="shared" si="23"/>
        <v>M1176 Movie_176</v>
      </c>
      <c r="E178" t="s">
        <v>1012</v>
      </c>
      <c r="F178" t="str">
        <f>TRIM(Table1[[#This Row],[Genre]])</f>
        <v>Sci-Fi</v>
      </c>
      <c r="G178">
        <v>146</v>
      </c>
      <c r="H178">
        <v>6.3</v>
      </c>
      <c r="I178" t="str" cm="1">
        <f t="array" ref="I178">_xlfn.IFS(H178&lt;4,"poor",H178&lt;7,"average",H178&lt;9,"good",TRUE,"excellent")</f>
        <v>average</v>
      </c>
      <c r="J178" t="s">
        <v>1018</v>
      </c>
      <c r="K178" t="str">
        <f t="shared" si="17"/>
        <v>Eng</v>
      </c>
      <c r="L178">
        <v>1992</v>
      </c>
      <c r="M178" t="str">
        <f t="shared" si="18"/>
        <v>92</v>
      </c>
      <c r="N178" t="s">
        <v>1020</v>
      </c>
      <c r="O178" s="2">
        <v>44534</v>
      </c>
      <c r="Q178">
        <f t="shared" si="19"/>
        <v>5</v>
      </c>
      <c r="R178">
        <f t="shared" si="20"/>
        <v>42419</v>
      </c>
      <c r="U178" t="str">
        <f t="shared" si="21"/>
        <v>long</v>
      </c>
      <c r="V178" s="4">
        <f t="shared" ca="1" si="22"/>
        <v>45973.174535995371</v>
      </c>
    </row>
    <row r="179" spans="1:22" x14ac:dyDescent="0.25">
      <c r="A179" t="s">
        <v>185</v>
      </c>
      <c r="B179" t="s">
        <v>685</v>
      </c>
      <c r="C179">
        <f t="shared" si="16"/>
        <v>9</v>
      </c>
      <c r="D179" t="str">
        <f t="shared" si="23"/>
        <v>M1177 Movie_177</v>
      </c>
      <c r="E179" t="s">
        <v>1011</v>
      </c>
      <c r="F179" t="str">
        <f>TRIM(Table1[[#This Row],[Genre]])</f>
        <v>Comedy</v>
      </c>
      <c r="G179">
        <v>163</v>
      </c>
      <c r="H179">
        <v>8.4</v>
      </c>
      <c r="I179" t="str" cm="1">
        <f t="array" ref="I179">_xlfn.IFS(H179&lt;4,"poor",H179&lt;7,"average",H179&lt;9,"good",TRUE,"excellent")</f>
        <v>good</v>
      </c>
      <c r="J179" t="s">
        <v>1014</v>
      </c>
      <c r="K179" t="str">
        <f t="shared" si="17"/>
        <v>Jap</v>
      </c>
      <c r="L179">
        <v>1981</v>
      </c>
      <c r="M179" t="str">
        <f t="shared" si="18"/>
        <v>81</v>
      </c>
      <c r="N179" t="s">
        <v>1020</v>
      </c>
      <c r="O179" s="2">
        <v>45504</v>
      </c>
      <c r="Q179">
        <f t="shared" si="19"/>
        <v>5</v>
      </c>
      <c r="R179">
        <f t="shared" si="20"/>
        <v>42273</v>
      </c>
      <c r="U179" t="str">
        <f t="shared" si="21"/>
        <v>long</v>
      </c>
      <c r="V179" s="4">
        <f t="shared" ca="1" si="22"/>
        <v>45973.174535995371</v>
      </c>
    </row>
    <row r="180" spans="1:22" x14ac:dyDescent="0.25">
      <c r="A180" t="s">
        <v>186</v>
      </c>
      <c r="B180" t="s">
        <v>686</v>
      </c>
      <c r="C180">
        <f t="shared" si="16"/>
        <v>9</v>
      </c>
      <c r="D180" t="str">
        <f t="shared" si="23"/>
        <v>M1178 Movie_178</v>
      </c>
      <c r="E180" t="s">
        <v>1012</v>
      </c>
      <c r="F180" t="str">
        <f>TRIM(Table1[[#This Row],[Genre]])</f>
        <v>Sci-Fi</v>
      </c>
      <c r="G180">
        <v>102</v>
      </c>
      <c r="H180">
        <v>9.5</v>
      </c>
      <c r="I180" t="str" cm="1">
        <f t="array" ref="I180">_xlfn.IFS(H180&lt;4,"poor",H180&lt;7,"average",H180&lt;9,"good",TRUE,"excellent")</f>
        <v>excellent</v>
      </c>
      <c r="J180" t="s">
        <v>1015</v>
      </c>
      <c r="K180" t="str">
        <f t="shared" si="17"/>
        <v>Hin</v>
      </c>
      <c r="L180">
        <v>2008</v>
      </c>
      <c r="M180" t="str">
        <f t="shared" si="18"/>
        <v>08</v>
      </c>
      <c r="N180" t="s">
        <v>1021</v>
      </c>
      <c r="O180" s="2">
        <v>44077</v>
      </c>
      <c r="Q180">
        <f t="shared" si="19"/>
        <v>5</v>
      </c>
      <c r="R180">
        <f t="shared" si="20"/>
        <v>42110</v>
      </c>
      <c r="U180" t="str">
        <f t="shared" si="21"/>
        <v>short</v>
      </c>
      <c r="V180" s="4">
        <f t="shared" ca="1" si="22"/>
        <v>45973.174535995371</v>
      </c>
    </row>
    <row r="181" spans="1:22" x14ac:dyDescent="0.25">
      <c r="A181" t="s">
        <v>187</v>
      </c>
      <c r="B181" t="s">
        <v>687</v>
      </c>
      <c r="C181">
        <f t="shared" si="16"/>
        <v>9</v>
      </c>
      <c r="D181" t="str">
        <f t="shared" si="23"/>
        <v>M1179 Movie_179</v>
      </c>
      <c r="E181" t="s">
        <v>1009</v>
      </c>
      <c r="F181" t="str">
        <f>TRIM(Table1[[#This Row],[Genre]])</f>
        <v>Action</v>
      </c>
      <c r="G181">
        <v>179</v>
      </c>
      <c r="H181">
        <v>2</v>
      </c>
      <c r="I181" t="str" cm="1">
        <f t="array" ref="I181">_xlfn.IFS(H181&lt;4,"poor",H181&lt;7,"average",H181&lt;9,"good",TRUE,"excellent")</f>
        <v>poor</v>
      </c>
      <c r="J181" t="s">
        <v>1015</v>
      </c>
      <c r="K181" t="str">
        <f t="shared" si="17"/>
        <v>Hin</v>
      </c>
      <c r="L181">
        <v>2000</v>
      </c>
      <c r="M181" t="str">
        <f t="shared" si="18"/>
        <v>00</v>
      </c>
      <c r="N181" t="s">
        <v>1021</v>
      </c>
      <c r="O181" s="2">
        <v>44695</v>
      </c>
      <c r="Q181">
        <f t="shared" si="19"/>
        <v>5</v>
      </c>
      <c r="R181">
        <f t="shared" si="20"/>
        <v>42008</v>
      </c>
      <c r="U181" t="str">
        <f t="shared" si="21"/>
        <v>long</v>
      </c>
      <c r="V181" s="4">
        <f t="shared" ca="1" si="22"/>
        <v>45973.174535995371</v>
      </c>
    </row>
    <row r="182" spans="1:22" x14ac:dyDescent="0.25">
      <c r="A182" t="s">
        <v>188</v>
      </c>
      <c r="B182" t="s">
        <v>688</v>
      </c>
      <c r="C182">
        <f t="shared" si="16"/>
        <v>9</v>
      </c>
      <c r="D182" t="str">
        <f t="shared" si="23"/>
        <v>M1180 Movie_180</v>
      </c>
      <c r="E182" t="s">
        <v>1008</v>
      </c>
      <c r="F182" t="str">
        <f>TRIM(Table1[[#This Row],[Genre]])</f>
        <v>Horror</v>
      </c>
      <c r="G182">
        <v>92</v>
      </c>
      <c r="H182">
        <v>3.1</v>
      </c>
      <c r="I182" t="str" cm="1">
        <f t="array" ref="I182">_xlfn.IFS(H182&lt;4,"poor",H182&lt;7,"average",H182&lt;9,"good",TRUE,"excellent")</f>
        <v>poor</v>
      </c>
      <c r="J182" t="s">
        <v>1016</v>
      </c>
      <c r="K182" t="str">
        <f t="shared" si="17"/>
        <v>Spa</v>
      </c>
      <c r="L182">
        <v>2006</v>
      </c>
      <c r="M182" t="str">
        <f t="shared" si="18"/>
        <v>06</v>
      </c>
      <c r="N182" t="s">
        <v>1021</v>
      </c>
      <c r="O182" s="2">
        <v>45252</v>
      </c>
      <c r="Q182">
        <f t="shared" si="19"/>
        <v>5</v>
      </c>
      <c r="R182">
        <f t="shared" si="20"/>
        <v>41829</v>
      </c>
      <c r="U182" t="str">
        <f t="shared" si="21"/>
        <v>short</v>
      </c>
      <c r="V182" s="4">
        <f t="shared" ca="1" si="22"/>
        <v>45973.174535995371</v>
      </c>
    </row>
    <row r="183" spans="1:22" x14ac:dyDescent="0.25">
      <c r="A183" t="s">
        <v>189</v>
      </c>
      <c r="B183" t="s">
        <v>689</v>
      </c>
      <c r="C183">
        <f t="shared" si="16"/>
        <v>9</v>
      </c>
      <c r="D183" t="str">
        <f t="shared" si="23"/>
        <v>M1181 Movie_181</v>
      </c>
      <c r="E183" t="s">
        <v>1010</v>
      </c>
      <c r="F183" t="str">
        <f>TRIM(Table1[[#This Row],[Genre]])</f>
        <v>Drama</v>
      </c>
      <c r="G183">
        <v>196</v>
      </c>
      <c r="H183">
        <v>1.2</v>
      </c>
      <c r="I183" t="str" cm="1">
        <f t="array" ref="I183">_xlfn.IFS(H183&lt;4,"poor",H183&lt;7,"average",H183&lt;9,"good",TRUE,"excellent")</f>
        <v>poor</v>
      </c>
      <c r="J183" t="s">
        <v>1014</v>
      </c>
      <c r="K183" t="str">
        <f t="shared" si="17"/>
        <v>Jap</v>
      </c>
      <c r="L183">
        <v>1989</v>
      </c>
      <c r="M183" t="str">
        <f t="shared" si="18"/>
        <v>89</v>
      </c>
      <c r="N183" t="s">
        <v>1021</v>
      </c>
      <c r="O183" s="2">
        <v>44101</v>
      </c>
      <c r="Q183">
        <f t="shared" si="19"/>
        <v>5</v>
      </c>
      <c r="R183">
        <f t="shared" si="20"/>
        <v>41737</v>
      </c>
      <c r="U183" t="str">
        <f t="shared" si="21"/>
        <v>long</v>
      </c>
      <c r="V183" s="4">
        <f t="shared" ca="1" si="22"/>
        <v>45973.174535995371</v>
      </c>
    </row>
    <row r="184" spans="1:22" x14ac:dyDescent="0.25">
      <c r="A184" t="s">
        <v>190</v>
      </c>
      <c r="B184" t="s">
        <v>690</v>
      </c>
      <c r="C184">
        <f t="shared" si="16"/>
        <v>9</v>
      </c>
      <c r="D184" t="str">
        <f t="shared" si="23"/>
        <v>M1182 Movie_182</v>
      </c>
      <c r="E184" t="s">
        <v>1008</v>
      </c>
      <c r="F184" t="str">
        <f>TRIM(Table1[[#This Row],[Genre]])</f>
        <v>Horror</v>
      </c>
      <c r="G184">
        <v>66</v>
      </c>
      <c r="H184">
        <v>9</v>
      </c>
      <c r="I184" t="str" cm="1">
        <f t="array" ref="I184">_xlfn.IFS(H184&lt;4,"poor",H184&lt;7,"average",H184&lt;9,"good",TRUE,"excellent")</f>
        <v>excellent</v>
      </c>
      <c r="J184" t="s">
        <v>1016</v>
      </c>
      <c r="K184" t="str">
        <f t="shared" si="17"/>
        <v>Spa</v>
      </c>
      <c r="L184">
        <v>2006</v>
      </c>
      <c r="M184" t="str">
        <f t="shared" si="18"/>
        <v>06</v>
      </c>
      <c r="N184" t="s">
        <v>1020</v>
      </c>
      <c r="O184" s="2">
        <v>44809</v>
      </c>
      <c r="Q184">
        <f t="shared" si="19"/>
        <v>5</v>
      </c>
      <c r="R184">
        <f t="shared" si="20"/>
        <v>41541</v>
      </c>
      <c r="U184" t="str">
        <f t="shared" si="21"/>
        <v>short</v>
      </c>
      <c r="V184" s="4">
        <f t="shared" ca="1" si="22"/>
        <v>45973.174535995371</v>
      </c>
    </row>
    <row r="185" spans="1:22" x14ac:dyDescent="0.25">
      <c r="A185" t="s">
        <v>191</v>
      </c>
      <c r="B185" t="s">
        <v>691</v>
      </c>
      <c r="C185">
        <f t="shared" si="16"/>
        <v>9</v>
      </c>
      <c r="D185" t="str">
        <f t="shared" si="23"/>
        <v>M1183 Movie_183</v>
      </c>
      <c r="E185" t="s">
        <v>1012</v>
      </c>
      <c r="F185" t="str">
        <f>TRIM(Table1[[#This Row],[Genre]])</f>
        <v>Sci-Fi</v>
      </c>
      <c r="G185">
        <v>160</v>
      </c>
      <c r="H185">
        <v>6.1</v>
      </c>
      <c r="I185" t="str" cm="1">
        <f t="array" ref="I185">_xlfn.IFS(H185&lt;4,"poor",H185&lt;7,"average",H185&lt;9,"good",TRUE,"excellent")</f>
        <v>average</v>
      </c>
      <c r="J185" t="s">
        <v>1017</v>
      </c>
      <c r="K185" t="str">
        <f t="shared" si="17"/>
        <v>Fre</v>
      </c>
      <c r="L185">
        <v>2024</v>
      </c>
      <c r="M185" t="str">
        <f t="shared" si="18"/>
        <v>24</v>
      </c>
      <c r="N185" t="s">
        <v>1020</v>
      </c>
      <c r="O185" s="2">
        <v>43976</v>
      </c>
      <c r="Q185">
        <f t="shared" si="19"/>
        <v>5</v>
      </c>
      <c r="R185">
        <f t="shared" si="20"/>
        <v>41475</v>
      </c>
      <c r="U185" t="str">
        <f t="shared" si="21"/>
        <v>long</v>
      </c>
      <c r="V185" s="4">
        <f t="shared" ca="1" si="22"/>
        <v>45973.174535995371</v>
      </c>
    </row>
    <row r="186" spans="1:22" x14ac:dyDescent="0.25">
      <c r="A186" t="s">
        <v>192</v>
      </c>
      <c r="B186" t="s">
        <v>692</v>
      </c>
      <c r="C186">
        <f t="shared" si="16"/>
        <v>9</v>
      </c>
      <c r="D186" t="str">
        <f t="shared" si="23"/>
        <v>M1184 Movie_184</v>
      </c>
      <c r="E186" t="s">
        <v>1012</v>
      </c>
      <c r="F186" t="str">
        <f>TRIM(Table1[[#This Row],[Genre]])</f>
        <v>Sci-Fi</v>
      </c>
      <c r="G186">
        <v>66</v>
      </c>
      <c r="H186">
        <v>9.1999999999999993</v>
      </c>
      <c r="I186" t="str" cm="1">
        <f t="array" ref="I186">_xlfn.IFS(H186&lt;4,"poor",H186&lt;7,"average",H186&lt;9,"good",TRUE,"excellent")</f>
        <v>excellent</v>
      </c>
      <c r="J186" t="s">
        <v>1019</v>
      </c>
      <c r="K186" t="str">
        <f t="shared" si="17"/>
        <v>Ger</v>
      </c>
      <c r="L186">
        <v>1993</v>
      </c>
      <c r="M186" t="str">
        <f t="shared" si="18"/>
        <v>93</v>
      </c>
      <c r="N186" t="s">
        <v>1020</v>
      </c>
      <c r="O186" s="2">
        <v>44299</v>
      </c>
      <c r="Q186">
        <f t="shared" si="19"/>
        <v>5</v>
      </c>
      <c r="R186">
        <f t="shared" si="20"/>
        <v>41315</v>
      </c>
      <c r="U186" t="str">
        <f t="shared" si="21"/>
        <v>short</v>
      </c>
      <c r="V186" s="4">
        <f t="shared" ca="1" si="22"/>
        <v>45973.174535995371</v>
      </c>
    </row>
    <row r="187" spans="1:22" x14ac:dyDescent="0.25">
      <c r="A187" t="s">
        <v>193</v>
      </c>
      <c r="B187" t="s">
        <v>693</v>
      </c>
      <c r="C187">
        <f t="shared" si="16"/>
        <v>9</v>
      </c>
      <c r="D187" t="str">
        <f t="shared" si="23"/>
        <v>M1185 Movie_185</v>
      </c>
      <c r="E187" t="s">
        <v>1011</v>
      </c>
      <c r="F187" t="str">
        <f>TRIM(Table1[[#This Row],[Genre]])</f>
        <v>Comedy</v>
      </c>
      <c r="G187">
        <v>81</v>
      </c>
      <c r="H187">
        <v>3</v>
      </c>
      <c r="I187" t="str" cm="1">
        <f t="array" ref="I187">_xlfn.IFS(H187&lt;4,"poor",H187&lt;7,"average",H187&lt;9,"good",TRUE,"excellent")</f>
        <v>poor</v>
      </c>
      <c r="J187" t="s">
        <v>1018</v>
      </c>
      <c r="K187" t="str">
        <f t="shared" si="17"/>
        <v>Eng</v>
      </c>
      <c r="L187">
        <v>2006</v>
      </c>
      <c r="M187" t="str">
        <f t="shared" si="18"/>
        <v>06</v>
      </c>
      <c r="N187" t="s">
        <v>1020</v>
      </c>
      <c r="O187" s="2">
        <v>44615</v>
      </c>
      <c r="Q187">
        <f t="shared" si="19"/>
        <v>5</v>
      </c>
      <c r="R187">
        <f t="shared" si="20"/>
        <v>41249</v>
      </c>
      <c r="U187" t="str">
        <f t="shared" si="21"/>
        <v>short</v>
      </c>
      <c r="V187" s="4">
        <f t="shared" ca="1" si="22"/>
        <v>45973.174535995371</v>
      </c>
    </row>
    <row r="188" spans="1:22" x14ac:dyDescent="0.25">
      <c r="A188" t="s">
        <v>194</v>
      </c>
      <c r="B188" t="s">
        <v>694</v>
      </c>
      <c r="C188">
        <f t="shared" si="16"/>
        <v>9</v>
      </c>
      <c r="D188" t="str">
        <f t="shared" si="23"/>
        <v>M1186 Movie_186</v>
      </c>
      <c r="E188" t="s">
        <v>1011</v>
      </c>
      <c r="F188" t="str">
        <f>TRIM(Table1[[#This Row],[Genre]])</f>
        <v>Comedy</v>
      </c>
      <c r="G188">
        <v>169</v>
      </c>
      <c r="H188">
        <v>1.6</v>
      </c>
      <c r="I188" t="str" cm="1">
        <f t="array" ref="I188">_xlfn.IFS(H188&lt;4,"poor",H188&lt;7,"average",H188&lt;9,"good",TRUE,"excellent")</f>
        <v>poor</v>
      </c>
      <c r="J188" t="s">
        <v>1015</v>
      </c>
      <c r="K188" t="str">
        <f t="shared" si="17"/>
        <v>Hin</v>
      </c>
      <c r="L188">
        <v>2012</v>
      </c>
      <c r="M188" t="str">
        <f t="shared" si="18"/>
        <v>12</v>
      </c>
      <c r="N188" t="s">
        <v>1021</v>
      </c>
      <c r="O188" s="2">
        <v>44013</v>
      </c>
      <c r="Q188">
        <f t="shared" si="19"/>
        <v>5</v>
      </c>
      <c r="R188">
        <f t="shared" si="20"/>
        <v>41168</v>
      </c>
      <c r="U188" t="str">
        <f t="shared" si="21"/>
        <v>long</v>
      </c>
      <c r="V188" s="4">
        <f t="shared" ca="1" si="22"/>
        <v>45973.174535995371</v>
      </c>
    </row>
    <row r="189" spans="1:22" x14ac:dyDescent="0.25">
      <c r="A189" t="s">
        <v>195</v>
      </c>
      <c r="B189" t="s">
        <v>695</v>
      </c>
      <c r="C189">
        <f t="shared" si="16"/>
        <v>9</v>
      </c>
      <c r="D189" t="str">
        <f t="shared" si="23"/>
        <v>M1187 Movie_187</v>
      </c>
      <c r="E189" t="s">
        <v>1010</v>
      </c>
      <c r="F189" t="str">
        <f>TRIM(Table1[[#This Row],[Genre]])</f>
        <v>Drama</v>
      </c>
      <c r="G189">
        <v>94</v>
      </c>
      <c r="H189">
        <v>8.4</v>
      </c>
      <c r="I189" t="str" cm="1">
        <f t="array" ref="I189">_xlfn.IFS(H189&lt;4,"poor",H189&lt;7,"average",H189&lt;9,"good",TRUE,"excellent")</f>
        <v>good</v>
      </c>
      <c r="J189" t="s">
        <v>1017</v>
      </c>
      <c r="K189" t="str">
        <f t="shared" si="17"/>
        <v>Fre</v>
      </c>
      <c r="L189">
        <v>2019</v>
      </c>
      <c r="M189" t="str">
        <f t="shared" si="18"/>
        <v>19</v>
      </c>
      <c r="N189" t="s">
        <v>1021</v>
      </c>
      <c r="O189" s="2">
        <v>45327</v>
      </c>
      <c r="Q189">
        <f t="shared" si="19"/>
        <v>5</v>
      </c>
      <c r="R189">
        <f t="shared" si="20"/>
        <v>40999</v>
      </c>
      <c r="U189" t="str">
        <f t="shared" si="21"/>
        <v>short</v>
      </c>
      <c r="V189" s="4">
        <f t="shared" ca="1" si="22"/>
        <v>45973.174535995371</v>
      </c>
    </row>
    <row r="190" spans="1:22" x14ac:dyDescent="0.25">
      <c r="A190" t="s">
        <v>196</v>
      </c>
      <c r="B190" t="s">
        <v>696</v>
      </c>
      <c r="C190">
        <f t="shared" si="16"/>
        <v>9</v>
      </c>
      <c r="D190" t="str">
        <f t="shared" si="23"/>
        <v>M1188 Movie_188</v>
      </c>
      <c r="E190" t="s">
        <v>1011</v>
      </c>
      <c r="F190" t="str">
        <f>TRIM(Table1[[#This Row],[Genre]])</f>
        <v>Comedy</v>
      </c>
      <c r="G190">
        <v>178</v>
      </c>
      <c r="H190">
        <v>9.1999999999999993</v>
      </c>
      <c r="I190" t="str" cm="1">
        <f t="array" ref="I190">_xlfn.IFS(H190&lt;4,"poor",H190&lt;7,"average",H190&lt;9,"good",TRUE,"excellent")</f>
        <v>excellent</v>
      </c>
      <c r="J190" t="s">
        <v>1016</v>
      </c>
      <c r="K190" t="str">
        <f t="shared" si="17"/>
        <v>Spa</v>
      </c>
      <c r="L190">
        <v>2010</v>
      </c>
      <c r="M190" t="str">
        <f t="shared" si="18"/>
        <v>10</v>
      </c>
      <c r="N190" t="s">
        <v>1021</v>
      </c>
      <c r="O190" s="2">
        <v>45481</v>
      </c>
      <c r="Q190">
        <f t="shared" si="19"/>
        <v>5</v>
      </c>
      <c r="R190">
        <f t="shared" si="20"/>
        <v>40905</v>
      </c>
      <c r="U190" t="str">
        <f t="shared" si="21"/>
        <v>long</v>
      </c>
      <c r="V190" s="4">
        <f t="shared" ca="1" si="22"/>
        <v>45973.174535995371</v>
      </c>
    </row>
    <row r="191" spans="1:22" x14ac:dyDescent="0.25">
      <c r="A191" t="s">
        <v>197</v>
      </c>
      <c r="B191" t="s">
        <v>697</v>
      </c>
      <c r="C191">
        <f t="shared" si="16"/>
        <v>9</v>
      </c>
      <c r="D191" t="str">
        <f t="shared" si="23"/>
        <v>M1189 Movie_189</v>
      </c>
      <c r="E191" t="s">
        <v>1012</v>
      </c>
      <c r="F191" t="str">
        <f>TRIM(Table1[[#This Row],[Genre]])</f>
        <v>Sci-Fi</v>
      </c>
      <c r="G191">
        <v>106</v>
      </c>
      <c r="H191">
        <v>3.7</v>
      </c>
      <c r="I191" t="str" cm="1">
        <f t="array" ref="I191">_xlfn.IFS(H191&lt;4,"poor",H191&lt;7,"average",H191&lt;9,"good",TRUE,"excellent")</f>
        <v>poor</v>
      </c>
      <c r="J191" t="s">
        <v>1015</v>
      </c>
      <c r="K191" t="str">
        <f t="shared" si="17"/>
        <v>Hin</v>
      </c>
      <c r="L191">
        <v>1983</v>
      </c>
      <c r="M191" t="str">
        <f t="shared" si="18"/>
        <v>83</v>
      </c>
      <c r="N191" t="s">
        <v>1020</v>
      </c>
      <c r="O191" s="2">
        <v>44040</v>
      </c>
      <c r="Q191">
        <f t="shared" si="19"/>
        <v>5</v>
      </c>
      <c r="R191">
        <f t="shared" si="20"/>
        <v>40727</v>
      </c>
      <c r="U191" t="str">
        <f t="shared" si="21"/>
        <v>short</v>
      </c>
      <c r="V191" s="4">
        <f t="shared" ca="1" si="22"/>
        <v>45973.174535995371</v>
      </c>
    </row>
    <row r="192" spans="1:22" x14ac:dyDescent="0.25">
      <c r="A192" t="s">
        <v>198</v>
      </c>
      <c r="B192" t="s">
        <v>698</v>
      </c>
      <c r="C192">
        <f t="shared" si="16"/>
        <v>9</v>
      </c>
      <c r="D192" t="str">
        <f t="shared" si="23"/>
        <v>M1190 Movie_190</v>
      </c>
      <c r="E192" t="s">
        <v>1012</v>
      </c>
      <c r="F192" t="str">
        <f>TRIM(Table1[[#This Row],[Genre]])</f>
        <v>Sci-Fi</v>
      </c>
      <c r="G192">
        <v>72</v>
      </c>
      <c r="H192">
        <v>4.7</v>
      </c>
      <c r="I192" t="str" cm="1">
        <f t="array" ref="I192">_xlfn.IFS(H192&lt;4,"poor",H192&lt;7,"average",H192&lt;9,"good",TRUE,"excellent")</f>
        <v>average</v>
      </c>
      <c r="J192" t="s">
        <v>1019</v>
      </c>
      <c r="K192" t="str">
        <f t="shared" si="17"/>
        <v>Ger</v>
      </c>
      <c r="L192">
        <v>2025</v>
      </c>
      <c r="M192" t="str">
        <f t="shared" si="18"/>
        <v>25</v>
      </c>
      <c r="N192" t="s">
        <v>1020</v>
      </c>
      <c r="O192" s="2">
        <v>44042</v>
      </c>
      <c r="Q192">
        <f t="shared" si="19"/>
        <v>5</v>
      </c>
      <c r="R192">
        <f t="shared" si="20"/>
        <v>40621</v>
      </c>
      <c r="U192" t="str">
        <f t="shared" si="21"/>
        <v>short</v>
      </c>
      <c r="V192" s="4">
        <f t="shared" ca="1" si="22"/>
        <v>45973.174535995371</v>
      </c>
    </row>
    <row r="193" spans="1:22" x14ac:dyDescent="0.25">
      <c r="A193" t="s">
        <v>199</v>
      </c>
      <c r="B193" t="s">
        <v>699</v>
      </c>
      <c r="C193">
        <f t="shared" si="16"/>
        <v>9</v>
      </c>
      <c r="D193" t="str">
        <f t="shared" si="23"/>
        <v>M1191 Movie_191</v>
      </c>
      <c r="E193" t="s">
        <v>1009</v>
      </c>
      <c r="F193" t="str">
        <f>TRIM(Table1[[#This Row],[Genre]])</f>
        <v>Action</v>
      </c>
      <c r="G193">
        <v>126</v>
      </c>
      <c r="H193">
        <v>2.2999999999999998</v>
      </c>
      <c r="I193" t="str" cm="1">
        <f t="array" ref="I193">_xlfn.IFS(H193&lt;4,"poor",H193&lt;7,"average",H193&lt;9,"good",TRUE,"excellent")</f>
        <v>poor</v>
      </c>
      <c r="J193" t="s">
        <v>1016</v>
      </c>
      <c r="K193" t="str">
        <f t="shared" si="17"/>
        <v>Spa</v>
      </c>
      <c r="L193">
        <v>1988</v>
      </c>
      <c r="M193" t="str">
        <f t="shared" si="18"/>
        <v>88</v>
      </c>
      <c r="N193" t="s">
        <v>1020</v>
      </c>
      <c r="O193" s="2">
        <v>44472</v>
      </c>
      <c r="Q193">
        <f t="shared" si="19"/>
        <v>5</v>
      </c>
      <c r="R193">
        <f t="shared" si="20"/>
        <v>40549</v>
      </c>
      <c r="U193" t="str">
        <f t="shared" si="21"/>
        <v>long</v>
      </c>
      <c r="V193" s="4">
        <f t="shared" ca="1" si="22"/>
        <v>45973.174535995371</v>
      </c>
    </row>
    <row r="194" spans="1:22" x14ac:dyDescent="0.25">
      <c r="A194" t="s">
        <v>200</v>
      </c>
      <c r="B194" t="s">
        <v>700</v>
      </c>
      <c r="C194">
        <f t="shared" ref="C194:C257" si="24">LEN(B194)</f>
        <v>9</v>
      </c>
      <c r="D194" t="str">
        <f t="shared" si="23"/>
        <v>M1192 Movie_192</v>
      </c>
      <c r="E194" t="s">
        <v>1012</v>
      </c>
      <c r="F194" t="str">
        <f>TRIM(Table1[[#This Row],[Genre]])</f>
        <v>Sci-Fi</v>
      </c>
      <c r="G194">
        <v>157</v>
      </c>
      <c r="H194">
        <v>9.5</v>
      </c>
      <c r="I194" t="str" cm="1">
        <f t="array" ref="I194">_xlfn.IFS(H194&lt;4,"poor",H194&lt;7,"average",H194&lt;9,"good",TRUE,"excellent")</f>
        <v>excellent</v>
      </c>
      <c r="J194" t="s">
        <v>1014</v>
      </c>
      <c r="K194" t="str">
        <f t="shared" ref="K194:K257" si="25">LEFT(J194,3)</f>
        <v>Jap</v>
      </c>
      <c r="L194">
        <v>2013</v>
      </c>
      <c r="M194" t="str">
        <f t="shared" ref="M194:M257" si="26">RIGHT(L194,2)</f>
        <v>13</v>
      </c>
      <c r="N194" t="s">
        <v>1020</v>
      </c>
      <c r="O194" s="2">
        <v>44583</v>
      </c>
      <c r="Q194">
        <f t="shared" ref="Q194:Q257" si="27">COUNT(A194:O194)</f>
        <v>5</v>
      </c>
      <c r="R194">
        <f t="shared" ref="R194:R257" si="28">SUM(G194:G693)</f>
        <v>40423</v>
      </c>
      <c r="U194" t="str">
        <f t="shared" ref="U194:U257" si="29">IF(G194&gt;120,"long","short")</f>
        <v>long</v>
      </c>
      <c r="V194" s="4">
        <f t="shared" ref="V194:V257" ca="1" si="30">NOW()</f>
        <v>45973.174535995371</v>
      </c>
    </row>
    <row r="195" spans="1:22" x14ac:dyDescent="0.25">
      <c r="A195" t="s">
        <v>201</v>
      </c>
      <c r="B195" t="s">
        <v>701</v>
      </c>
      <c r="C195">
        <f t="shared" si="24"/>
        <v>9</v>
      </c>
      <c r="D195" t="str">
        <f t="shared" ref="D195:D258" si="31">CONCATENATE(A195," ",B195)</f>
        <v>M1193 Movie_193</v>
      </c>
      <c r="E195" t="s">
        <v>1010</v>
      </c>
      <c r="F195" t="str">
        <f>TRIM(Table1[[#This Row],[Genre]])</f>
        <v>Drama</v>
      </c>
      <c r="G195">
        <v>143</v>
      </c>
      <c r="H195">
        <v>3.7</v>
      </c>
      <c r="I195" t="str" cm="1">
        <f t="array" ref="I195">_xlfn.IFS(H195&lt;4,"poor",H195&lt;7,"average",H195&lt;9,"good",TRUE,"excellent")</f>
        <v>poor</v>
      </c>
      <c r="J195" t="s">
        <v>1014</v>
      </c>
      <c r="K195" t="str">
        <f t="shared" si="25"/>
        <v>Jap</v>
      </c>
      <c r="L195">
        <v>1993</v>
      </c>
      <c r="M195" t="str">
        <f t="shared" si="26"/>
        <v>93</v>
      </c>
      <c r="N195" t="s">
        <v>1021</v>
      </c>
      <c r="O195" s="2">
        <v>44443</v>
      </c>
      <c r="Q195">
        <f t="shared" si="27"/>
        <v>5</v>
      </c>
      <c r="R195">
        <f t="shared" si="28"/>
        <v>40266</v>
      </c>
      <c r="U195" t="str">
        <f t="shared" si="29"/>
        <v>long</v>
      </c>
      <c r="V195" s="4">
        <f t="shared" ca="1" si="30"/>
        <v>45973.174535995371</v>
      </c>
    </row>
    <row r="196" spans="1:22" x14ac:dyDescent="0.25">
      <c r="A196" t="s">
        <v>202</v>
      </c>
      <c r="B196" t="s">
        <v>702</v>
      </c>
      <c r="C196">
        <f t="shared" si="24"/>
        <v>9</v>
      </c>
      <c r="D196" t="str">
        <f t="shared" si="31"/>
        <v>M1194 Movie_194</v>
      </c>
      <c r="E196" t="s">
        <v>1013</v>
      </c>
      <c r="F196" t="str">
        <f>TRIM(Table1[[#This Row],[Genre]])</f>
        <v>Thriller</v>
      </c>
      <c r="G196">
        <v>114</v>
      </c>
      <c r="H196">
        <v>5.4</v>
      </c>
      <c r="I196" t="str" cm="1">
        <f t="array" ref="I196">_xlfn.IFS(H196&lt;4,"poor",H196&lt;7,"average",H196&lt;9,"good",TRUE,"excellent")</f>
        <v>average</v>
      </c>
      <c r="J196" t="s">
        <v>1018</v>
      </c>
      <c r="K196" t="str">
        <f t="shared" si="25"/>
        <v>Eng</v>
      </c>
      <c r="L196">
        <v>2015</v>
      </c>
      <c r="M196" t="str">
        <f t="shared" si="26"/>
        <v>15</v>
      </c>
      <c r="N196" t="s">
        <v>1021</v>
      </c>
      <c r="O196" s="2">
        <v>44111</v>
      </c>
      <c r="Q196">
        <f t="shared" si="27"/>
        <v>5</v>
      </c>
      <c r="R196">
        <f t="shared" si="28"/>
        <v>40123</v>
      </c>
      <c r="U196" t="str">
        <f t="shared" si="29"/>
        <v>short</v>
      </c>
      <c r="V196" s="4">
        <f t="shared" ca="1" si="30"/>
        <v>45973.174535995371</v>
      </c>
    </row>
    <row r="197" spans="1:22" x14ac:dyDescent="0.25">
      <c r="A197" t="s">
        <v>203</v>
      </c>
      <c r="B197" t="s">
        <v>703</v>
      </c>
      <c r="C197">
        <f t="shared" si="24"/>
        <v>9</v>
      </c>
      <c r="D197" t="str">
        <f t="shared" si="31"/>
        <v>M1195 Movie_195</v>
      </c>
      <c r="E197" t="s">
        <v>1009</v>
      </c>
      <c r="F197" t="str">
        <f>TRIM(Table1[[#This Row],[Genre]])</f>
        <v>Action</v>
      </c>
      <c r="G197">
        <v>176</v>
      </c>
      <c r="H197">
        <v>1.9</v>
      </c>
      <c r="I197" t="str" cm="1">
        <f t="array" ref="I197">_xlfn.IFS(H197&lt;4,"poor",H197&lt;7,"average",H197&lt;9,"good",TRUE,"excellent")</f>
        <v>poor</v>
      </c>
      <c r="J197" t="s">
        <v>1015</v>
      </c>
      <c r="K197" t="str">
        <f t="shared" si="25"/>
        <v>Hin</v>
      </c>
      <c r="L197">
        <v>2000</v>
      </c>
      <c r="M197" t="str">
        <f t="shared" si="26"/>
        <v>00</v>
      </c>
      <c r="N197" t="s">
        <v>1020</v>
      </c>
      <c r="O197" s="2">
        <v>44614</v>
      </c>
      <c r="Q197">
        <f t="shared" si="27"/>
        <v>5</v>
      </c>
      <c r="R197">
        <f t="shared" si="28"/>
        <v>40009</v>
      </c>
      <c r="U197" t="str">
        <f t="shared" si="29"/>
        <v>long</v>
      </c>
      <c r="V197" s="4">
        <f t="shared" ca="1" si="30"/>
        <v>45973.174535995371</v>
      </c>
    </row>
    <row r="198" spans="1:22" x14ac:dyDescent="0.25">
      <c r="A198" t="s">
        <v>204</v>
      </c>
      <c r="B198" t="s">
        <v>704</v>
      </c>
      <c r="C198">
        <f t="shared" si="24"/>
        <v>9</v>
      </c>
      <c r="D198" t="str">
        <f t="shared" si="31"/>
        <v>M1196 Movie_196</v>
      </c>
      <c r="E198" t="s">
        <v>1009</v>
      </c>
      <c r="F198" t="str">
        <f>TRIM(Table1[[#This Row],[Genre]])</f>
        <v>Action</v>
      </c>
      <c r="G198">
        <v>143</v>
      </c>
      <c r="H198">
        <v>9</v>
      </c>
      <c r="I198" t="str" cm="1">
        <f t="array" ref="I198">_xlfn.IFS(H198&lt;4,"poor",H198&lt;7,"average",H198&lt;9,"good",TRUE,"excellent")</f>
        <v>excellent</v>
      </c>
      <c r="J198" t="s">
        <v>1017</v>
      </c>
      <c r="K198" t="str">
        <f t="shared" si="25"/>
        <v>Fre</v>
      </c>
      <c r="L198">
        <v>2022</v>
      </c>
      <c r="M198" t="str">
        <f t="shared" si="26"/>
        <v>22</v>
      </c>
      <c r="N198" t="s">
        <v>1020</v>
      </c>
      <c r="O198" s="2">
        <v>45415</v>
      </c>
      <c r="Q198">
        <f t="shared" si="27"/>
        <v>5</v>
      </c>
      <c r="R198">
        <f t="shared" si="28"/>
        <v>39833</v>
      </c>
      <c r="U198" t="str">
        <f t="shared" si="29"/>
        <v>long</v>
      </c>
      <c r="V198" s="4">
        <f t="shared" ca="1" si="30"/>
        <v>45973.174535995371</v>
      </c>
    </row>
    <row r="199" spans="1:22" x14ac:dyDescent="0.25">
      <c r="A199" t="s">
        <v>205</v>
      </c>
      <c r="B199" t="s">
        <v>705</v>
      </c>
      <c r="C199">
        <f t="shared" si="24"/>
        <v>9</v>
      </c>
      <c r="D199" t="str">
        <f t="shared" si="31"/>
        <v>M1197 Movie_197</v>
      </c>
      <c r="E199" t="s">
        <v>1010</v>
      </c>
      <c r="F199" t="str">
        <f>TRIM(Table1[[#This Row],[Genre]])</f>
        <v>Drama</v>
      </c>
      <c r="G199">
        <v>146</v>
      </c>
      <c r="H199">
        <v>2.2000000000000002</v>
      </c>
      <c r="I199" t="str" cm="1">
        <f t="array" ref="I199">_xlfn.IFS(H199&lt;4,"poor",H199&lt;7,"average",H199&lt;9,"good",TRUE,"excellent")</f>
        <v>poor</v>
      </c>
      <c r="J199" t="s">
        <v>1018</v>
      </c>
      <c r="K199" t="str">
        <f t="shared" si="25"/>
        <v>Eng</v>
      </c>
      <c r="L199">
        <v>2010</v>
      </c>
      <c r="M199" t="str">
        <f t="shared" si="26"/>
        <v>10</v>
      </c>
      <c r="N199" t="s">
        <v>1021</v>
      </c>
      <c r="O199" s="2">
        <v>45496</v>
      </c>
      <c r="Q199">
        <f t="shared" si="27"/>
        <v>5</v>
      </c>
      <c r="R199">
        <f t="shared" si="28"/>
        <v>39690</v>
      </c>
      <c r="U199" t="str">
        <f t="shared" si="29"/>
        <v>long</v>
      </c>
      <c r="V199" s="4">
        <f t="shared" ca="1" si="30"/>
        <v>45973.174535995371</v>
      </c>
    </row>
    <row r="200" spans="1:22" x14ac:dyDescent="0.25">
      <c r="A200" t="s">
        <v>206</v>
      </c>
      <c r="B200" t="s">
        <v>706</v>
      </c>
      <c r="C200">
        <f t="shared" si="24"/>
        <v>9</v>
      </c>
      <c r="D200" t="str">
        <f t="shared" si="31"/>
        <v>M1198 Movie_198</v>
      </c>
      <c r="E200" t="s">
        <v>1010</v>
      </c>
      <c r="F200" t="str">
        <f>TRIM(Table1[[#This Row],[Genre]])</f>
        <v>Drama</v>
      </c>
      <c r="G200">
        <v>157</v>
      </c>
      <c r="H200">
        <v>5.0999999999999996</v>
      </c>
      <c r="I200" t="str" cm="1">
        <f t="array" ref="I200">_xlfn.IFS(H200&lt;4,"poor",H200&lt;7,"average",H200&lt;9,"good",TRUE,"excellent")</f>
        <v>average</v>
      </c>
      <c r="J200" t="s">
        <v>1015</v>
      </c>
      <c r="K200" t="str">
        <f t="shared" si="25"/>
        <v>Hin</v>
      </c>
      <c r="L200">
        <v>2013</v>
      </c>
      <c r="M200" t="str">
        <f t="shared" si="26"/>
        <v>13</v>
      </c>
      <c r="N200" t="s">
        <v>1020</v>
      </c>
      <c r="O200" s="2">
        <v>45373</v>
      </c>
      <c r="Q200">
        <f t="shared" si="27"/>
        <v>5</v>
      </c>
      <c r="R200">
        <f t="shared" si="28"/>
        <v>39544</v>
      </c>
      <c r="U200" t="str">
        <f t="shared" si="29"/>
        <v>long</v>
      </c>
      <c r="V200" s="4">
        <f t="shared" ca="1" si="30"/>
        <v>45973.174535995371</v>
      </c>
    </row>
    <row r="201" spans="1:22" x14ac:dyDescent="0.25">
      <c r="A201" t="s">
        <v>207</v>
      </c>
      <c r="B201" t="s">
        <v>707</v>
      </c>
      <c r="C201">
        <f t="shared" si="24"/>
        <v>9</v>
      </c>
      <c r="D201" t="str">
        <f t="shared" si="31"/>
        <v>M1199 Movie_199</v>
      </c>
      <c r="E201" t="s">
        <v>1011</v>
      </c>
      <c r="F201" t="str">
        <f>TRIM(Table1[[#This Row],[Genre]])</f>
        <v>Comedy</v>
      </c>
      <c r="G201">
        <v>131</v>
      </c>
      <c r="H201">
        <v>7</v>
      </c>
      <c r="I201" t="str" cm="1">
        <f t="array" ref="I201">_xlfn.IFS(H201&lt;4,"poor",H201&lt;7,"average",H201&lt;9,"good",TRUE,"excellent")</f>
        <v>good</v>
      </c>
      <c r="J201" t="s">
        <v>1015</v>
      </c>
      <c r="K201" t="str">
        <f t="shared" si="25"/>
        <v>Hin</v>
      </c>
      <c r="L201">
        <v>2004</v>
      </c>
      <c r="M201" t="str">
        <f t="shared" si="26"/>
        <v>04</v>
      </c>
      <c r="N201" t="s">
        <v>1020</v>
      </c>
      <c r="O201" s="2">
        <v>44103</v>
      </c>
      <c r="Q201">
        <f t="shared" si="27"/>
        <v>5</v>
      </c>
      <c r="R201">
        <f t="shared" si="28"/>
        <v>39387</v>
      </c>
      <c r="U201" t="str">
        <f t="shared" si="29"/>
        <v>long</v>
      </c>
      <c r="V201" s="4">
        <f t="shared" ca="1" si="30"/>
        <v>45973.174535995371</v>
      </c>
    </row>
    <row r="202" spans="1:22" x14ac:dyDescent="0.25">
      <c r="A202" t="s">
        <v>208</v>
      </c>
      <c r="B202" t="s">
        <v>708</v>
      </c>
      <c r="C202">
        <f t="shared" si="24"/>
        <v>9</v>
      </c>
      <c r="D202" t="str">
        <f t="shared" si="31"/>
        <v>M1200 Movie_200</v>
      </c>
      <c r="E202" t="s">
        <v>1009</v>
      </c>
      <c r="F202" t="str">
        <f>TRIM(Table1[[#This Row],[Genre]])</f>
        <v>Action</v>
      </c>
      <c r="G202">
        <v>167</v>
      </c>
      <c r="H202">
        <v>7.7</v>
      </c>
      <c r="I202" t="str" cm="1">
        <f t="array" ref="I202">_xlfn.IFS(H202&lt;4,"poor",H202&lt;7,"average",H202&lt;9,"good",TRUE,"excellent")</f>
        <v>good</v>
      </c>
      <c r="J202" t="s">
        <v>1015</v>
      </c>
      <c r="K202" t="str">
        <f t="shared" si="25"/>
        <v>Hin</v>
      </c>
      <c r="L202">
        <v>2000</v>
      </c>
      <c r="M202" t="str">
        <f t="shared" si="26"/>
        <v>00</v>
      </c>
      <c r="N202" t="s">
        <v>1021</v>
      </c>
      <c r="O202" s="2">
        <v>45144</v>
      </c>
      <c r="Q202">
        <f t="shared" si="27"/>
        <v>5</v>
      </c>
      <c r="R202">
        <f t="shared" si="28"/>
        <v>39256</v>
      </c>
      <c r="U202" t="str">
        <f t="shared" si="29"/>
        <v>long</v>
      </c>
      <c r="V202" s="4">
        <f t="shared" ca="1" si="30"/>
        <v>45973.174535995371</v>
      </c>
    </row>
    <row r="203" spans="1:22" x14ac:dyDescent="0.25">
      <c r="A203" t="s">
        <v>209</v>
      </c>
      <c r="B203" t="s">
        <v>709</v>
      </c>
      <c r="C203">
        <f t="shared" si="24"/>
        <v>9</v>
      </c>
      <c r="D203" t="str">
        <f t="shared" si="31"/>
        <v>M1201 Movie_201</v>
      </c>
      <c r="E203" t="s">
        <v>1011</v>
      </c>
      <c r="F203" t="str">
        <f>TRIM(Table1[[#This Row],[Genre]])</f>
        <v>Comedy</v>
      </c>
      <c r="G203">
        <v>124</v>
      </c>
      <c r="H203">
        <v>9.5</v>
      </c>
      <c r="I203" t="str" cm="1">
        <f t="array" ref="I203">_xlfn.IFS(H203&lt;4,"poor",H203&lt;7,"average",H203&lt;9,"good",TRUE,"excellent")</f>
        <v>excellent</v>
      </c>
      <c r="J203" t="s">
        <v>1015</v>
      </c>
      <c r="K203" t="str">
        <f t="shared" si="25"/>
        <v>Hin</v>
      </c>
      <c r="L203">
        <v>1991</v>
      </c>
      <c r="M203" t="str">
        <f t="shared" si="26"/>
        <v>91</v>
      </c>
      <c r="N203" t="s">
        <v>1020</v>
      </c>
      <c r="O203" s="2">
        <v>45217</v>
      </c>
      <c r="Q203">
        <f t="shared" si="27"/>
        <v>5</v>
      </c>
      <c r="R203">
        <f t="shared" si="28"/>
        <v>39089</v>
      </c>
      <c r="U203" t="str">
        <f t="shared" si="29"/>
        <v>long</v>
      </c>
      <c r="V203" s="4">
        <f t="shared" ca="1" si="30"/>
        <v>45973.174535995371</v>
      </c>
    </row>
    <row r="204" spans="1:22" x14ac:dyDescent="0.25">
      <c r="A204" t="s">
        <v>210</v>
      </c>
      <c r="B204" t="s">
        <v>710</v>
      </c>
      <c r="C204">
        <f t="shared" si="24"/>
        <v>9</v>
      </c>
      <c r="D204" t="str">
        <f t="shared" si="31"/>
        <v>M1202 Movie_202</v>
      </c>
      <c r="E204" t="s">
        <v>1012</v>
      </c>
      <c r="F204" t="str">
        <f>TRIM(Table1[[#This Row],[Genre]])</f>
        <v>Sci-Fi</v>
      </c>
      <c r="G204">
        <v>80</v>
      </c>
      <c r="H204">
        <v>4.8</v>
      </c>
      <c r="I204" t="str" cm="1">
        <f t="array" ref="I204">_xlfn.IFS(H204&lt;4,"poor",H204&lt;7,"average",H204&lt;9,"good",TRUE,"excellent")</f>
        <v>average</v>
      </c>
      <c r="J204" t="s">
        <v>1015</v>
      </c>
      <c r="K204" t="str">
        <f t="shared" si="25"/>
        <v>Hin</v>
      </c>
      <c r="L204">
        <v>2009</v>
      </c>
      <c r="M204" t="str">
        <f t="shared" si="26"/>
        <v>09</v>
      </c>
      <c r="N204" t="s">
        <v>1020</v>
      </c>
      <c r="O204" s="2">
        <v>44123</v>
      </c>
      <c r="Q204">
        <f t="shared" si="27"/>
        <v>5</v>
      </c>
      <c r="R204">
        <f t="shared" si="28"/>
        <v>38965</v>
      </c>
      <c r="U204" t="str">
        <f t="shared" si="29"/>
        <v>short</v>
      </c>
      <c r="V204" s="4">
        <f t="shared" ca="1" si="30"/>
        <v>45973.174535995371</v>
      </c>
    </row>
    <row r="205" spans="1:22" x14ac:dyDescent="0.25">
      <c r="A205" t="s">
        <v>211</v>
      </c>
      <c r="B205" t="s">
        <v>711</v>
      </c>
      <c r="C205">
        <f t="shared" si="24"/>
        <v>9</v>
      </c>
      <c r="D205" t="str">
        <f t="shared" si="31"/>
        <v>M1203 Movie_203</v>
      </c>
      <c r="E205" t="s">
        <v>1009</v>
      </c>
      <c r="F205" t="str">
        <f>TRIM(Table1[[#This Row],[Genre]])</f>
        <v>Action</v>
      </c>
      <c r="G205">
        <v>180</v>
      </c>
      <c r="H205">
        <v>7.7</v>
      </c>
      <c r="I205" t="str" cm="1">
        <f t="array" ref="I205">_xlfn.IFS(H205&lt;4,"poor",H205&lt;7,"average",H205&lt;9,"good",TRUE,"excellent")</f>
        <v>good</v>
      </c>
      <c r="J205" t="s">
        <v>1018</v>
      </c>
      <c r="K205" t="str">
        <f t="shared" si="25"/>
        <v>Eng</v>
      </c>
      <c r="L205">
        <v>2014</v>
      </c>
      <c r="M205" t="str">
        <f t="shared" si="26"/>
        <v>14</v>
      </c>
      <c r="N205" t="s">
        <v>1020</v>
      </c>
      <c r="O205" s="2">
        <v>43971</v>
      </c>
      <c r="Q205">
        <f t="shared" si="27"/>
        <v>5</v>
      </c>
      <c r="R205">
        <f t="shared" si="28"/>
        <v>38885</v>
      </c>
      <c r="U205" t="str">
        <f t="shared" si="29"/>
        <v>long</v>
      </c>
      <c r="V205" s="4">
        <f t="shared" ca="1" si="30"/>
        <v>45973.174535995371</v>
      </c>
    </row>
    <row r="206" spans="1:22" x14ac:dyDescent="0.25">
      <c r="A206" t="s">
        <v>212</v>
      </c>
      <c r="B206" t="s">
        <v>712</v>
      </c>
      <c r="C206">
        <f t="shared" si="24"/>
        <v>9</v>
      </c>
      <c r="D206" t="str">
        <f t="shared" si="31"/>
        <v>M1204 Movie_204</v>
      </c>
      <c r="E206" t="s">
        <v>1009</v>
      </c>
      <c r="F206" t="str">
        <f>TRIM(Table1[[#This Row],[Genre]])</f>
        <v>Action</v>
      </c>
      <c r="G206">
        <v>64</v>
      </c>
      <c r="H206">
        <v>2.4</v>
      </c>
      <c r="I206" t="str" cm="1">
        <f t="array" ref="I206">_xlfn.IFS(H206&lt;4,"poor",H206&lt;7,"average",H206&lt;9,"good",TRUE,"excellent")</f>
        <v>poor</v>
      </c>
      <c r="J206" t="s">
        <v>1019</v>
      </c>
      <c r="K206" t="str">
        <f t="shared" si="25"/>
        <v>Ger</v>
      </c>
      <c r="L206">
        <v>2001</v>
      </c>
      <c r="M206" t="str">
        <f t="shared" si="26"/>
        <v>01</v>
      </c>
      <c r="N206" t="s">
        <v>1021</v>
      </c>
      <c r="O206" s="2">
        <v>44917</v>
      </c>
      <c r="Q206">
        <f t="shared" si="27"/>
        <v>5</v>
      </c>
      <c r="R206">
        <f t="shared" si="28"/>
        <v>38705</v>
      </c>
      <c r="U206" t="str">
        <f t="shared" si="29"/>
        <v>short</v>
      </c>
      <c r="V206" s="4">
        <f t="shared" ca="1" si="30"/>
        <v>45973.174535995371</v>
      </c>
    </row>
    <row r="207" spans="1:22" x14ac:dyDescent="0.25">
      <c r="A207" t="s">
        <v>213</v>
      </c>
      <c r="B207" t="s">
        <v>713</v>
      </c>
      <c r="C207">
        <f t="shared" si="24"/>
        <v>9</v>
      </c>
      <c r="D207" t="str">
        <f t="shared" si="31"/>
        <v>M1205 Movie_205</v>
      </c>
      <c r="E207" t="s">
        <v>1008</v>
      </c>
      <c r="F207" t="str">
        <f>TRIM(Table1[[#This Row],[Genre]])</f>
        <v>Horror</v>
      </c>
      <c r="G207">
        <v>198</v>
      </c>
      <c r="H207">
        <v>4.7</v>
      </c>
      <c r="I207" t="str" cm="1">
        <f t="array" ref="I207">_xlfn.IFS(H207&lt;4,"poor",H207&lt;7,"average",H207&lt;9,"good",TRUE,"excellent")</f>
        <v>average</v>
      </c>
      <c r="J207" t="s">
        <v>1019</v>
      </c>
      <c r="K207" t="str">
        <f t="shared" si="25"/>
        <v>Ger</v>
      </c>
      <c r="L207">
        <v>2014</v>
      </c>
      <c r="M207" t="str">
        <f t="shared" si="26"/>
        <v>14</v>
      </c>
      <c r="N207" t="s">
        <v>1020</v>
      </c>
      <c r="O207" s="2">
        <v>44984</v>
      </c>
      <c r="Q207">
        <f t="shared" si="27"/>
        <v>5</v>
      </c>
      <c r="R207">
        <f t="shared" si="28"/>
        <v>38641</v>
      </c>
      <c r="U207" t="str">
        <f t="shared" si="29"/>
        <v>long</v>
      </c>
      <c r="V207" s="4">
        <f t="shared" ca="1" si="30"/>
        <v>45973.174535995371</v>
      </c>
    </row>
    <row r="208" spans="1:22" x14ac:dyDescent="0.25">
      <c r="A208" t="s">
        <v>214</v>
      </c>
      <c r="B208" t="s">
        <v>714</v>
      </c>
      <c r="C208">
        <f t="shared" si="24"/>
        <v>9</v>
      </c>
      <c r="D208" t="str">
        <f t="shared" si="31"/>
        <v>M1206 Movie_206</v>
      </c>
      <c r="E208" t="s">
        <v>1013</v>
      </c>
      <c r="F208" t="str">
        <f>TRIM(Table1[[#This Row],[Genre]])</f>
        <v>Thriller</v>
      </c>
      <c r="G208">
        <v>73</v>
      </c>
      <c r="H208">
        <v>1.9</v>
      </c>
      <c r="I208" t="str" cm="1">
        <f t="array" ref="I208">_xlfn.IFS(H208&lt;4,"poor",H208&lt;7,"average",H208&lt;9,"good",TRUE,"excellent")</f>
        <v>poor</v>
      </c>
      <c r="J208" t="s">
        <v>1018</v>
      </c>
      <c r="K208" t="str">
        <f t="shared" si="25"/>
        <v>Eng</v>
      </c>
      <c r="L208">
        <v>2002</v>
      </c>
      <c r="M208" t="str">
        <f t="shared" si="26"/>
        <v>02</v>
      </c>
      <c r="N208" t="s">
        <v>1021</v>
      </c>
      <c r="O208" s="2">
        <v>43848</v>
      </c>
      <c r="Q208">
        <f t="shared" si="27"/>
        <v>5</v>
      </c>
      <c r="R208">
        <f t="shared" si="28"/>
        <v>38443</v>
      </c>
      <c r="U208" t="str">
        <f t="shared" si="29"/>
        <v>short</v>
      </c>
      <c r="V208" s="4">
        <f t="shared" ca="1" si="30"/>
        <v>45973.174535995371</v>
      </c>
    </row>
    <row r="209" spans="1:22" x14ac:dyDescent="0.25">
      <c r="A209" t="s">
        <v>215</v>
      </c>
      <c r="B209" t="s">
        <v>715</v>
      </c>
      <c r="C209">
        <f t="shared" si="24"/>
        <v>9</v>
      </c>
      <c r="D209" t="str">
        <f t="shared" si="31"/>
        <v>M1207 Movie_207</v>
      </c>
      <c r="E209" t="s">
        <v>1009</v>
      </c>
      <c r="F209" t="str">
        <f>TRIM(Table1[[#This Row],[Genre]])</f>
        <v>Action</v>
      </c>
      <c r="G209">
        <v>149</v>
      </c>
      <c r="H209">
        <v>5.4</v>
      </c>
      <c r="I209" t="str" cm="1">
        <f t="array" ref="I209">_xlfn.IFS(H209&lt;4,"poor",H209&lt;7,"average",H209&lt;9,"good",TRUE,"excellent")</f>
        <v>average</v>
      </c>
      <c r="J209" t="s">
        <v>1014</v>
      </c>
      <c r="K209" t="str">
        <f t="shared" si="25"/>
        <v>Jap</v>
      </c>
      <c r="L209">
        <v>2023</v>
      </c>
      <c r="M209" t="str">
        <f t="shared" si="26"/>
        <v>23</v>
      </c>
      <c r="N209" t="s">
        <v>1020</v>
      </c>
      <c r="O209" s="2">
        <v>45080</v>
      </c>
      <c r="Q209">
        <f t="shared" si="27"/>
        <v>5</v>
      </c>
      <c r="R209">
        <f t="shared" si="28"/>
        <v>38370</v>
      </c>
      <c r="U209" t="str">
        <f t="shared" si="29"/>
        <v>long</v>
      </c>
      <c r="V209" s="4">
        <f t="shared" ca="1" si="30"/>
        <v>45973.174535995371</v>
      </c>
    </row>
    <row r="210" spans="1:22" x14ac:dyDescent="0.25">
      <c r="A210" t="s">
        <v>216</v>
      </c>
      <c r="B210" t="s">
        <v>716</v>
      </c>
      <c r="C210">
        <f t="shared" si="24"/>
        <v>9</v>
      </c>
      <c r="D210" t="str">
        <f t="shared" si="31"/>
        <v>M1208 Movie_208</v>
      </c>
      <c r="E210" t="s">
        <v>1012</v>
      </c>
      <c r="F210" t="str">
        <f>TRIM(Table1[[#This Row],[Genre]])</f>
        <v>Sci-Fi</v>
      </c>
      <c r="G210">
        <v>117</v>
      </c>
      <c r="H210">
        <v>4.7</v>
      </c>
      <c r="I210" t="str" cm="1">
        <f t="array" ref="I210">_xlfn.IFS(H210&lt;4,"poor",H210&lt;7,"average",H210&lt;9,"good",TRUE,"excellent")</f>
        <v>average</v>
      </c>
      <c r="J210" t="s">
        <v>1019</v>
      </c>
      <c r="K210" t="str">
        <f t="shared" si="25"/>
        <v>Ger</v>
      </c>
      <c r="L210">
        <v>2023</v>
      </c>
      <c r="M210" t="str">
        <f t="shared" si="26"/>
        <v>23</v>
      </c>
      <c r="N210" t="s">
        <v>1020</v>
      </c>
      <c r="O210" s="2">
        <v>45162</v>
      </c>
      <c r="Q210">
        <f t="shared" si="27"/>
        <v>5</v>
      </c>
      <c r="R210">
        <f t="shared" si="28"/>
        <v>38221</v>
      </c>
      <c r="U210" t="str">
        <f t="shared" si="29"/>
        <v>short</v>
      </c>
      <c r="V210" s="4">
        <f t="shared" ca="1" si="30"/>
        <v>45973.174535995371</v>
      </c>
    </row>
    <row r="211" spans="1:22" x14ac:dyDescent="0.25">
      <c r="A211" t="s">
        <v>217</v>
      </c>
      <c r="B211" t="s">
        <v>717</v>
      </c>
      <c r="C211">
        <f t="shared" si="24"/>
        <v>9</v>
      </c>
      <c r="D211" t="str">
        <f t="shared" si="31"/>
        <v>M1209 Movie_209</v>
      </c>
      <c r="E211" t="s">
        <v>1011</v>
      </c>
      <c r="F211" t="str">
        <f>TRIM(Table1[[#This Row],[Genre]])</f>
        <v>Comedy</v>
      </c>
      <c r="G211">
        <v>77</v>
      </c>
      <c r="H211">
        <v>9.6</v>
      </c>
      <c r="I211" t="str" cm="1">
        <f t="array" ref="I211">_xlfn.IFS(H211&lt;4,"poor",H211&lt;7,"average",H211&lt;9,"good",TRUE,"excellent")</f>
        <v>excellent</v>
      </c>
      <c r="J211" t="s">
        <v>1017</v>
      </c>
      <c r="K211" t="str">
        <f t="shared" si="25"/>
        <v>Fre</v>
      </c>
      <c r="L211">
        <v>2021</v>
      </c>
      <c r="M211" t="str">
        <f t="shared" si="26"/>
        <v>21</v>
      </c>
      <c r="N211" t="s">
        <v>1021</v>
      </c>
      <c r="O211" s="2">
        <v>44167</v>
      </c>
      <c r="Q211">
        <f t="shared" si="27"/>
        <v>5</v>
      </c>
      <c r="R211">
        <f t="shared" si="28"/>
        <v>38104</v>
      </c>
      <c r="U211" t="str">
        <f t="shared" si="29"/>
        <v>short</v>
      </c>
      <c r="V211" s="4">
        <f t="shared" ca="1" si="30"/>
        <v>45973.174535995371</v>
      </c>
    </row>
    <row r="212" spans="1:22" x14ac:dyDescent="0.25">
      <c r="A212" t="s">
        <v>218</v>
      </c>
      <c r="B212" t="s">
        <v>718</v>
      </c>
      <c r="C212">
        <f t="shared" si="24"/>
        <v>9</v>
      </c>
      <c r="D212" t="str">
        <f t="shared" si="31"/>
        <v>M1210 Movie_210</v>
      </c>
      <c r="E212" t="s">
        <v>1011</v>
      </c>
      <c r="F212" t="str">
        <f>TRIM(Table1[[#This Row],[Genre]])</f>
        <v>Comedy</v>
      </c>
      <c r="G212">
        <v>70</v>
      </c>
      <c r="H212">
        <v>1.3</v>
      </c>
      <c r="I212" t="str" cm="1">
        <f t="array" ref="I212">_xlfn.IFS(H212&lt;4,"poor",H212&lt;7,"average",H212&lt;9,"good",TRUE,"excellent")</f>
        <v>poor</v>
      </c>
      <c r="J212" t="s">
        <v>1017</v>
      </c>
      <c r="K212" t="str">
        <f t="shared" si="25"/>
        <v>Fre</v>
      </c>
      <c r="L212">
        <v>2024</v>
      </c>
      <c r="M212" t="str">
        <f t="shared" si="26"/>
        <v>24</v>
      </c>
      <c r="N212" t="s">
        <v>1021</v>
      </c>
      <c r="O212" s="2">
        <v>44732</v>
      </c>
      <c r="Q212">
        <f t="shared" si="27"/>
        <v>5</v>
      </c>
      <c r="R212">
        <f t="shared" si="28"/>
        <v>38027</v>
      </c>
      <c r="U212" t="str">
        <f t="shared" si="29"/>
        <v>short</v>
      </c>
      <c r="V212" s="4">
        <f t="shared" ca="1" si="30"/>
        <v>45973.174535995371</v>
      </c>
    </row>
    <row r="213" spans="1:22" x14ac:dyDescent="0.25">
      <c r="A213" t="s">
        <v>219</v>
      </c>
      <c r="B213" t="s">
        <v>719</v>
      </c>
      <c r="C213">
        <f t="shared" si="24"/>
        <v>9</v>
      </c>
      <c r="D213" t="str">
        <f t="shared" si="31"/>
        <v>M1211 Movie_211</v>
      </c>
      <c r="E213" t="s">
        <v>1008</v>
      </c>
      <c r="F213" t="str">
        <f>TRIM(Table1[[#This Row],[Genre]])</f>
        <v>Horror</v>
      </c>
      <c r="G213">
        <v>67</v>
      </c>
      <c r="H213">
        <v>4.3</v>
      </c>
      <c r="I213" t="str" cm="1">
        <f t="array" ref="I213">_xlfn.IFS(H213&lt;4,"poor",H213&lt;7,"average",H213&lt;9,"good",TRUE,"excellent")</f>
        <v>average</v>
      </c>
      <c r="J213" t="s">
        <v>1014</v>
      </c>
      <c r="K213" t="str">
        <f t="shared" si="25"/>
        <v>Jap</v>
      </c>
      <c r="L213">
        <v>1996</v>
      </c>
      <c r="M213" t="str">
        <f t="shared" si="26"/>
        <v>96</v>
      </c>
      <c r="N213" t="s">
        <v>1021</v>
      </c>
      <c r="O213" s="2">
        <v>44550</v>
      </c>
      <c r="Q213">
        <f t="shared" si="27"/>
        <v>5</v>
      </c>
      <c r="R213">
        <f t="shared" si="28"/>
        <v>37957</v>
      </c>
      <c r="U213" t="str">
        <f t="shared" si="29"/>
        <v>short</v>
      </c>
      <c r="V213" s="4">
        <f t="shared" ca="1" si="30"/>
        <v>45973.174535995371</v>
      </c>
    </row>
    <row r="214" spans="1:22" x14ac:dyDescent="0.25">
      <c r="A214" t="s">
        <v>220</v>
      </c>
      <c r="B214" t="s">
        <v>720</v>
      </c>
      <c r="C214">
        <f t="shared" si="24"/>
        <v>9</v>
      </c>
      <c r="D214" t="str">
        <f t="shared" si="31"/>
        <v>M1212 Movie_212</v>
      </c>
      <c r="E214" t="s">
        <v>1013</v>
      </c>
      <c r="F214" t="str">
        <f>TRIM(Table1[[#This Row],[Genre]])</f>
        <v>Thriller</v>
      </c>
      <c r="G214">
        <v>123</v>
      </c>
      <c r="H214">
        <v>5</v>
      </c>
      <c r="I214" t="str" cm="1">
        <f t="array" ref="I214">_xlfn.IFS(H214&lt;4,"poor",H214&lt;7,"average",H214&lt;9,"good",TRUE,"excellent")</f>
        <v>average</v>
      </c>
      <c r="J214" t="s">
        <v>1018</v>
      </c>
      <c r="K214" t="str">
        <f t="shared" si="25"/>
        <v>Eng</v>
      </c>
      <c r="L214">
        <v>2019</v>
      </c>
      <c r="M214" t="str">
        <f t="shared" si="26"/>
        <v>19</v>
      </c>
      <c r="N214" t="s">
        <v>1020</v>
      </c>
      <c r="O214" s="2">
        <v>45310</v>
      </c>
      <c r="Q214">
        <f t="shared" si="27"/>
        <v>5</v>
      </c>
      <c r="R214">
        <f t="shared" si="28"/>
        <v>37890</v>
      </c>
      <c r="U214" t="str">
        <f t="shared" si="29"/>
        <v>long</v>
      </c>
      <c r="V214" s="4">
        <f t="shared" ca="1" si="30"/>
        <v>45973.174535995371</v>
      </c>
    </row>
    <row r="215" spans="1:22" x14ac:dyDescent="0.25">
      <c r="A215" t="s">
        <v>221</v>
      </c>
      <c r="B215" t="s">
        <v>721</v>
      </c>
      <c r="C215">
        <f t="shared" si="24"/>
        <v>9</v>
      </c>
      <c r="D215" t="str">
        <f t="shared" si="31"/>
        <v>M1213 Movie_213</v>
      </c>
      <c r="E215" t="s">
        <v>1012</v>
      </c>
      <c r="F215" t="str">
        <f>TRIM(Table1[[#This Row],[Genre]])</f>
        <v>Sci-Fi</v>
      </c>
      <c r="G215">
        <v>111</v>
      </c>
      <c r="H215">
        <v>9.6</v>
      </c>
      <c r="I215" t="str" cm="1">
        <f t="array" ref="I215">_xlfn.IFS(H215&lt;4,"poor",H215&lt;7,"average",H215&lt;9,"good",TRUE,"excellent")</f>
        <v>excellent</v>
      </c>
      <c r="J215" t="s">
        <v>1017</v>
      </c>
      <c r="K215" t="str">
        <f t="shared" si="25"/>
        <v>Fre</v>
      </c>
      <c r="L215">
        <v>2010</v>
      </c>
      <c r="M215" t="str">
        <f t="shared" si="26"/>
        <v>10</v>
      </c>
      <c r="N215" t="s">
        <v>1020</v>
      </c>
      <c r="O215" s="2">
        <v>44267</v>
      </c>
      <c r="Q215">
        <f t="shared" si="27"/>
        <v>5</v>
      </c>
      <c r="R215">
        <f t="shared" si="28"/>
        <v>37767</v>
      </c>
      <c r="U215" t="str">
        <f t="shared" si="29"/>
        <v>short</v>
      </c>
      <c r="V215" s="4">
        <f t="shared" ca="1" si="30"/>
        <v>45973.174535995371</v>
      </c>
    </row>
    <row r="216" spans="1:22" x14ac:dyDescent="0.25">
      <c r="A216" t="s">
        <v>222</v>
      </c>
      <c r="B216" t="s">
        <v>722</v>
      </c>
      <c r="C216">
        <f t="shared" si="24"/>
        <v>9</v>
      </c>
      <c r="D216" t="str">
        <f t="shared" si="31"/>
        <v>M1214 Movie_214</v>
      </c>
      <c r="E216" t="s">
        <v>1011</v>
      </c>
      <c r="F216" t="str">
        <f>TRIM(Table1[[#This Row],[Genre]])</f>
        <v>Comedy</v>
      </c>
      <c r="G216">
        <v>65</v>
      </c>
      <c r="H216">
        <v>8.6999999999999993</v>
      </c>
      <c r="I216" t="str" cm="1">
        <f t="array" ref="I216">_xlfn.IFS(H216&lt;4,"poor",H216&lt;7,"average",H216&lt;9,"good",TRUE,"excellent")</f>
        <v>good</v>
      </c>
      <c r="J216" t="s">
        <v>1018</v>
      </c>
      <c r="K216" t="str">
        <f t="shared" si="25"/>
        <v>Eng</v>
      </c>
      <c r="L216">
        <v>1992</v>
      </c>
      <c r="M216" t="str">
        <f t="shared" si="26"/>
        <v>92</v>
      </c>
      <c r="N216" t="s">
        <v>1021</v>
      </c>
      <c r="O216" s="2">
        <v>45117</v>
      </c>
      <c r="Q216">
        <f t="shared" si="27"/>
        <v>5</v>
      </c>
      <c r="R216">
        <f t="shared" si="28"/>
        <v>37656</v>
      </c>
      <c r="U216" t="str">
        <f t="shared" si="29"/>
        <v>short</v>
      </c>
      <c r="V216" s="4">
        <f t="shared" ca="1" si="30"/>
        <v>45973.174535995371</v>
      </c>
    </row>
    <row r="217" spans="1:22" x14ac:dyDescent="0.25">
      <c r="A217" t="s">
        <v>223</v>
      </c>
      <c r="B217" t="s">
        <v>723</v>
      </c>
      <c r="C217">
        <f t="shared" si="24"/>
        <v>9</v>
      </c>
      <c r="D217" t="str">
        <f t="shared" si="31"/>
        <v>M1215 Movie_215</v>
      </c>
      <c r="E217" t="s">
        <v>1010</v>
      </c>
      <c r="F217" t="str">
        <f>TRIM(Table1[[#This Row],[Genre]])</f>
        <v>Drama</v>
      </c>
      <c r="G217">
        <v>99</v>
      </c>
      <c r="H217">
        <v>1.9</v>
      </c>
      <c r="I217" t="str" cm="1">
        <f t="array" ref="I217">_xlfn.IFS(H217&lt;4,"poor",H217&lt;7,"average",H217&lt;9,"good",TRUE,"excellent")</f>
        <v>poor</v>
      </c>
      <c r="J217" t="s">
        <v>1017</v>
      </c>
      <c r="K217" t="str">
        <f t="shared" si="25"/>
        <v>Fre</v>
      </c>
      <c r="L217">
        <v>1995</v>
      </c>
      <c r="M217" t="str">
        <f t="shared" si="26"/>
        <v>95</v>
      </c>
      <c r="N217" t="s">
        <v>1020</v>
      </c>
      <c r="O217" s="2">
        <v>45363</v>
      </c>
      <c r="Q217">
        <f t="shared" si="27"/>
        <v>5</v>
      </c>
      <c r="R217">
        <f t="shared" si="28"/>
        <v>37591</v>
      </c>
      <c r="U217" t="str">
        <f t="shared" si="29"/>
        <v>short</v>
      </c>
      <c r="V217" s="4">
        <f t="shared" ca="1" si="30"/>
        <v>45973.174535995371</v>
      </c>
    </row>
    <row r="218" spans="1:22" x14ac:dyDescent="0.25">
      <c r="A218" t="s">
        <v>224</v>
      </c>
      <c r="B218" t="s">
        <v>724</v>
      </c>
      <c r="C218">
        <f t="shared" si="24"/>
        <v>9</v>
      </c>
      <c r="D218" t="str">
        <f t="shared" si="31"/>
        <v>M1216 Movie_216</v>
      </c>
      <c r="E218" t="s">
        <v>1012</v>
      </c>
      <c r="F218" t="str">
        <f>TRIM(Table1[[#This Row],[Genre]])</f>
        <v>Sci-Fi</v>
      </c>
      <c r="G218">
        <v>121</v>
      </c>
      <c r="H218">
        <v>7.2</v>
      </c>
      <c r="I218" t="str" cm="1">
        <f t="array" ref="I218">_xlfn.IFS(H218&lt;4,"poor",H218&lt;7,"average",H218&lt;9,"good",TRUE,"excellent")</f>
        <v>good</v>
      </c>
      <c r="J218" t="s">
        <v>1016</v>
      </c>
      <c r="K218" t="str">
        <f t="shared" si="25"/>
        <v>Spa</v>
      </c>
      <c r="L218">
        <v>1997</v>
      </c>
      <c r="M218" t="str">
        <f t="shared" si="26"/>
        <v>97</v>
      </c>
      <c r="N218" t="s">
        <v>1020</v>
      </c>
      <c r="O218" s="2">
        <v>44141</v>
      </c>
      <c r="Q218">
        <f t="shared" si="27"/>
        <v>5</v>
      </c>
      <c r="R218">
        <f t="shared" si="28"/>
        <v>37492</v>
      </c>
      <c r="U218" t="str">
        <f t="shared" si="29"/>
        <v>long</v>
      </c>
      <c r="V218" s="4">
        <f t="shared" ca="1" si="30"/>
        <v>45973.174535995371</v>
      </c>
    </row>
    <row r="219" spans="1:22" x14ac:dyDescent="0.25">
      <c r="A219" t="s">
        <v>225</v>
      </c>
      <c r="B219" t="s">
        <v>725</v>
      </c>
      <c r="C219">
        <f t="shared" si="24"/>
        <v>9</v>
      </c>
      <c r="D219" t="str">
        <f t="shared" si="31"/>
        <v>M1217 Movie_217</v>
      </c>
      <c r="E219" t="s">
        <v>1012</v>
      </c>
      <c r="F219" t="str">
        <f>TRIM(Table1[[#This Row],[Genre]])</f>
        <v>Sci-Fi</v>
      </c>
      <c r="G219">
        <v>92</v>
      </c>
      <c r="H219">
        <v>5.9</v>
      </c>
      <c r="I219" t="str" cm="1">
        <f t="array" ref="I219">_xlfn.IFS(H219&lt;4,"poor",H219&lt;7,"average",H219&lt;9,"good",TRUE,"excellent")</f>
        <v>average</v>
      </c>
      <c r="J219" t="s">
        <v>1014</v>
      </c>
      <c r="K219" t="str">
        <f t="shared" si="25"/>
        <v>Jap</v>
      </c>
      <c r="L219">
        <v>2015</v>
      </c>
      <c r="M219" t="str">
        <f t="shared" si="26"/>
        <v>15</v>
      </c>
      <c r="N219" t="s">
        <v>1021</v>
      </c>
      <c r="O219" s="2">
        <v>44674</v>
      </c>
      <c r="Q219">
        <f t="shared" si="27"/>
        <v>5</v>
      </c>
      <c r="R219">
        <f t="shared" si="28"/>
        <v>37371</v>
      </c>
      <c r="U219" t="str">
        <f t="shared" si="29"/>
        <v>short</v>
      </c>
      <c r="V219" s="4">
        <f t="shared" ca="1" si="30"/>
        <v>45973.174535995371</v>
      </c>
    </row>
    <row r="220" spans="1:22" x14ac:dyDescent="0.25">
      <c r="A220" t="s">
        <v>226</v>
      </c>
      <c r="B220" t="s">
        <v>726</v>
      </c>
      <c r="C220">
        <f t="shared" si="24"/>
        <v>9</v>
      </c>
      <c r="D220" t="str">
        <f t="shared" si="31"/>
        <v>M1218 Movie_218</v>
      </c>
      <c r="E220" t="s">
        <v>1013</v>
      </c>
      <c r="F220" t="str">
        <f>TRIM(Table1[[#This Row],[Genre]])</f>
        <v>Thriller</v>
      </c>
      <c r="G220">
        <v>181</v>
      </c>
      <c r="H220">
        <v>9.8000000000000007</v>
      </c>
      <c r="I220" t="str" cm="1">
        <f t="array" ref="I220">_xlfn.IFS(H220&lt;4,"poor",H220&lt;7,"average",H220&lt;9,"good",TRUE,"excellent")</f>
        <v>excellent</v>
      </c>
      <c r="J220" t="s">
        <v>1014</v>
      </c>
      <c r="K220" t="str">
        <f t="shared" si="25"/>
        <v>Jap</v>
      </c>
      <c r="L220">
        <v>1999</v>
      </c>
      <c r="M220" t="str">
        <f t="shared" si="26"/>
        <v>99</v>
      </c>
      <c r="N220" t="s">
        <v>1020</v>
      </c>
      <c r="O220" s="2">
        <v>45092</v>
      </c>
      <c r="Q220">
        <f t="shared" si="27"/>
        <v>5</v>
      </c>
      <c r="R220">
        <f t="shared" si="28"/>
        <v>37279</v>
      </c>
      <c r="U220" t="str">
        <f t="shared" si="29"/>
        <v>long</v>
      </c>
      <c r="V220" s="4">
        <f t="shared" ca="1" si="30"/>
        <v>45973.174535995371</v>
      </c>
    </row>
    <row r="221" spans="1:22" x14ac:dyDescent="0.25">
      <c r="A221" t="s">
        <v>227</v>
      </c>
      <c r="B221" t="s">
        <v>727</v>
      </c>
      <c r="C221">
        <f t="shared" si="24"/>
        <v>9</v>
      </c>
      <c r="D221" t="str">
        <f t="shared" si="31"/>
        <v>M1219 Movie_219</v>
      </c>
      <c r="E221" t="s">
        <v>1011</v>
      </c>
      <c r="F221" t="str">
        <f>TRIM(Table1[[#This Row],[Genre]])</f>
        <v>Comedy</v>
      </c>
      <c r="G221">
        <v>89</v>
      </c>
      <c r="H221">
        <v>4.2</v>
      </c>
      <c r="I221" t="str" cm="1">
        <f t="array" ref="I221">_xlfn.IFS(H221&lt;4,"poor",H221&lt;7,"average",H221&lt;9,"good",TRUE,"excellent")</f>
        <v>average</v>
      </c>
      <c r="J221" t="s">
        <v>1014</v>
      </c>
      <c r="K221" t="str">
        <f t="shared" si="25"/>
        <v>Jap</v>
      </c>
      <c r="L221">
        <v>1994</v>
      </c>
      <c r="M221" t="str">
        <f t="shared" si="26"/>
        <v>94</v>
      </c>
      <c r="N221" t="s">
        <v>1020</v>
      </c>
      <c r="O221" s="2">
        <v>45237</v>
      </c>
      <c r="Q221">
        <f t="shared" si="27"/>
        <v>5</v>
      </c>
      <c r="R221">
        <f t="shared" si="28"/>
        <v>37098</v>
      </c>
      <c r="U221" t="str">
        <f t="shared" si="29"/>
        <v>short</v>
      </c>
      <c r="V221" s="4">
        <f t="shared" ca="1" si="30"/>
        <v>45973.174535995371</v>
      </c>
    </row>
    <row r="222" spans="1:22" x14ac:dyDescent="0.25">
      <c r="A222" t="s">
        <v>228</v>
      </c>
      <c r="B222" t="s">
        <v>728</v>
      </c>
      <c r="C222">
        <f t="shared" si="24"/>
        <v>9</v>
      </c>
      <c r="D222" t="str">
        <f t="shared" si="31"/>
        <v>M1220 Movie_220</v>
      </c>
      <c r="E222" t="s">
        <v>1012</v>
      </c>
      <c r="F222" t="str">
        <f>TRIM(Table1[[#This Row],[Genre]])</f>
        <v>Sci-Fi</v>
      </c>
      <c r="G222">
        <v>115</v>
      </c>
      <c r="H222">
        <v>4.5999999999999996</v>
      </c>
      <c r="I222" t="str" cm="1">
        <f t="array" ref="I222">_xlfn.IFS(H222&lt;4,"poor",H222&lt;7,"average",H222&lt;9,"good",TRUE,"excellent")</f>
        <v>average</v>
      </c>
      <c r="J222" t="s">
        <v>1018</v>
      </c>
      <c r="K222" t="str">
        <f t="shared" si="25"/>
        <v>Eng</v>
      </c>
      <c r="L222">
        <v>1999</v>
      </c>
      <c r="M222" t="str">
        <f t="shared" si="26"/>
        <v>99</v>
      </c>
      <c r="N222" t="s">
        <v>1021</v>
      </c>
      <c r="O222" s="2">
        <v>44737</v>
      </c>
      <c r="Q222">
        <f t="shared" si="27"/>
        <v>5</v>
      </c>
      <c r="R222">
        <f t="shared" si="28"/>
        <v>37009</v>
      </c>
      <c r="U222" t="str">
        <f t="shared" si="29"/>
        <v>short</v>
      </c>
      <c r="V222" s="4">
        <f t="shared" ca="1" si="30"/>
        <v>45973.174535995371</v>
      </c>
    </row>
    <row r="223" spans="1:22" x14ac:dyDescent="0.25">
      <c r="A223" t="s">
        <v>229</v>
      </c>
      <c r="B223" t="s">
        <v>729</v>
      </c>
      <c r="C223">
        <f t="shared" si="24"/>
        <v>9</v>
      </c>
      <c r="D223" t="str">
        <f t="shared" si="31"/>
        <v>M1221 Movie_221</v>
      </c>
      <c r="E223" t="s">
        <v>1008</v>
      </c>
      <c r="F223" t="str">
        <f>TRIM(Table1[[#This Row],[Genre]])</f>
        <v>Horror</v>
      </c>
      <c r="G223">
        <v>179</v>
      </c>
      <c r="H223">
        <v>2.7</v>
      </c>
      <c r="I223" t="str" cm="1">
        <f t="array" ref="I223">_xlfn.IFS(H223&lt;4,"poor",H223&lt;7,"average",H223&lt;9,"good",TRUE,"excellent")</f>
        <v>poor</v>
      </c>
      <c r="J223" t="s">
        <v>1015</v>
      </c>
      <c r="K223" t="str">
        <f t="shared" si="25"/>
        <v>Hin</v>
      </c>
      <c r="L223">
        <v>1998</v>
      </c>
      <c r="M223" t="str">
        <f t="shared" si="26"/>
        <v>98</v>
      </c>
      <c r="N223" t="s">
        <v>1021</v>
      </c>
      <c r="O223" s="2">
        <v>44275</v>
      </c>
      <c r="Q223">
        <f t="shared" si="27"/>
        <v>5</v>
      </c>
      <c r="R223">
        <f t="shared" si="28"/>
        <v>36894</v>
      </c>
      <c r="U223" t="str">
        <f t="shared" si="29"/>
        <v>long</v>
      </c>
      <c r="V223" s="4">
        <f t="shared" ca="1" si="30"/>
        <v>45973.174535995371</v>
      </c>
    </row>
    <row r="224" spans="1:22" x14ac:dyDescent="0.25">
      <c r="A224" t="s">
        <v>230</v>
      </c>
      <c r="B224" t="s">
        <v>730</v>
      </c>
      <c r="C224">
        <f t="shared" si="24"/>
        <v>9</v>
      </c>
      <c r="D224" t="str">
        <f t="shared" si="31"/>
        <v>M1222 Movie_222</v>
      </c>
      <c r="E224" t="s">
        <v>1008</v>
      </c>
      <c r="F224" t="str">
        <f>TRIM(Table1[[#This Row],[Genre]])</f>
        <v>Horror</v>
      </c>
      <c r="G224">
        <v>125</v>
      </c>
      <c r="H224">
        <v>2.1</v>
      </c>
      <c r="I224" t="str" cm="1">
        <f t="array" ref="I224">_xlfn.IFS(H224&lt;4,"poor",H224&lt;7,"average",H224&lt;9,"good",TRUE,"excellent")</f>
        <v>poor</v>
      </c>
      <c r="J224" t="s">
        <v>1014</v>
      </c>
      <c r="K224" t="str">
        <f t="shared" si="25"/>
        <v>Jap</v>
      </c>
      <c r="L224">
        <v>2025</v>
      </c>
      <c r="M224" t="str">
        <f t="shared" si="26"/>
        <v>25</v>
      </c>
      <c r="N224" t="s">
        <v>1021</v>
      </c>
      <c r="O224" s="2">
        <v>44008</v>
      </c>
      <c r="Q224">
        <f t="shared" si="27"/>
        <v>5</v>
      </c>
      <c r="R224">
        <f t="shared" si="28"/>
        <v>36715</v>
      </c>
      <c r="U224" t="str">
        <f t="shared" si="29"/>
        <v>long</v>
      </c>
      <c r="V224" s="4">
        <f t="shared" ca="1" si="30"/>
        <v>45973.174535995371</v>
      </c>
    </row>
    <row r="225" spans="1:22" x14ac:dyDescent="0.25">
      <c r="A225" t="s">
        <v>231</v>
      </c>
      <c r="B225" t="s">
        <v>731</v>
      </c>
      <c r="C225">
        <f t="shared" si="24"/>
        <v>9</v>
      </c>
      <c r="D225" t="str">
        <f t="shared" si="31"/>
        <v>M1223 Movie_223</v>
      </c>
      <c r="E225" t="s">
        <v>1011</v>
      </c>
      <c r="F225" t="str">
        <f>TRIM(Table1[[#This Row],[Genre]])</f>
        <v>Comedy</v>
      </c>
      <c r="G225">
        <v>154</v>
      </c>
      <c r="H225">
        <v>8.6</v>
      </c>
      <c r="I225" t="str" cm="1">
        <f t="array" ref="I225">_xlfn.IFS(H225&lt;4,"poor",H225&lt;7,"average",H225&lt;9,"good",TRUE,"excellent")</f>
        <v>good</v>
      </c>
      <c r="J225" t="s">
        <v>1017</v>
      </c>
      <c r="K225" t="str">
        <f t="shared" si="25"/>
        <v>Fre</v>
      </c>
      <c r="L225">
        <v>1993</v>
      </c>
      <c r="M225" t="str">
        <f t="shared" si="26"/>
        <v>93</v>
      </c>
      <c r="N225" t="s">
        <v>1020</v>
      </c>
      <c r="O225" s="2">
        <v>44036</v>
      </c>
      <c r="Q225">
        <f t="shared" si="27"/>
        <v>5</v>
      </c>
      <c r="R225">
        <f t="shared" si="28"/>
        <v>36590</v>
      </c>
      <c r="U225" t="str">
        <f t="shared" si="29"/>
        <v>long</v>
      </c>
      <c r="V225" s="4">
        <f t="shared" ca="1" si="30"/>
        <v>45973.174535995371</v>
      </c>
    </row>
    <row r="226" spans="1:22" x14ac:dyDescent="0.25">
      <c r="A226" t="s">
        <v>232</v>
      </c>
      <c r="B226" t="s">
        <v>732</v>
      </c>
      <c r="C226">
        <f t="shared" si="24"/>
        <v>9</v>
      </c>
      <c r="D226" t="str">
        <f t="shared" si="31"/>
        <v>M1224 Movie_224</v>
      </c>
      <c r="E226" t="s">
        <v>1008</v>
      </c>
      <c r="F226" t="str">
        <f>TRIM(Table1[[#This Row],[Genre]])</f>
        <v>Horror</v>
      </c>
      <c r="G226">
        <v>102</v>
      </c>
      <c r="H226">
        <v>5.0999999999999996</v>
      </c>
      <c r="I226" t="str" cm="1">
        <f t="array" ref="I226">_xlfn.IFS(H226&lt;4,"poor",H226&lt;7,"average",H226&lt;9,"good",TRUE,"excellent")</f>
        <v>average</v>
      </c>
      <c r="J226" t="s">
        <v>1016</v>
      </c>
      <c r="K226" t="str">
        <f t="shared" si="25"/>
        <v>Spa</v>
      </c>
      <c r="L226">
        <v>2024</v>
      </c>
      <c r="M226" t="str">
        <f t="shared" si="26"/>
        <v>24</v>
      </c>
      <c r="N226" t="s">
        <v>1021</v>
      </c>
      <c r="O226" s="2">
        <v>44117</v>
      </c>
      <c r="Q226">
        <f t="shared" si="27"/>
        <v>5</v>
      </c>
      <c r="R226">
        <f t="shared" si="28"/>
        <v>36436</v>
      </c>
      <c r="U226" t="str">
        <f t="shared" si="29"/>
        <v>short</v>
      </c>
      <c r="V226" s="4">
        <f t="shared" ca="1" si="30"/>
        <v>45973.174535995371</v>
      </c>
    </row>
    <row r="227" spans="1:22" x14ac:dyDescent="0.25">
      <c r="A227" t="s">
        <v>233</v>
      </c>
      <c r="B227" t="s">
        <v>733</v>
      </c>
      <c r="C227">
        <f t="shared" si="24"/>
        <v>9</v>
      </c>
      <c r="D227" t="str">
        <f t="shared" si="31"/>
        <v>M1225 Movie_225</v>
      </c>
      <c r="E227" t="s">
        <v>1010</v>
      </c>
      <c r="F227" t="str">
        <f>TRIM(Table1[[#This Row],[Genre]])</f>
        <v>Drama</v>
      </c>
      <c r="G227">
        <v>89</v>
      </c>
      <c r="H227">
        <v>7</v>
      </c>
      <c r="I227" t="str" cm="1">
        <f t="array" ref="I227">_xlfn.IFS(H227&lt;4,"poor",H227&lt;7,"average",H227&lt;9,"good",TRUE,"excellent")</f>
        <v>good</v>
      </c>
      <c r="J227" t="s">
        <v>1018</v>
      </c>
      <c r="K227" t="str">
        <f t="shared" si="25"/>
        <v>Eng</v>
      </c>
      <c r="L227">
        <v>2025</v>
      </c>
      <c r="M227" t="str">
        <f t="shared" si="26"/>
        <v>25</v>
      </c>
      <c r="N227" t="s">
        <v>1021</v>
      </c>
      <c r="O227" s="2">
        <v>45372</v>
      </c>
      <c r="Q227">
        <f t="shared" si="27"/>
        <v>5</v>
      </c>
      <c r="R227">
        <f t="shared" si="28"/>
        <v>36334</v>
      </c>
      <c r="U227" t="str">
        <f t="shared" si="29"/>
        <v>short</v>
      </c>
      <c r="V227" s="4">
        <f t="shared" ca="1" si="30"/>
        <v>45973.174535995371</v>
      </c>
    </row>
    <row r="228" spans="1:22" x14ac:dyDescent="0.25">
      <c r="A228" t="s">
        <v>234</v>
      </c>
      <c r="B228" t="s">
        <v>734</v>
      </c>
      <c r="C228">
        <f t="shared" si="24"/>
        <v>9</v>
      </c>
      <c r="D228" t="str">
        <f t="shared" si="31"/>
        <v>M1226 Movie_226</v>
      </c>
      <c r="E228" t="s">
        <v>1013</v>
      </c>
      <c r="F228" t="str">
        <f>TRIM(Table1[[#This Row],[Genre]])</f>
        <v>Thriller</v>
      </c>
      <c r="G228">
        <v>101</v>
      </c>
      <c r="H228">
        <v>6.8</v>
      </c>
      <c r="I228" t="str" cm="1">
        <f t="array" ref="I228">_xlfn.IFS(H228&lt;4,"poor",H228&lt;7,"average",H228&lt;9,"good",TRUE,"excellent")</f>
        <v>average</v>
      </c>
      <c r="J228" t="s">
        <v>1017</v>
      </c>
      <c r="K228" t="str">
        <f t="shared" si="25"/>
        <v>Fre</v>
      </c>
      <c r="L228">
        <v>2011</v>
      </c>
      <c r="M228" t="str">
        <f t="shared" si="26"/>
        <v>11</v>
      </c>
      <c r="N228" t="s">
        <v>1021</v>
      </c>
      <c r="O228" s="2">
        <v>44083</v>
      </c>
      <c r="Q228">
        <f t="shared" si="27"/>
        <v>5</v>
      </c>
      <c r="R228">
        <f t="shared" si="28"/>
        <v>36245</v>
      </c>
      <c r="U228" t="str">
        <f t="shared" si="29"/>
        <v>short</v>
      </c>
      <c r="V228" s="4">
        <f t="shared" ca="1" si="30"/>
        <v>45973.174535995371</v>
      </c>
    </row>
    <row r="229" spans="1:22" x14ac:dyDescent="0.25">
      <c r="A229" t="s">
        <v>235</v>
      </c>
      <c r="B229" t="s">
        <v>735</v>
      </c>
      <c r="C229">
        <f t="shared" si="24"/>
        <v>9</v>
      </c>
      <c r="D229" t="str">
        <f t="shared" si="31"/>
        <v>M1227 Movie_227</v>
      </c>
      <c r="E229" t="s">
        <v>1008</v>
      </c>
      <c r="F229" t="str">
        <f>TRIM(Table1[[#This Row],[Genre]])</f>
        <v>Horror</v>
      </c>
      <c r="G229">
        <v>139</v>
      </c>
      <c r="H229">
        <v>6.4</v>
      </c>
      <c r="I229" t="str" cm="1">
        <f t="array" ref="I229">_xlfn.IFS(H229&lt;4,"poor",H229&lt;7,"average",H229&lt;9,"good",TRUE,"excellent")</f>
        <v>average</v>
      </c>
      <c r="J229" t="s">
        <v>1015</v>
      </c>
      <c r="K229" t="str">
        <f t="shared" si="25"/>
        <v>Hin</v>
      </c>
      <c r="L229">
        <v>2000</v>
      </c>
      <c r="M229" t="str">
        <f t="shared" si="26"/>
        <v>00</v>
      </c>
      <c r="N229" t="s">
        <v>1020</v>
      </c>
      <c r="O229" s="2">
        <v>45038</v>
      </c>
      <c r="Q229">
        <f t="shared" si="27"/>
        <v>5</v>
      </c>
      <c r="R229">
        <f t="shared" si="28"/>
        <v>36144</v>
      </c>
      <c r="U229" t="str">
        <f t="shared" si="29"/>
        <v>long</v>
      </c>
      <c r="V229" s="4">
        <f t="shared" ca="1" si="30"/>
        <v>45973.174535995371</v>
      </c>
    </row>
    <row r="230" spans="1:22" x14ac:dyDescent="0.25">
      <c r="A230" t="s">
        <v>236</v>
      </c>
      <c r="B230" t="s">
        <v>736</v>
      </c>
      <c r="C230">
        <f t="shared" si="24"/>
        <v>9</v>
      </c>
      <c r="D230" t="str">
        <f t="shared" si="31"/>
        <v>M1228 Movie_228</v>
      </c>
      <c r="E230" t="s">
        <v>1008</v>
      </c>
      <c r="F230" t="str">
        <f>TRIM(Table1[[#This Row],[Genre]])</f>
        <v>Horror</v>
      </c>
      <c r="G230">
        <v>87</v>
      </c>
      <c r="H230">
        <v>1.2</v>
      </c>
      <c r="I230" t="str" cm="1">
        <f t="array" ref="I230">_xlfn.IFS(H230&lt;4,"poor",H230&lt;7,"average",H230&lt;9,"good",TRUE,"excellent")</f>
        <v>poor</v>
      </c>
      <c r="J230" t="s">
        <v>1017</v>
      </c>
      <c r="K230" t="str">
        <f t="shared" si="25"/>
        <v>Fre</v>
      </c>
      <c r="L230">
        <v>2010</v>
      </c>
      <c r="M230" t="str">
        <f t="shared" si="26"/>
        <v>10</v>
      </c>
      <c r="N230" t="s">
        <v>1021</v>
      </c>
      <c r="O230" s="2">
        <v>45326</v>
      </c>
      <c r="Q230">
        <f t="shared" si="27"/>
        <v>5</v>
      </c>
      <c r="R230">
        <f t="shared" si="28"/>
        <v>36005</v>
      </c>
      <c r="U230" t="str">
        <f t="shared" si="29"/>
        <v>short</v>
      </c>
      <c r="V230" s="4">
        <f t="shared" ca="1" si="30"/>
        <v>45973.174535995371</v>
      </c>
    </row>
    <row r="231" spans="1:22" x14ac:dyDescent="0.25">
      <c r="A231" t="s">
        <v>237</v>
      </c>
      <c r="B231" t="s">
        <v>737</v>
      </c>
      <c r="C231">
        <f t="shared" si="24"/>
        <v>9</v>
      </c>
      <c r="D231" t="str">
        <f t="shared" si="31"/>
        <v>M1229 Movie_229</v>
      </c>
      <c r="E231" t="s">
        <v>1010</v>
      </c>
      <c r="F231" t="str">
        <f>TRIM(Table1[[#This Row],[Genre]])</f>
        <v>Drama</v>
      </c>
      <c r="G231">
        <v>66</v>
      </c>
      <c r="H231">
        <v>8.1</v>
      </c>
      <c r="I231" t="str" cm="1">
        <f t="array" ref="I231">_xlfn.IFS(H231&lt;4,"poor",H231&lt;7,"average",H231&lt;9,"good",TRUE,"excellent")</f>
        <v>good</v>
      </c>
      <c r="J231" t="s">
        <v>1014</v>
      </c>
      <c r="K231" t="str">
        <f t="shared" si="25"/>
        <v>Jap</v>
      </c>
      <c r="L231">
        <v>2002</v>
      </c>
      <c r="M231" t="str">
        <f t="shared" si="26"/>
        <v>02</v>
      </c>
      <c r="N231" t="s">
        <v>1021</v>
      </c>
      <c r="O231" s="2">
        <v>44617</v>
      </c>
      <c r="Q231">
        <f t="shared" si="27"/>
        <v>5</v>
      </c>
      <c r="R231">
        <f t="shared" si="28"/>
        <v>35918</v>
      </c>
      <c r="U231" t="str">
        <f t="shared" si="29"/>
        <v>short</v>
      </c>
      <c r="V231" s="4">
        <f t="shared" ca="1" si="30"/>
        <v>45973.174535995371</v>
      </c>
    </row>
    <row r="232" spans="1:22" x14ac:dyDescent="0.25">
      <c r="A232" t="s">
        <v>238</v>
      </c>
      <c r="B232" t="s">
        <v>738</v>
      </c>
      <c r="C232">
        <f t="shared" si="24"/>
        <v>9</v>
      </c>
      <c r="D232" t="str">
        <f t="shared" si="31"/>
        <v>M1230 Movie_230</v>
      </c>
      <c r="E232" t="s">
        <v>1013</v>
      </c>
      <c r="F232" t="str">
        <f>TRIM(Table1[[#This Row],[Genre]])</f>
        <v>Thriller</v>
      </c>
      <c r="G232">
        <v>139</v>
      </c>
      <c r="H232">
        <v>3.2</v>
      </c>
      <c r="I232" t="str" cm="1">
        <f t="array" ref="I232">_xlfn.IFS(H232&lt;4,"poor",H232&lt;7,"average",H232&lt;9,"good",TRUE,"excellent")</f>
        <v>poor</v>
      </c>
      <c r="J232" t="s">
        <v>1016</v>
      </c>
      <c r="K232" t="str">
        <f t="shared" si="25"/>
        <v>Spa</v>
      </c>
      <c r="L232">
        <v>2015</v>
      </c>
      <c r="M232" t="str">
        <f t="shared" si="26"/>
        <v>15</v>
      </c>
      <c r="N232" t="s">
        <v>1021</v>
      </c>
      <c r="O232" s="2">
        <v>44550</v>
      </c>
      <c r="Q232">
        <f t="shared" si="27"/>
        <v>5</v>
      </c>
      <c r="R232">
        <f t="shared" si="28"/>
        <v>35852</v>
      </c>
      <c r="U232" t="str">
        <f t="shared" si="29"/>
        <v>long</v>
      </c>
      <c r="V232" s="4">
        <f t="shared" ca="1" si="30"/>
        <v>45973.174535995371</v>
      </c>
    </row>
    <row r="233" spans="1:22" x14ac:dyDescent="0.25">
      <c r="A233" t="s">
        <v>239</v>
      </c>
      <c r="B233" t="s">
        <v>739</v>
      </c>
      <c r="C233">
        <f t="shared" si="24"/>
        <v>9</v>
      </c>
      <c r="D233" t="str">
        <f t="shared" si="31"/>
        <v>M1231 Movie_231</v>
      </c>
      <c r="E233" t="s">
        <v>1012</v>
      </c>
      <c r="F233" t="str">
        <f>TRIM(Table1[[#This Row],[Genre]])</f>
        <v>Sci-Fi</v>
      </c>
      <c r="G233">
        <v>156</v>
      </c>
      <c r="H233">
        <v>2.1</v>
      </c>
      <c r="I233" t="str" cm="1">
        <f t="array" ref="I233">_xlfn.IFS(H233&lt;4,"poor",H233&lt;7,"average",H233&lt;9,"good",TRUE,"excellent")</f>
        <v>poor</v>
      </c>
      <c r="J233" t="s">
        <v>1014</v>
      </c>
      <c r="K233" t="str">
        <f t="shared" si="25"/>
        <v>Jap</v>
      </c>
      <c r="L233">
        <v>1997</v>
      </c>
      <c r="M233" t="str">
        <f t="shared" si="26"/>
        <v>97</v>
      </c>
      <c r="N233" t="s">
        <v>1020</v>
      </c>
      <c r="O233" s="2">
        <v>44710</v>
      </c>
      <c r="Q233">
        <f t="shared" si="27"/>
        <v>5</v>
      </c>
      <c r="R233">
        <f t="shared" si="28"/>
        <v>35713</v>
      </c>
      <c r="U233" t="str">
        <f t="shared" si="29"/>
        <v>long</v>
      </c>
      <c r="V233" s="4">
        <f t="shared" ca="1" si="30"/>
        <v>45973.174535995371</v>
      </c>
    </row>
    <row r="234" spans="1:22" x14ac:dyDescent="0.25">
      <c r="A234" t="s">
        <v>240</v>
      </c>
      <c r="B234" t="s">
        <v>740</v>
      </c>
      <c r="C234">
        <f t="shared" si="24"/>
        <v>9</v>
      </c>
      <c r="D234" t="str">
        <f t="shared" si="31"/>
        <v>M1232 Movie_232</v>
      </c>
      <c r="E234" t="s">
        <v>1013</v>
      </c>
      <c r="F234" t="str">
        <f>TRIM(Table1[[#This Row],[Genre]])</f>
        <v>Thriller</v>
      </c>
      <c r="G234">
        <v>161</v>
      </c>
      <c r="H234">
        <v>6.1</v>
      </c>
      <c r="I234" t="str" cm="1">
        <f t="array" ref="I234">_xlfn.IFS(H234&lt;4,"poor",H234&lt;7,"average",H234&lt;9,"good",TRUE,"excellent")</f>
        <v>average</v>
      </c>
      <c r="J234" t="s">
        <v>1019</v>
      </c>
      <c r="K234" t="str">
        <f t="shared" si="25"/>
        <v>Ger</v>
      </c>
      <c r="L234">
        <v>1998</v>
      </c>
      <c r="M234" t="str">
        <f t="shared" si="26"/>
        <v>98</v>
      </c>
      <c r="N234" t="s">
        <v>1021</v>
      </c>
      <c r="O234" s="2">
        <v>44475</v>
      </c>
      <c r="Q234">
        <f t="shared" si="27"/>
        <v>5</v>
      </c>
      <c r="R234">
        <f t="shared" si="28"/>
        <v>35557</v>
      </c>
      <c r="U234" t="str">
        <f t="shared" si="29"/>
        <v>long</v>
      </c>
      <c r="V234" s="4">
        <f t="shared" ca="1" si="30"/>
        <v>45973.174535995371</v>
      </c>
    </row>
    <row r="235" spans="1:22" x14ac:dyDescent="0.25">
      <c r="A235" t="s">
        <v>241</v>
      </c>
      <c r="B235" t="s">
        <v>741</v>
      </c>
      <c r="C235">
        <f t="shared" si="24"/>
        <v>9</v>
      </c>
      <c r="D235" t="str">
        <f t="shared" si="31"/>
        <v>M1233 Movie_233</v>
      </c>
      <c r="E235" t="s">
        <v>1009</v>
      </c>
      <c r="F235" t="str">
        <f>TRIM(Table1[[#This Row],[Genre]])</f>
        <v>Action</v>
      </c>
      <c r="G235">
        <v>110</v>
      </c>
      <c r="H235">
        <v>1.6</v>
      </c>
      <c r="I235" t="str" cm="1">
        <f t="array" ref="I235">_xlfn.IFS(H235&lt;4,"poor",H235&lt;7,"average",H235&lt;9,"good",TRUE,"excellent")</f>
        <v>poor</v>
      </c>
      <c r="J235" t="s">
        <v>1014</v>
      </c>
      <c r="K235" t="str">
        <f t="shared" si="25"/>
        <v>Jap</v>
      </c>
      <c r="L235">
        <v>1987</v>
      </c>
      <c r="M235" t="str">
        <f t="shared" si="26"/>
        <v>87</v>
      </c>
      <c r="N235" t="s">
        <v>1020</v>
      </c>
      <c r="O235" s="2">
        <v>45451</v>
      </c>
      <c r="Q235">
        <f t="shared" si="27"/>
        <v>5</v>
      </c>
      <c r="R235">
        <f t="shared" si="28"/>
        <v>35396</v>
      </c>
      <c r="U235" t="str">
        <f t="shared" si="29"/>
        <v>short</v>
      </c>
      <c r="V235" s="4">
        <f t="shared" ca="1" si="30"/>
        <v>45973.174535995371</v>
      </c>
    </row>
    <row r="236" spans="1:22" x14ac:dyDescent="0.25">
      <c r="A236" t="s">
        <v>242</v>
      </c>
      <c r="B236" t="s">
        <v>742</v>
      </c>
      <c r="C236">
        <f t="shared" si="24"/>
        <v>9</v>
      </c>
      <c r="D236" t="str">
        <f t="shared" si="31"/>
        <v>M1234 Movie_234</v>
      </c>
      <c r="E236" t="s">
        <v>1011</v>
      </c>
      <c r="F236" t="str">
        <f>TRIM(Table1[[#This Row],[Genre]])</f>
        <v>Comedy</v>
      </c>
      <c r="G236">
        <v>79</v>
      </c>
      <c r="H236">
        <v>7.9</v>
      </c>
      <c r="I236" t="str" cm="1">
        <f t="array" ref="I236">_xlfn.IFS(H236&lt;4,"poor",H236&lt;7,"average",H236&lt;9,"good",TRUE,"excellent")</f>
        <v>good</v>
      </c>
      <c r="J236" t="s">
        <v>1019</v>
      </c>
      <c r="K236" t="str">
        <f t="shared" si="25"/>
        <v>Ger</v>
      </c>
      <c r="L236">
        <v>2016</v>
      </c>
      <c r="M236" t="str">
        <f t="shared" si="26"/>
        <v>16</v>
      </c>
      <c r="N236" t="s">
        <v>1021</v>
      </c>
      <c r="O236" s="2">
        <v>44117</v>
      </c>
      <c r="Q236">
        <f t="shared" si="27"/>
        <v>5</v>
      </c>
      <c r="R236">
        <f t="shared" si="28"/>
        <v>35286</v>
      </c>
      <c r="U236" t="str">
        <f t="shared" si="29"/>
        <v>short</v>
      </c>
      <c r="V236" s="4">
        <f t="shared" ca="1" si="30"/>
        <v>45973.174535995371</v>
      </c>
    </row>
    <row r="237" spans="1:22" x14ac:dyDescent="0.25">
      <c r="A237" t="s">
        <v>243</v>
      </c>
      <c r="B237" t="s">
        <v>743</v>
      </c>
      <c r="C237">
        <f t="shared" si="24"/>
        <v>9</v>
      </c>
      <c r="D237" t="str">
        <f t="shared" si="31"/>
        <v>M1235 Movie_235</v>
      </c>
      <c r="E237" t="s">
        <v>1011</v>
      </c>
      <c r="F237" t="str">
        <f>TRIM(Table1[[#This Row],[Genre]])</f>
        <v>Comedy</v>
      </c>
      <c r="G237">
        <v>122</v>
      </c>
      <c r="H237">
        <v>2.9</v>
      </c>
      <c r="I237" t="str" cm="1">
        <f t="array" ref="I237">_xlfn.IFS(H237&lt;4,"poor",H237&lt;7,"average",H237&lt;9,"good",TRUE,"excellent")</f>
        <v>poor</v>
      </c>
      <c r="J237" t="s">
        <v>1014</v>
      </c>
      <c r="K237" t="str">
        <f t="shared" si="25"/>
        <v>Jap</v>
      </c>
      <c r="L237">
        <v>2023</v>
      </c>
      <c r="M237" t="str">
        <f t="shared" si="26"/>
        <v>23</v>
      </c>
      <c r="N237" t="s">
        <v>1020</v>
      </c>
      <c r="O237" s="2">
        <v>44338</v>
      </c>
      <c r="Q237">
        <f t="shared" si="27"/>
        <v>5</v>
      </c>
      <c r="R237">
        <f t="shared" si="28"/>
        <v>35207</v>
      </c>
      <c r="U237" t="str">
        <f t="shared" si="29"/>
        <v>long</v>
      </c>
      <c r="V237" s="4">
        <f t="shared" ca="1" si="30"/>
        <v>45973.174535995371</v>
      </c>
    </row>
    <row r="238" spans="1:22" x14ac:dyDescent="0.25">
      <c r="A238" t="s">
        <v>244</v>
      </c>
      <c r="B238" t="s">
        <v>744</v>
      </c>
      <c r="C238">
        <f t="shared" si="24"/>
        <v>9</v>
      </c>
      <c r="D238" t="str">
        <f t="shared" si="31"/>
        <v>M1236 Movie_236</v>
      </c>
      <c r="E238" t="s">
        <v>1009</v>
      </c>
      <c r="F238" t="str">
        <f>TRIM(Table1[[#This Row],[Genre]])</f>
        <v>Action</v>
      </c>
      <c r="G238">
        <v>86</v>
      </c>
      <c r="H238">
        <v>2.9</v>
      </c>
      <c r="I238" t="str" cm="1">
        <f t="array" ref="I238">_xlfn.IFS(H238&lt;4,"poor",H238&lt;7,"average",H238&lt;9,"good",TRUE,"excellent")</f>
        <v>poor</v>
      </c>
      <c r="J238" t="s">
        <v>1016</v>
      </c>
      <c r="K238" t="str">
        <f t="shared" si="25"/>
        <v>Spa</v>
      </c>
      <c r="L238">
        <v>2014</v>
      </c>
      <c r="M238" t="str">
        <f t="shared" si="26"/>
        <v>14</v>
      </c>
      <c r="N238" t="s">
        <v>1020</v>
      </c>
      <c r="O238" s="2">
        <v>44398</v>
      </c>
      <c r="Q238">
        <f t="shared" si="27"/>
        <v>5</v>
      </c>
      <c r="R238">
        <f t="shared" si="28"/>
        <v>35085</v>
      </c>
      <c r="U238" t="str">
        <f t="shared" si="29"/>
        <v>short</v>
      </c>
      <c r="V238" s="4">
        <f t="shared" ca="1" si="30"/>
        <v>45973.174535995371</v>
      </c>
    </row>
    <row r="239" spans="1:22" x14ac:dyDescent="0.25">
      <c r="A239" t="s">
        <v>245</v>
      </c>
      <c r="B239" t="s">
        <v>745</v>
      </c>
      <c r="C239">
        <f t="shared" si="24"/>
        <v>9</v>
      </c>
      <c r="D239" t="str">
        <f t="shared" si="31"/>
        <v>M1237 Movie_237</v>
      </c>
      <c r="E239" t="s">
        <v>1010</v>
      </c>
      <c r="F239" t="str">
        <f>TRIM(Table1[[#This Row],[Genre]])</f>
        <v>Drama</v>
      </c>
      <c r="G239">
        <v>137</v>
      </c>
      <c r="H239">
        <v>8.8000000000000007</v>
      </c>
      <c r="I239" t="str" cm="1">
        <f t="array" ref="I239">_xlfn.IFS(H239&lt;4,"poor",H239&lt;7,"average",H239&lt;9,"good",TRUE,"excellent")</f>
        <v>good</v>
      </c>
      <c r="J239" t="s">
        <v>1016</v>
      </c>
      <c r="K239" t="str">
        <f t="shared" si="25"/>
        <v>Spa</v>
      </c>
      <c r="L239">
        <v>2004</v>
      </c>
      <c r="M239" t="str">
        <f t="shared" si="26"/>
        <v>04</v>
      </c>
      <c r="N239" t="s">
        <v>1020</v>
      </c>
      <c r="O239" s="2">
        <v>45151</v>
      </c>
      <c r="Q239">
        <f t="shared" si="27"/>
        <v>5</v>
      </c>
      <c r="R239">
        <f t="shared" si="28"/>
        <v>34999</v>
      </c>
      <c r="U239" t="str">
        <f t="shared" si="29"/>
        <v>long</v>
      </c>
      <c r="V239" s="4">
        <f t="shared" ca="1" si="30"/>
        <v>45973.174535995371</v>
      </c>
    </row>
    <row r="240" spans="1:22" x14ac:dyDescent="0.25">
      <c r="A240" t="s">
        <v>246</v>
      </c>
      <c r="B240" t="s">
        <v>746</v>
      </c>
      <c r="C240">
        <f t="shared" si="24"/>
        <v>9</v>
      </c>
      <c r="D240" t="str">
        <f t="shared" si="31"/>
        <v>M1238 Movie_238</v>
      </c>
      <c r="E240" t="s">
        <v>1009</v>
      </c>
      <c r="F240" t="str">
        <f>TRIM(Table1[[#This Row],[Genre]])</f>
        <v>Action</v>
      </c>
      <c r="G240">
        <v>90</v>
      </c>
      <c r="H240">
        <v>4</v>
      </c>
      <c r="I240" t="str" cm="1">
        <f t="array" ref="I240">_xlfn.IFS(H240&lt;4,"poor",H240&lt;7,"average",H240&lt;9,"good",TRUE,"excellent")</f>
        <v>average</v>
      </c>
      <c r="J240" t="s">
        <v>1018</v>
      </c>
      <c r="K240" t="str">
        <f t="shared" si="25"/>
        <v>Eng</v>
      </c>
      <c r="L240">
        <v>2005</v>
      </c>
      <c r="M240" t="str">
        <f t="shared" si="26"/>
        <v>05</v>
      </c>
      <c r="N240" t="s">
        <v>1021</v>
      </c>
      <c r="O240" s="2">
        <v>44003</v>
      </c>
      <c r="Q240">
        <f t="shared" si="27"/>
        <v>5</v>
      </c>
      <c r="R240">
        <f t="shared" si="28"/>
        <v>34862</v>
      </c>
      <c r="U240" t="str">
        <f t="shared" si="29"/>
        <v>short</v>
      </c>
      <c r="V240" s="4">
        <f t="shared" ca="1" si="30"/>
        <v>45973.174535995371</v>
      </c>
    </row>
    <row r="241" spans="1:22" x14ac:dyDescent="0.25">
      <c r="A241" t="s">
        <v>247</v>
      </c>
      <c r="B241" t="s">
        <v>747</v>
      </c>
      <c r="C241">
        <f t="shared" si="24"/>
        <v>9</v>
      </c>
      <c r="D241" t="str">
        <f t="shared" si="31"/>
        <v>M1239 Movie_239</v>
      </c>
      <c r="E241" t="s">
        <v>1012</v>
      </c>
      <c r="F241" t="str">
        <f>TRIM(Table1[[#This Row],[Genre]])</f>
        <v>Sci-Fi</v>
      </c>
      <c r="G241">
        <v>70</v>
      </c>
      <c r="H241">
        <v>2.2999999999999998</v>
      </c>
      <c r="I241" t="str" cm="1">
        <f t="array" ref="I241">_xlfn.IFS(H241&lt;4,"poor",H241&lt;7,"average",H241&lt;9,"good",TRUE,"excellent")</f>
        <v>poor</v>
      </c>
      <c r="J241" t="s">
        <v>1014</v>
      </c>
      <c r="K241" t="str">
        <f t="shared" si="25"/>
        <v>Jap</v>
      </c>
      <c r="L241">
        <v>2002</v>
      </c>
      <c r="M241" t="str">
        <f t="shared" si="26"/>
        <v>02</v>
      </c>
      <c r="N241" t="s">
        <v>1020</v>
      </c>
      <c r="O241" s="2">
        <v>44339</v>
      </c>
      <c r="Q241">
        <f t="shared" si="27"/>
        <v>5</v>
      </c>
      <c r="R241">
        <f t="shared" si="28"/>
        <v>34772</v>
      </c>
      <c r="U241" t="str">
        <f t="shared" si="29"/>
        <v>short</v>
      </c>
      <c r="V241" s="4">
        <f t="shared" ca="1" si="30"/>
        <v>45973.174535995371</v>
      </c>
    </row>
    <row r="242" spans="1:22" x14ac:dyDescent="0.25">
      <c r="A242" t="s">
        <v>248</v>
      </c>
      <c r="B242" t="s">
        <v>748</v>
      </c>
      <c r="C242">
        <f t="shared" si="24"/>
        <v>9</v>
      </c>
      <c r="D242" t="str">
        <f t="shared" si="31"/>
        <v>M1240 Movie_240</v>
      </c>
      <c r="E242" t="s">
        <v>1012</v>
      </c>
      <c r="F242" t="str">
        <f>TRIM(Table1[[#This Row],[Genre]])</f>
        <v>Sci-Fi</v>
      </c>
      <c r="G242">
        <v>148</v>
      </c>
      <c r="H242">
        <v>9.1</v>
      </c>
      <c r="I242" t="str" cm="1">
        <f t="array" ref="I242">_xlfn.IFS(H242&lt;4,"poor",H242&lt;7,"average",H242&lt;9,"good",TRUE,"excellent")</f>
        <v>excellent</v>
      </c>
      <c r="J242" t="s">
        <v>1019</v>
      </c>
      <c r="K242" t="str">
        <f t="shared" si="25"/>
        <v>Ger</v>
      </c>
      <c r="L242">
        <v>1989</v>
      </c>
      <c r="M242" t="str">
        <f t="shared" si="26"/>
        <v>89</v>
      </c>
      <c r="N242" t="s">
        <v>1021</v>
      </c>
      <c r="O242" s="2">
        <v>44964</v>
      </c>
      <c r="Q242">
        <f t="shared" si="27"/>
        <v>5</v>
      </c>
      <c r="R242">
        <f t="shared" si="28"/>
        <v>34702</v>
      </c>
      <c r="U242" t="str">
        <f t="shared" si="29"/>
        <v>long</v>
      </c>
      <c r="V242" s="4">
        <f t="shared" ca="1" si="30"/>
        <v>45973.174535995371</v>
      </c>
    </row>
    <row r="243" spans="1:22" x14ac:dyDescent="0.25">
      <c r="A243" t="s">
        <v>249</v>
      </c>
      <c r="B243" t="s">
        <v>749</v>
      </c>
      <c r="C243">
        <f t="shared" si="24"/>
        <v>9</v>
      </c>
      <c r="D243" t="str">
        <f t="shared" si="31"/>
        <v>M1241 Movie_241</v>
      </c>
      <c r="E243" t="s">
        <v>1011</v>
      </c>
      <c r="F243" t="str">
        <f>TRIM(Table1[[#This Row],[Genre]])</f>
        <v>Comedy</v>
      </c>
      <c r="G243">
        <v>196</v>
      </c>
      <c r="H243">
        <v>1</v>
      </c>
      <c r="I243" t="str" cm="1">
        <f t="array" ref="I243">_xlfn.IFS(H243&lt;4,"poor",H243&lt;7,"average",H243&lt;9,"good",TRUE,"excellent")</f>
        <v>poor</v>
      </c>
      <c r="J243" t="s">
        <v>1018</v>
      </c>
      <c r="K243" t="str">
        <f t="shared" si="25"/>
        <v>Eng</v>
      </c>
      <c r="L243">
        <v>1998</v>
      </c>
      <c r="M243" t="str">
        <f t="shared" si="26"/>
        <v>98</v>
      </c>
      <c r="N243" t="s">
        <v>1020</v>
      </c>
      <c r="O243" s="2">
        <v>45061</v>
      </c>
      <c r="Q243">
        <f t="shared" si="27"/>
        <v>5</v>
      </c>
      <c r="R243">
        <f t="shared" si="28"/>
        <v>34554</v>
      </c>
      <c r="U243" t="str">
        <f t="shared" si="29"/>
        <v>long</v>
      </c>
      <c r="V243" s="4">
        <f t="shared" ca="1" si="30"/>
        <v>45973.174535995371</v>
      </c>
    </row>
    <row r="244" spans="1:22" x14ac:dyDescent="0.25">
      <c r="A244" t="s">
        <v>250</v>
      </c>
      <c r="B244" t="s">
        <v>750</v>
      </c>
      <c r="C244">
        <f t="shared" si="24"/>
        <v>9</v>
      </c>
      <c r="D244" t="str">
        <f t="shared" si="31"/>
        <v>M1242 Movie_242</v>
      </c>
      <c r="E244" t="s">
        <v>1012</v>
      </c>
      <c r="F244" t="str">
        <f>TRIM(Table1[[#This Row],[Genre]])</f>
        <v>Sci-Fi</v>
      </c>
      <c r="G244">
        <v>169</v>
      </c>
      <c r="H244">
        <v>8.6999999999999993</v>
      </c>
      <c r="I244" t="str" cm="1">
        <f t="array" ref="I244">_xlfn.IFS(H244&lt;4,"poor",H244&lt;7,"average",H244&lt;9,"good",TRUE,"excellent")</f>
        <v>good</v>
      </c>
      <c r="J244" t="s">
        <v>1017</v>
      </c>
      <c r="K244" t="str">
        <f t="shared" si="25"/>
        <v>Fre</v>
      </c>
      <c r="L244">
        <v>1982</v>
      </c>
      <c r="M244" t="str">
        <f t="shared" si="26"/>
        <v>82</v>
      </c>
      <c r="N244" t="s">
        <v>1021</v>
      </c>
      <c r="O244" s="2">
        <v>45059</v>
      </c>
      <c r="Q244">
        <f t="shared" si="27"/>
        <v>5</v>
      </c>
      <c r="R244">
        <f t="shared" si="28"/>
        <v>34358</v>
      </c>
      <c r="U244" t="str">
        <f t="shared" si="29"/>
        <v>long</v>
      </c>
      <c r="V244" s="4">
        <f t="shared" ca="1" si="30"/>
        <v>45973.174535995371</v>
      </c>
    </row>
    <row r="245" spans="1:22" x14ac:dyDescent="0.25">
      <c r="A245" t="s">
        <v>251</v>
      </c>
      <c r="B245" t="s">
        <v>751</v>
      </c>
      <c r="C245">
        <f t="shared" si="24"/>
        <v>9</v>
      </c>
      <c r="D245" t="str">
        <f t="shared" si="31"/>
        <v>M1243 Movie_243</v>
      </c>
      <c r="E245" t="s">
        <v>1011</v>
      </c>
      <c r="F245" t="str">
        <f>TRIM(Table1[[#This Row],[Genre]])</f>
        <v>Comedy</v>
      </c>
      <c r="G245">
        <v>154</v>
      </c>
      <c r="H245">
        <v>2.2999999999999998</v>
      </c>
      <c r="I245" t="str" cm="1">
        <f t="array" ref="I245">_xlfn.IFS(H245&lt;4,"poor",H245&lt;7,"average",H245&lt;9,"good",TRUE,"excellent")</f>
        <v>poor</v>
      </c>
      <c r="J245" t="s">
        <v>1016</v>
      </c>
      <c r="K245" t="str">
        <f t="shared" si="25"/>
        <v>Spa</v>
      </c>
      <c r="L245">
        <v>1998</v>
      </c>
      <c r="M245" t="str">
        <f t="shared" si="26"/>
        <v>98</v>
      </c>
      <c r="N245" t="s">
        <v>1021</v>
      </c>
      <c r="O245" s="2">
        <v>45307</v>
      </c>
      <c r="Q245">
        <f t="shared" si="27"/>
        <v>5</v>
      </c>
      <c r="R245">
        <f t="shared" si="28"/>
        <v>34189</v>
      </c>
      <c r="U245" t="str">
        <f t="shared" si="29"/>
        <v>long</v>
      </c>
      <c r="V245" s="4">
        <f t="shared" ca="1" si="30"/>
        <v>45973.174535995371</v>
      </c>
    </row>
    <row r="246" spans="1:22" x14ac:dyDescent="0.25">
      <c r="A246" t="s">
        <v>252</v>
      </c>
      <c r="B246" t="s">
        <v>752</v>
      </c>
      <c r="C246">
        <f t="shared" si="24"/>
        <v>9</v>
      </c>
      <c r="D246" t="str">
        <f t="shared" si="31"/>
        <v>M1244 Movie_244</v>
      </c>
      <c r="E246" t="s">
        <v>1009</v>
      </c>
      <c r="F246" t="str">
        <f>TRIM(Table1[[#This Row],[Genre]])</f>
        <v>Action</v>
      </c>
      <c r="G246">
        <v>77</v>
      </c>
      <c r="H246">
        <v>2.2000000000000002</v>
      </c>
      <c r="I246" t="str" cm="1">
        <f t="array" ref="I246">_xlfn.IFS(H246&lt;4,"poor",H246&lt;7,"average",H246&lt;9,"good",TRUE,"excellent")</f>
        <v>poor</v>
      </c>
      <c r="J246" t="s">
        <v>1018</v>
      </c>
      <c r="K246" t="str">
        <f t="shared" si="25"/>
        <v>Eng</v>
      </c>
      <c r="L246">
        <v>2025</v>
      </c>
      <c r="M246" t="str">
        <f t="shared" si="26"/>
        <v>25</v>
      </c>
      <c r="N246" t="s">
        <v>1021</v>
      </c>
      <c r="O246" s="2">
        <v>45075</v>
      </c>
      <c r="Q246">
        <f t="shared" si="27"/>
        <v>5</v>
      </c>
      <c r="R246">
        <f t="shared" si="28"/>
        <v>34035</v>
      </c>
      <c r="U246" t="str">
        <f t="shared" si="29"/>
        <v>short</v>
      </c>
      <c r="V246" s="4">
        <f t="shared" ca="1" si="30"/>
        <v>45973.174535995371</v>
      </c>
    </row>
    <row r="247" spans="1:22" x14ac:dyDescent="0.25">
      <c r="A247" t="s">
        <v>253</v>
      </c>
      <c r="B247" t="s">
        <v>753</v>
      </c>
      <c r="C247">
        <f t="shared" si="24"/>
        <v>9</v>
      </c>
      <c r="D247" t="str">
        <f t="shared" si="31"/>
        <v>M1245 Movie_245</v>
      </c>
      <c r="E247" t="s">
        <v>1009</v>
      </c>
      <c r="F247" t="str">
        <f>TRIM(Table1[[#This Row],[Genre]])</f>
        <v>Action</v>
      </c>
      <c r="G247">
        <v>189</v>
      </c>
      <c r="H247">
        <v>3.3</v>
      </c>
      <c r="I247" t="str" cm="1">
        <f t="array" ref="I247">_xlfn.IFS(H247&lt;4,"poor",H247&lt;7,"average",H247&lt;9,"good",TRUE,"excellent")</f>
        <v>poor</v>
      </c>
      <c r="J247" t="s">
        <v>1016</v>
      </c>
      <c r="K247" t="str">
        <f t="shared" si="25"/>
        <v>Spa</v>
      </c>
      <c r="L247">
        <v>1985</v>
      </c>
      <c r="M247" t="str">
        <f t="shared" si="26"/>
        <v>85</v>
      </c>
      <c r="N247" t="s">
        <v>1020</v>
      </c>
      <c r="O247" s="2">
        <v>44414</v>
      </c>
      <c r="Q247">
        <f t="shared" si="27"/>
        <v>5</v>
      </c>
      <c r="R247">
        <f t="shared" si="28"/>
        <v>33958</v>
      </c>
      <c r="U247" t="str">
        <f t="shared" si="29"/>
        <v>long</v>
      </c>
      <c r="V247" s="4">
        <f t="shared" ca="1" si="30"/>
        <v>45973.174535995371</v>
      </c>
    </row>
    <row r="248" spans="1:22" x14ac:dyDescent="0.25">
      <c r="A248" t="s">
        <v>254</v>
      </c>
      <c r="B248" t="s">
        <v>754</v>
      </c>
      <c r="C248">
        <f t="shared" si="24"/>
        <v>9</v>
      </c>
      <c r="D248" t="str">
        <f t="shared" si="31"/>
        <v>M1246 Movie_246</v>
      </c>
      <c r="E248" t="s">
        <v>1008</v>
      </c>
      <c r="F248" t="str">
        <f>TRIM(Table1[[#This Row],[Genre]])</f>
        <v>Horror</v>
      </c>
      <c r="G248">
        <v>147</v>
      </c>
      <c r="H248">
        <v>2.6</v>
      </c>
      <c r="I248" t="str" cm="1">
        <f t="array" ref="I248">_xlfn.IFS(H248&lt;4,"poor",H248&lt;7,"average",H248&lt;9,"good",TRUE,"excellent")</f>
        <v>poor</v>
      </c>
      <c r="J248" t="s">
        <v>1018</v>
      </c>
      <c r="K248" t="str">
        <f t="shared" si="25"/>
        <v>Eng</v>
      </c>
      <c r="L248">
        <v>2002</v>
      </c>
      <c r="M248" t="str">
        <f t="shared" si="26"/>
        <v>02</v>
      </c>
      <c r="N248" t="s">
        <v>1020</v>
      </c>
      <c r="O248" s="2">
        <v>45426</v>
      </c>
      <c r="Q248">
        <f t="shared" si="27"/>
        <v>5</v>
      </c>
      <c r="R248">
        <f t="shared" si="28"/>
        <v>33769</v>
      </c>
      <c r="U248" t="str">
        <f t="shared" si="29"/>
        <v>long</v>
      </c>
      <c r="V248" s="4">
        <f t="shared" ca="1" si="30"/>
        <v>45973.174535995371</v>
      </c>
    </row>
    <row r="249" spans="1:22" x14ac:dyDescent="0.25">
      <c r="A249" t="s">
        <v>255</v>
      </c>
      <c r="B249" t="s">
        <v>755</v>
      </c>
      <c r="C249">
        <f t="shared" si="24"/>
        <v>9</v>
      </c>
      <c r="D249" t="str">
        <f t="shared" si="31"/>
        <v>M1247 Movie_247</v>
      </c>
      <c r="E249" t="s">
        <v>1008</v>
      </c>
      <c r="F249" t="str">
        <f>TRIM(Table1[[#This Row],[Genre]])</f>
        <v>Horror</v>
      </c>
      <c r="G249">
        <v>63</v>
      </c>
      <c r="H249">
        <v>6.9</v>
      </c>
      <c r="I249" t="str" cm="1">
        <f t="array" ref="I249">_xlfn.IFS(H249&lt;4,"poor",H249&lt;7,"average",H249&lt;9,"good",TRUE,"excellent")</f>
        <v>average</v>
      </c>
      <c r="J249" t="s">
        <v>1017</v>
      </c>
      <c r="K249" t="str">
        <f t="shared" si="25"/>
        <v>Fre</v>
      </c>
      <c r="L249">
        <v>2008</v>
      </c>
      <c r="M249" t="str">
        <f t="shared" si="26"/>
        <v>08</v>
      </c>
      <c r="N249" t="s">
        <v>1020</v>
      </c>
      <c r="O249" s="2">
        <v>45245</v>
      </c>
      <c r="Q249">
        <f t="shared" si="27"/>
        <v>5</v>
      </c>
      <c r="R249">
        <f t="shared" si="28"/>
        <v>33622</v>
      </c>
      <c r="U249" t="str">
        <f t="shared" si="29"/>
        <v>short</v>
      </c>
      <c r="V249" s="4">
        <f t="shared" ca="1" si="30"/>
        <v>45973.174535995371</v>
      </c>
    </row>
    <row r="250" spans="1:22" x14ac:dyDescent="0.25">
      <c r="A250" t="s">
        <v>256</v>
      </c>
      <c r="B250" t="s">
        <v>756</v>
      </c>
      <c r="C250">
        <f t="shared" si="24"/>
        <v>9</v>
      </c>
      <c r="D250" t="str">
        <f t="shared" si="31"/>
        <v>M1248 Movie_248</v>
      </c>
      <c r="E250" t="s">
        <v>1009</v>
      </c>
      <c r="F250" t="str">
        <f>TRIM(Table1[[#This Row],[Genre]])</f>
        <v>Action</v>
      </c>
      <c r="G250">
        <v>167</v>
      </c>
      <c r="H250">
        <v>1.2</v>
      </c>
      <c r="I250" t="str" cm="1">
        <f t="array" ref="I250">_xlfn.IFS(H250&lt;4,"poor",H250&lt;7,"average",H250&lt;9,"good",TRUE,"excellent")</f>
        <v>poor</v>
      </c>
      <c r="J250" t="s">
        <v>1017</v>
      </c>
      <c r="K250" t="str">
        <f t="shared" si="25"/>
        <v>Fre</v>
      </c>
      <c r="L250">
        <v>2021</v>
      </c>
      <c r="M250" t="str">
        <f t="shared" si="26"/>
        <v>21</v>
      </c>
      <c r="N250" t="s">
        <v>1021</v>
      </c>
      <c r="O250" s="2">
        <v>43885</v>
      </c>
      <c r="Q250">
        <f t="shared" si="27"/>
        <v>5</v>
      </c>
      <c r="R250">
        <f t="shared" si="28"/>
        <v>33559</v>
      </c>
      <c r="U250" t="str">
        <f t="shared" si="29"/>
        <v>long</v>
      </c>
      <c r="V250" s="4">
        <f t="shared" ca="1" si="30"/>
        <v>45973.174535995371</v>
      </c>
    </row>
    <row r="251" spans="1:22" x14ac:dyDescent="0.25">
      <c r="A251" t="s">
        <v>257</v>
      </c>
      <c r="B251" t="s">
        <v>757</v>
      </c>
      <c r="C251">
        <f t="shared" si="24"/>
        <v>9</v>
      </c>
      <c r="D251" t="str">
        <f t="shared" si="31"/>
        <v>M1249 Movie_249</v>
      </c>
      <c r="E251" t="s">
        <v>1011</v>
      </c>
      <c r="F251" t="str">
        <f>TRIM(Table1[[#This Row],[Genre]])</f>
        <v>Comedy</v>
      </c>
      <c r="G251">
        <v>185</v>
      </c>
      <c r="H251">
        <v>1.1000000000000001</v>
      </c>
      <c r="I251" t="str" cm="1">
        <f t="array" ref="I251">_xlfn.IFS(H251&lt;4,"poor",H251&lt;7,"average",H251&lt;9,"good",TRUE,"excellent")</f>
        <v>poor</v>
      </c>
      <c r="J251" t="s">
        <v>1015</v>
      </c>
      <c r="K251" t="str">
        <f t="shared" si="25"/>
        <v>Hin</v>
      </c>
      <c r="L251">
        <v>1996</v>
      </c>
      <c r="M251" t="str">
        <f t="shared" si="26"/>
        <v>96</v>
      </c>
      <c r="N251" t="s">
        <v>1021</v>
      </c>
      <c r="O251" s="2">
        <v>45179</v>
      </c>
      <c r="Q251">
        <f t="shared" si="27"/>
        <v>5</v>
      </c>
      <c r="R251">
        <f t="shared" si="28"/>
        <v>33392</v>
      </c>
      <c r="U251" t="str">
        <f t="shared" si="29"/>
        <v>long</v>
      </c>
      <c r="V251" s="4">
        <f t="shared" ca="1" si="30"/>
        <v>45973.174535995371</v>
      </c>
    </row>
    <row r="252" spans="1:22" x14ac:dyDescent="0.25">
      <c r="A252" t="s">
        <v>258</v>
      </c>
      <c r="B252" t="s">
        <v>758</v>
      </c>
      <c r="C252">
        <f t="shared" si="24"/>
        <v>9</v>
      </c>
      <c r="D252" t="str">
        <f t="shared" si="31"/>
        <v>M1250 Movie_250</v>
      </c>
      <c r="E252" t="s">
        <v>1009</v>
      </c>
      <c r="F252" t="str">
        <f>TRIM(Table1[[#This Row],[Genre]])</f>
        <v>Action</v>
      </c>
      <c r="G252">
        <v>87</v>
      </c>
      <c r="H252">
        <v>8.1</v>
      </c>
      <c r="I252" t="str" cm="1">
        <f t="array" ref="I252">_xlfn.IFS(H252&lt;4,"poor",H252&lt;7,"average",H252&lt;9,"good",TRUE,"excellent")</f>
        <v>good</v>
      </c>
      <c r="J252" t="s">
        <v>1019</v>
      </c>
      <c r="K252" t="str">
        <f t="shared" si="25"/>
        <v>Ger</v>
      </c>
      <c r="L252">
        <v>2010</v>
      </c>
      <c r="M252" t="str">
        <f t="shared" si="26"/>
        <v>10</v>
      </c>
      <c r="N252" t="s">
        <v>1021</v>
      </c>
      <c r="O252" s="2">
        <v>44448</v>
      </c>
      <c r="Q252">
        <f t="shared" si="27"/>
        <v>5</v>
      </c>
      <c r="R252">
        <f t="shared" si="28"/>
        <v>33207</v>
      </c>
      <c r="U252" t="str">
        <f t="shared" si="29"/>
        <v>short</v>
      </c>
      <c r="V252" s="4">
        <f t="shared" ca="1" si="30"/>
        <v>45973.174535995371</v>
      </c>
    </row>
    <row r="253" spans="1:22" x14ac:dyDescent="0.25">
      <c r="A253" t="s">
        <v>259</v>
      </c>
      <c r="B253" t="s">
        <v>759</v>
      </c>
      <c r="C253">
        <f t="shared" si="24"/>
        <v>9</v>
      </c>
      <c r="D253" t="str">
        <f t="shared" si="31"/>
        <v>M1251 Movie_251</v>
      </c>
      <c r="E253" t="s">
        <v>1009</v>
      </c>
      <c r="F253" t="str">
        <f>TRIM(Table1[[#This Row],[Genre]])</f>
        <v>Action</v>
      </c>
      <c r="G253">
        <v>170</v>
      </c>
      <c r="H253">
        <v>3.1</v>
      </c>
      <c r="I253" t="str" cm="1">
        <f t="array" ref="I253">_xlfn.IFS(H253&lt;4,"poor",H253&lt;7,"average",H253&lt;9,"good",TRUE,"excellent")</f>
        <v>poor</v>
      </c>
      <c r="J253" t="s">
        <v>1015</v>
      </c>
      <c r="K253" t="str">
        <f t="shared" si="25"/>
        <v>Hin</v>
      </c>
      <c r="L253">
        <v>1993</v>
      </c>
      <c r="M253" t="str">
        <f t="shared" si="26"/>
        <v>93</v>
      </c>
      <c r="N253" t="s">
        <v>1021</v>
      </c>
      <c r="O253" s="2">
        <v>44251</v>
      </c>
      <c r="Q253">
        <f t="shared" si="27"/>
        <v>5</v>
      </c>
      <c r="R253">
        <f t="shared" si="28"/>
        <v>33120</v>
      </c>
      <c r="U253" t="str">
        <f t="shared" si="29"/>
        <v>long</v>
      </c>
      <c r="V253" s="4">
        <f t="shared" ca="1" si="30"/>
        <v>45973.174535995371</v>
      </c>
    </row>
    <row r="254" spans="1:22" x14ac:dyDescent="0.25">
      <c r="A254" t="s">
        <v>260</v>
      </c>
      <c r="B254" t="s">
        <v>760</v>
      </c>
      <c r="C254">
        <f t="shared" si="24"/>
        <v>9</v>
      </c>
      <c r="D254" t="str">
        <f t="shared" si="31"/>
        <v>M1252 Movie_252</v>
      </c>
      <c r="E254" t="s">
        <v>1010</v>
      </c>
      <c r="F254" t="str">
        <f>TRIM(Table1[[#This Row],[Genre]])</f>
        <v>Drama</v>
      </c>
      <c r="G254">
        <v>152</v>
      </c>
      <c r="H254">
        <v>3.9</v>
      </c>
      <c r="I254" t="str" cm="1">
        <f t="array" ref="I254">_xlfn.IFS(H254&lt;4,"poor",H254&lt;7,"average",H254&lt;9,"good",TRUE,"excellent")</f>
        <v>poor</v>
      </c>
      <c r="J254" t="s">
        <v>1019</v>
      </c>
      <c r="K254" t="str">
        <f t="shared" si="25"/>
        <v>Ger</v>
      </c>
      <c r="L254">
        <v>1992</v>
      </c>
      <c r="M254" t="str">
        <f t="shared" si="26"/>
        <v>92</v>
      </c>
      <c r="N254" t="s">
        <v>1020</v>
      </c>
      <c r="O254" s="2">
        <v>44891</v>
      </c>
      <c r="Q254">
        <f t="shared" si="27"/>
        <v>5</v>
      </c>
      <c r="R254">
        <f t="shared" si="28"/>
        <v>32950</v>
      </c>
      <c r="U254" t="str">
        <f t="shared" si="29"/>
        <v>long</v>
      </c>
      <c r="V254" s="4">
        <f t="shared" ca="1" si="30"/>
        <v>45973.174535995371</v>
      </c>
    </row>
    <row r="255" spans="1:22" x14ac:dyDescent="0.25">
      <c r="A255" t="s">
        <v>261</v>
      </c>
      <c r="B255" t="s">
        <v>761</v>
      </c>
      <c r="C255">
        <f t="shared" si="24"/>
        <v>9</v>
      </c>
      <c r="D255" t="str">
        <f t="shared" si="31"/>
        <v>M1253 Movie_253</v>
      </c>
      <c r="E255" t="s">
        <v>1009</v>
      </c>
      <c r="F255" t="str">
        <f>TRIM(Table1[[#This Row],[Genre]])</f>
        <v>Action</v>
      </c>
      <c r="G255">
        <v>177</v>
      </c>
      <c r="H255">
        <v>2.6</v>
      </c>
      <c r="I255" t="str" cm="1">
        <f t="array" ref="I255">_xlfn.IFS(H255&lt;4,"poor",H255&lt;7,"average",H255&lt;9,"good",TRUE,"excellent")</f>
        <v>poor</v>
      </c>
      <c r="J255" t="s">
        <v>1017</v>
      </c>
      <c r="K255" t="str">
        <f t="shared" si="25"/>
        <v>Fre</v>
      </c>
      <c r="L255">
        <v>2014</v>
      </c>
      <c r="M255" t="str">
        <f t="shared" si="26"/>
        <v>14</v>
      </c>
      <c r="N255" t="s">
        <v>1020</v>
      </c>
      <c r="O255" s="2">
        <v>45073</v>
      </c>
      <c r="Q255">
        <f t="shared" si="27"/>
        <v>5</v>
      </c>
      <c r="R255">
        <f t="shared" si="28"/>
        <v>32798</v>
      </c>
      <c r="U255" t="str">
        <f t="shared" si="29"/>
        <v>long</v>
      </c>
      <c r="V255" s="4">
        <f t="shared" ca="1" si="30"/>
        <v>45973.174535995371</v>
      </c>
    </row>
    <row r="256" spans="1:22" x14ac:dyDescent="0.25">
      <c r="A256" t="s">
        <v>262</v>
      </c>
      <c r="B256" t="s">
        <v>762</v>
      </c>
      <c r="C256">
        <f t="shared" si="24"/>
        <v>9</v>
      </c>
      <c r="D256" t="str">
        <f t="shared" si="31"/>
        <v>M1254 Movie_254</v>
      </c>
      <c r="E256" t="s">
        <v>1012</v>
      </c>
      <c r="F256" t="str">
        <f>TRIM(Table1[[#This Row],[Genre]])</f>
        <v>Sci-Fi</v>
      </c>
      <c r="G256">
        <v>99</v>
      </c>
      <c r="H256">
        <v>1.5</v>
      </c>
      <c r="I256" t="str" cm="1">
        <f t="array" ref="I256">_xlfn.IFS(H256&lt;4,"poor",H256&lt;7,"average",H256&lt;9,"good",TRUE,"excellent")</f>
        <v>poor</v>
      </c>
      <c r="J256" t="s">
        <v>1018</v>
      </c>
      <c r="K256" t="str">
        <f t="shared" si="25"/>
        <v>Eng</v>
      </c>
      <c r="L256">
        <v>1997</v>
      </c>
      <c r="M256" t="str">
        <f t="shared" si="26"/>
        <v>97</v>
      </c>
      <c r="N256" t="s">
        <v>1020</v>
      </c>
      <c r="O256" s="2">
        <v>44874</v>
      </c>
      <c r="Q256">
        <f t="shared" si="27"/>
        <v>5</v>
      </c>
      <c r="R256">
        <f t="shared" si="28"/>
        <v>32621</v>
      </c>
      <c r="U256" t="str">
        <f t="shared" si="29"/>
        <v>short</v>
      </c>
      <c r="V256" s="4">
        <f t="shared" ca="1" si="30"/>
        <v>45973.174535995371</v>
      </c>
    </row>
    <row r="257" spans="1:22" x14ac:dyDescent="0.25">
      <c r="A257" t="s">
        <v>263</v>
      </c>
      <c r="B257" t="s">
        <v>763</v>
      </c>
      <c r="C257">
        <f t="shared" si="24"/>
        <v>9</v>
      </c>
      <c r="D257" t="str">
        <f t="shared" si="31"/>
        <v>M1255 Movie_255</v>
      </c>
      <c r="E257" t="s">
        <v>1011</v>
      </c>
      <c r="F257" t="str">
        <f>TRIM(Table1[[#This Row],[Genre]])</f>
        <v>Comedy</v>
      </c>
      <c r="G257">
        <v>171</v>
      </c>
      <c r="H257">
        <v>7.7</v>
      </c>
      <c r="I257" t="str" cm="1">
        <f t="array" ref="I257">_xlfn.IFS(H257&lt;4,"poor",H257&lt;7,"average",H257&lt;9,"good",TRUE,"excellent")</f>
        <v>good</v>
      </c>
      <c r="J257" t="s">
        <v>1014</v>
      </c>
      <c r="K257" t="str">
        <f t="shared" si="25"/>
        <v>Jap</v>
      </c>
      <c r="L257">
        <v>2015</v>
      </c>
      <c r="M257" t="str">
        <f t="shared" si="26"/>
        <v>15</v>
      </c>
      <c r="N257" t="s">
        <v>1020</v>
      </c>
      <c r="O257" s="2">
        <v>44217</v>
      </c>
      <c r="Q257">
        <f t="shared" si="27"/>
        <v>5</v>
      </c>
      <c r="R257">
        <f t="shared" si="28"/>
        <v>32522</v>
      </c>
      <c r="U257" t="str">
        <f t="shared" si="29"/>
        <v>long</v>
      </c>
      <c r="V257" s="4">
        <f t="shared" ca="1" si="30"/>
        <v>45973.174535995371</v>
      </c>
    </row>
    <row r="258" spans="1:22" x14ac:dyDescent="0.25">
      <c r="A258" t="s">
        <v>264</v>
      </c>
      <c r="B258" t="s">
        <v>764</v>
      </c>
      <c r="C258">
        <f t="shared" ref="C258:C321" si="32">LEN(B258)</f>
        <v>9</v>
      </c>
      <c r="D258" t="str">
        <f t="shared" si="31"/>
        <v>M1256 Movie_256</v>
      </c>
      <c r="E258" t="s">
        <v>1010</v>
      </c>
      <c r="F258" t="str">
        <f>TRIM(Table1[[#This Row],[Genre]])</f>
        <v>Drama</v>
      </c>
      <c r="G258">
        <v>105</v>
      </c>
      <c r="H258">
        <v>5.7</v>
      </c>
      <c r="I258" t="str" cm="1">
        <f t="array" ref="I258">_xlfn.IFS(H258&lt;4,"poor",H258&lt;7,"average",H258&lt;9,"good",TRUE,"excellent")</f>
        <v>average</v>
      </c>
      <c r="J258" t="s">
        <v>1016</v>
      </c>
      <c r="K258" t="str">
        <f t="shared" ref="K258:K321" si="33">LEFT(J258,3)</f>
        <v>Spa</v>
      </c>
      <c r="L258">
        <v>2024</v>
      </c>
      <c r="M258" t="str">
        <f t="shared" ref="M258:M321" si="34">RIGHT(L258,2)</f>
        <v>24</v>
      </c>
      <c r="N258" t="s">
        <v>1021</v>
      </c>
      <c r="O258" s="2">
        <v>45362</v>
      </c>
      <c r="Q258">
        <f t="shared" ref="Q258:Q321" si="35">COUNT(A258:O258)</f>
        <v>5</v>
      </c>
      <c r="R258">
        <f t="shared" ref="R258:R321" si="36">SUM(G258:G757)</f>
        <v>32351</v>
      </c>
      <c r="U258" t="str">
        <f t="shared" ref="U258:U321" si="37">IF(G258&gt;120,"long","short")</f>
        <v>short</v>
      </c>
      <c r="V258" s="4">
        <f t="shared" ref="V258:V321" ca="1" si="38">NOW()</f>
        <v>45973.174535995371</v>
      </c>
    </row>
    <row r="259" spans="1:22" x14ac:dyDescent="0.25">
      <c r="A259" t="s">
        <v>265</v>
      </c>
      <c r="B259" t="s">
        <v>765</v>
      </c>
      <c r="C259">
        <f t="shared" si="32"/>
        <v>9</v>
      </c>
      <c r="D259" t="str">
        <f t="shared" ref="D259:D322" si="39">CONCATENATE(A259," ",B259)</f>
        <v>M1257 Movie_257</v>
      </c>
      <c r="E259" t="s">
        <v>1008</v>
      </c>
      <c r="F259" t="str">
        <f>TRIM(Table1[[#This Row],[Genre]])</f>
        <v>Horror</v>
      </c>
      <c r="G259">
        <v>193</v>
      </c>
      <c r="H259">
        <v>7.7</v>
      </c>
      <c r="I259" t="str" cm="1">
        <f t="array" ref="I259">_xlfn.IFS(H259&lt;4,"poor",H259&lt;7,"average",H259&lt;9,"good",TRUE,"excellent")</f>
        <v>good</v>
      </c>
      <c r="J259" t="s">
        <v>1017</v>
      </c>
      <c r="K259" t="str">
        <f t="shared" si="33"/>
        <v>Fre</v>
      </c>
      <c r="L259">
        <v>1997</v>
      </c>
      <c r="M259" t="str">
        <f t="shared" si="34"/>
        <v>97</v>
      </c>
      <c r="N259" t="s">
        <v>1021</v>
      </c>
      <c r="O259" s="2">
        <v>44633</v>
      </c>
      <c r="Q259">
        <f t="shared" si="35"/>
        <v>5</v>
      </c>
      <c r="R259">
        <f t="shared" si="36"/>
        <v>32246</v>
      </c>
      <c r="U259" t="str">
        <f t="shared" si="37"/>
        <v>long</v>
      </c>
      <c r="V259" s="4">
        <f t="shared" ca="1" si="38"/>
        <v>45973.174535995371</v>
      </c>
    </row>
    <row r="260" spans="1:22" x14ac:dyDescent="0.25">
      <c r="A260" t="s">
        <v>266</v>
      </c>
      <c r="B260" t="s">
        <v>766</v>
      </c>
      <c r="C260">
        <f t="shared" si="32"/>
        <v>9</v>
      </c>
      <c r="D260" t="str">
        <f t="shared" si="39"/>
        <v>M1258 Movie_258</v>
      </c>
      <c r="E260" t="s">
        <v>1013</v>
      </c>
      <c r="F260" t="str">
        <f>TRIM(Table1[[#This Row],[Genre]])</f>
        <v>Thriller</v>
      </c>
      <c r="G260">
        <v>129</v>
      </c>
      <c r="H260">
        <v>5.3</v>
      </c>
      <c r="I260" t="str" cm="1">
        <f t="array" ref="I260">_xlfn.IFS(H260&lt;4,"poor",H260&lt;7,"average",H260&lt;9,"good",TRUE,"excellent")</f>
        <v>average</v>
      </c>
      <c r="J260" t="s">
        <v>1017</v>
      </c>
      <c r="K260" t="str">
        <f t="shared" si="33"/>
        <v>Fre</v>
      </c>
      <c r="L260">
        <v>1988</v>
      </c>
      <c r="M260" t="str">
        <f t="shared" si="34"/>
        <v>88</v>
      </c>
      <c r="N260" t="s">
        <v>1021</v>
      </c>
      <c r="O260" s="2">
        <v>44436</v>
      </c>
      <c r="Q260">
        <f t="shared" si="35"/>
        <v>5</v>
      </c>
      <c r="R260">
        <f t="shared" si="36"/>
        <v>32053</v>
      </c>
      <c r="U260" t="str">
        <f t="shared" si="37"/>
        <v>long</v>
      </c>
      <c r="V260" s="4">
        <f t="shared" ca="1" si="38"/>
        <v>45973.174535995371</v>
      </c>
    </row>
    <row r="261" spans="1:22" x14ac:dyDescent="0.25">
      <c r="A261" t="s">
        <v>267</v>
      </c>
      <c r="B261" t="s">
        <v>767</v>
      </c>
      <c r="C261">
        <f t="shared" si="32"/>
        <v>9</v>
      </c>
      <c r="D261" t="str">
        <f t="shared" si="39"/>
        <v>M1259 Movie_259</v>
      </c>
      <c r="E261" t="s">
        <v>1011</v>
      </c>
      <c r="F261" t="str">
        <f>TRIM(Table1[[#This Row],[Genre]])</f>
        <v>Comedy</v>
      </c>
      <c r="G261">
        <v>197</v>
      </c>
      <c r="H261">
        <v>8</v>
      </c>
      <c r="I261" t="str" cm="1">
        <f t="array" ref="I261">_xlfn.IFS(H261&lt;4,"poor",H261&lt;7,"average",H261&lt;9,"good",TRUE,"excellent")</f>
        <v>good</v>
      </c>
      <c r="J261" t="s">
        <v>1018</v>
      </c>
      <c r="K261" t="str">
        <f t="shared" si="33"/>
        <v>Eng</v>
      </c>
      <c r="L261">
        <v>1986</v>
      </c>
      <c r="M261" t="str">
        <f t="shared" si="34"/>
        <v>86</v>
      </c>
      <c r="N261" t="s">
        <v>1020</v>
      </c>
      <c r="O261" s="2">
        <v>45154</v>
      </c>
      <c r="Q261">
        <f t="shared" si="35"/>
        <v>5</v>
      </c>
      <c r="R261">
        <f t="shared" si="36"/>
        <v>31924</v>
      </c>
      <c r="U261" t="str">
        <f t="shared" si="37"/>
        <v>long</v>
      </c>
      <c r="V261" s="4">
        <f t="shared" ca="1" si="38"/>
        <v>45973.174535995371</v>
      </c>
    </row>
    <row r="262" spans="1:22" x14ac:dyDescent="0.25">
      <c r="A262" t="s">
        <v>268</v>
      </c>
      <c r="B262" t="s">
        <v>768</v>
      </c>
      <c r="C262">
        <f t="shared" si="32"/>
        <v>9</v>
      </c>
      <c r="D262" t="str">
        <f t="shared" si="39"/>
        <v>M1260 Movie_260</v>
      </c>
      <c r="E262" t="s">
        <v>1012</v>
      </c>
      <c r="F262" t="str">
        <f>TRIM(Table1[[#This Row],[Genre]])</f>
        <v>Sci-Fi</v>
      </c>
      <c r="G262">
        <v>183</v>
      </c>
      <c r="H262">
        <v>5.6</v>
      </c>
      <c r="I262" t="str" cm="1">
        <f t="array" ref="I262">_xlfn.IFS(H262&lt;4,"poor",H262&lt;7,"average",H262&lt;9,"good",TRUE,"excellent")</f>
        <v>average</v>
      </c>
      <c r="J262" t="s">
        <v>1014</v>
      </c>
      <c r="K262" t="str">
        <f t="shared" si="33"/>
        <v>Jap</v>
      </c>
      <c r="L262">
        <v>2019</v>
      </c>
      <c r="M262" t="str">
        <f t="shared" si="34"/>
        <v>19</v>
      </c>
      <c r="N262" t="s">
        <v>1020</v>
      </c>
      <c r="O262" s="2">
        <v>43942</v>
      </c>
      <c r="Q262">
        <f t="shared" si="35"/>
        <v>5</v>
      </c>
      <c r="R262">
        <f t="shared" si="36"/>
        <v>31727</v>
      </c>
      <c r="U262" t="str">
        <f t="shared" si="37"/>
        <v>long</v>
      </c>
      <c r="V262" s="4">
        <f t="shared" ca="1" si="38"/>
        <v>45973.174535995371</v>
      </c>
    </row>
    <row r="263" spans="1:22" x14ac:dyDescent="0.25">
      <c r="A263" t="s">
        <v>269</v>
      </c>
      <c r="B263" t="s">
        <v>769</v>
      </c>
      <c r="C263">
        <f t="shared" si="32"/>
        <v>9</v>
      </c>
      <c r="D263" t="str">
        <f t="shared" si="39"/>
        <v>M1261 Movie_261</v>
      </c>
      <c r="E263" t="s">
        <v>1011</v>
      </c>
      <c r="F263" t="str">
        <f>TRIM(Table1[[#This Row],[Genre]])</f>
        <v>Comedy</v>
      </c>
      <c r="G263">
        <v>179</v>
      </c>
      <c r="H263">
        <v>2</v>
      </c>
      <c r="I263" t="str" cm="1">
        <f t="array" ref="I263">_xlfn.IFS(H263&lt;4,"poor",H263&lt;7,"average",H263&lt;9,"good",TRUE,"excellent")</f>
        <v>poor</v>
      </c>
      <c r="J263" t="s">
        <v>1017</v>
      </c>
      <c r="K263" t="str">
        <f t="shared" si="33"/>
        <v>Fre</v>
      </c>
      <c r="L263">
        <v>2017</v>
      </c>
      <c r="M263" t="str">
        <f t="shared" si="34"/>
        <v>17</v>
      </c>
      <c r="N263" t="s">
        <v>1020</v>
      </c>
      <c r="O263" s="2">
        <v>45436</v>
      </c>
      <c r="Q263">
        <f t="shared" si="35"/>
        <v>5</v>
      </c>
      <c r="R263">
        <f t="shared" si="36"/>
        <v>31544</v>
      </c>
      <c r="U263" t="str">
        <f t="shared" si="37"/>
        <v>long</v>
      </c>
      <c r="V263" s="4">
        <f t="shared" ca="1" si="38"/>
        <v>45973.174535995371</v>
      </c>
    </row>
    <row r="264" spans="1:22" x14ac:dyDescent="0.25">
      <c r="A264" t="s">
        <v>270</v>
      </c>
      <c r="B264" t="s">
        <v>770</v>
      </c>
      <c r="C264">
        <f t="shared" si="32"/>
        <v>9</v>
      </c>
      <c r="D264" t="str">
        <f t="shared" si="39"/>
        <v>M1262 Movie_262</v>
      </c>
      <c r="E264" t="s">
        <v>1008</v>
      </c>
      <c r="F264" t="str">
        <f>TRIM(Table1[[#This Row],[Genre]])</f>
        <v>Horror</v>
      </c>
      <c r="G264">
        <v>171</v>
      </c>
      <c r="H264">
        <v>5.5</v>
      </c>
      <c r="I264" t="str" cm="1">
        <f t="array" ref="I264">_xlfn.IFS(H264&lt;4,"poor",H264&lt;7,"average",H264&lt;9,"good",TRUE,"excellent")</f>
        <v>average</v>
      </c>
      <c r="J264" t="s">
        <v>1017</v>
      </c>
      <c r="K264" t="str">
        <f t="shared" si="33"/>
        <v>Fre</v>
      </c>
      <c r="L264">
        <v>1995</v>
      </c>
      <c r="M264" t="str">
        <f t="shared" si="34"/>
        <v>95</v>
      </c>
      <c r="N264" t="s">
        <v>1021</v>
      </c>
      <c r="O264" s="2">
        <v>45456</v>
      </c>
      <c r="Q264">
        <f t="shared" si="35"/>
        <v>5</v>
      </c>
      <c r="R264">
        <f t="shared" si="36"/>
        <v>31365</v>
      </c>
      <c r="U264" t="str">
        <f t="shared" si="37"/>
        <v>long</v>
      </c>
      <c r="V264" s="4">
        <f t="shared" ca="1" si="38"/>
        <v>45973.174535995371</v>
      </c>
    </row>
    <row r="265" spans="1:22" x14ac:dyDescent="0.25">
      <c r="A265" t="s">
        <v>271</v>
      </c>
      <c r="B265" t="s">
        <v>771</v>
      </c>
      <c r="C265">
        <f t="shared" si="32"/>
        <v>9</v>
      </c>
      <c r="D265" t="str">
        <f t="shared" si="39"/>
        <v>M1263 Movie_263</v>
      </c>
      <c r="E265" t="s">
        <v>1012</v>
      </c>
      <c r="F265" t="str">
        <f>TRIM(Table1[[#This Row],[Genre]])</f>
        <v>Sci-Fi</v>
      </c>
      <c r="G265">
        <v>128</v>
      </c>
      <c r="H265">
        <v>9.5</v>
      </c>
      <c r="I265" t="str" cm="1">
        <f t="array" ref="I265">_xlfn.IFS(H265&lt;4,"poor",H265&lt;7,"average",H265&lt;9,"good",TRUE,"excellent")</f>
        <v>excellent</v>
      </c>
      <c r="J265" t="s">
        <v>1018</v>
      </c>
      <c r="K265" t="str">
        <f t="shared" si="33"/>
        <v>Eng</v>
      </c>
      <c r="L265">
        <v>1995</v>
      </c>
      <c r="M265" t="str">
        <f t="shared" si="34"/>
        <v>95</v>
      </c>
      <c r="N265" t="s">
        <v>1020</v>
      </c>
      <c r="O265" s="2">
        <v>44321</v>
      </c>
      <c r="Q265">
        <f t="shared" si="35"/>
        <v>5</v>
      </c>
      <c r="R265">
        <f t="shared" si="36"/>
        <v>31194</v>
      </c>
      <c r="U265" t="str">
        <f t="shared" si="37"/>
        <v>long</v>
      </c>
      <c r="V265" s="4">
        <f t="shared" ca="1" si="38"/>
        <v>45973.174535995371</v>
      </c>
    </row>
    <row r="266" spans="1:22" x14ac:dyDescent="0.25">
      <c r="A266" t="s">
        <v>272</v>
      </c>
      <c r="B266" t="s">
        <v>772</v>
      </c>
      <c r="C266">
        <f t="shared" si="32"/>
        <v>9</v>
      </c>
      <c r="D266" t="str">
        <f t="shared" si="39"/>
        <v>M1264 Movie_264</v>
      </c>
      <c r="E266" t="s">
        <v>1012</v>
      </c>
      <c r="F266" t="str">
        <f>TRIM(Table1[[#This Row],[Genre]])</f>
        <v>Sci-Fi</v>
      </c>
      <c r="G266">
        <v>142</v>
      </c>
      <c r="H266">
        <v>1.4</v>
      </c>
      <c r="I266" t="str" cm="1">
        <f t="array" ref="I266">_xlfn.IFS(H266&lt;4,"poor",H266&lt;7,"average",H266&lt;9,"good",TRUE,"excellent")</f>
        <v>poor</v>
      </c>
      <c r="J266" t="s">
        <v>1017</v>
      </c>
      <c r="K266" t="str">
        <f t="shared" si="33"/>
        <v>Fre</v>
      </c>
      <c r="L266">
        <v>1983</v>
      </c>
      <c r="M266" t="str">
        <f t="shared" si="34"/>
        <v>83</v>
      </c>
      <c r="N266" t="s">
        <v>1021</v>
      </c>
      <c r="O266" s="2">
        <v>44844</v>
      </c>
      <c r="Q266">
        <f t="shared" si="35"/>
        <v>5</v>
      </c>
      <c r="R266">
        <f t="shared" si="36"/>
        <v>31066</v>
      </c>
      <c r="U266" t="str">
        <f t="shared" si="37"/>
        <v>long</v>
      </c>
      <c r="V266" s="4">
        <f t="shared" ca="1" si="38"/>
        <v>45973.174535995371</v>
      </c>
    </row>
    <row r="267" spans="1:22" x14ac:dyDescent="0.25">
      <c r="A267" t="s">
        <v>273</v>
      </c>
      <c r="B267" t="s">
        <v>773</v>
      </c>
      <c r="C267">
        <f t="shared" si="32"/>
        <v>9</v>
      </c>
      <c r="D267" t="str">
        <f t="shared" si="39"/>
        <v>M1265 Movie_265</v>
      </c>
      <c r="E267" t="s">
        <v>1013</v>
      </c>
      <c r="F267" t="str">
        <f>TRIM(Table1[[#This Row],[Genre]])</f>
        <v>Thriller</v>
      </c>
      <c r="G267">
        <v>122</v>
      </c>
      <c r="H267">
        <v>8</v>
      </c>
      <c r="I267" t="str" cm="1">
        <f t="array" ref="I267">_xlfn.IFS(H267&lt;4,"poor",H267&lt;7,"average",H267&lt;9,"good",TRUE,"excellent")</f>
        <v>good</v>
      </c>
      <c r="J267" t="s">
        <v>1019</v>
      </c>
      <c r="K267" t="str">
        <f t="shared" si="33"/>
        <v>Ger</v>
      </c>
      <c r="L267">
        <v>2022</v>
      </c>
      <c r="M267" t="str">
        <f t="shared" si="34"/>
        <v>22</v>
      </c>
      <c r="N267" t="s">
        <v>1021</v>
      </c>
      <c r="O267" s="2">
        <v>44621</v>
      </c>
      <c r="Q267">
        <f t="shared" si="35"/>
        <v>5</v>
      </c>
      <c r="R267">
        <f t="shared" si="36"/>
        <v>30924</v>
      </c>
      <c r="U267" t="str">
        <f t="shared" si="37"/>
        <v>long</v>
      </c>
      <c r="V267" s="4">
        <f t="shared" ca="1" si="38"/>
        <v>45973.174535995371</v>
      </c>
    </row>
    <row r="268" spans="1:22" x14ac:dyDescent="0.25">
      <c r="A268" t="s">
        <v>274</v>
      </c>
      <c r="B268" t="s">
        <v>774</v>
      </c>
      <c r="C268">
        <f t="shared" si="32"/>
        <v>9</v>
      </c>
      <c r="D268" t="str">
        <f t="shared" si="39"/>
        <v>M1266 Movie_266</v>
      </c>
      <c r="E268" t="s">
        <v>1011</v>
      </c>
      <c r="F268" t="str">
        <f>TRIM(Table1[[#This Row],[Genre]])</f>
        <v>Comedy</v>
      </c>
      <c r="G268">
        <v>82</v>
      </c>
      <c r="H268">
        <v>8.8000000000000007</v>
      </c>
      <c r="I268" t="str" cm="1">
        <f t="array" ref="I268">_xlfn.IFS(H268&lt;4,"poor",H268&lt;7,"average",H268&lt;9,"good",TRUE,"excellent")</f>
        <v>good</v>
      </c>
      <c r="J268" t="s">
        <v>1019</v>
      </c>
      <c r="K268" t="str">
        <f t="shared" si="33"/>
        <v>Ger</v>
      </c>
      <c r="L268">
        <v>2013</v>
      </c>
      <c r="M268" t="str">
        <f t="shared" si="34"/>
        <v>13</v>
      </c>
      <c r="N268" t="s">
        <v>1020</v>
      </c>
      <c r="O268" s="2">
        <v>44061</v>
      </c>
      <c r="Q268">
        <f t="shared" si="35"/>
        <v>5</v>
      </c>
      <c r="R268">
        <f t="shared" si="36"/>
        <v>30802</v>
      </c>
      <c r="U268" t="str">
        <f t="shared" si="37"/>
        <v>short</v>
      </c>
      <c r="V268" s="4">
        <f t="shared" ca="1" si="38"/>
        <v>45973.174535995371</v>
      </c>
    </row>
    <row r="269" spans="1:22" x14ac:dyDescent="0.25">
      <c r="A269" t="s">
        <v>275</v>
      </c>
      <c r="B269" t="s">
        <v>775</v>
      </c>
      <c r="C269">
        <f t="shared" si="32"/>
        <v>9</v>
      </c>
      <c r="D269" t="str">
        <f t="shared" si="39"/>
        <v>M1267 Movie_267</v>
      </c>
      <c r="E269" t="s">
        <v>1013</v>
      </c>
      <c r="F269" t="str">
        <f>TRIM(Table1[[#This Row],[Genre]])</f>
        <v>Thriller</v>
      </c>
      <c r="G269">
        <v>131</v>
      </c>
      <c r="H269">
        <v>5.7</v>
      </c>
      <c r="I269" t="str" cm="1">
        <f t="array" ref="I269">_xlfn.IFS(H269&lt;4,"poor",H269&lt;7,"average",H269&lt;9,"good",TRUE,"excellent")</f>
        <v>average</v>
      </c>
      <c r="J269" t="s">
        <v>1014</v>
      </c>
      <c r="K269" t="str">
        <f t="shared" si="33"/>
        <v>Jap</v>
      </c>
      <c r="L269">
        <v>1994</v>
      </c>
      <c r="M269" t="str">
        <f t="shared" si="34"/>
        <v>94</v>
      </c>
      <c r="N269" t="s">
        <v>1021</v>
      </c>
      <c r="O269" s="2">
        <v>44324</v>
      </c>
      <c r="Q269">
        <f t="shared" si="35"/>
        <v>5</v>
      </c>
      <c r="R269">
        <f t="shared" si="36"/>
        <v>30720</v>
      </c>
      <c r="U269" t="str">
        <f t="shared" si="37"/>
        <v>long</v>
      </c>
      <c r="V269" s="4">
        <f t="shared" ca="1" si="38"/>
        <v>45973.174535995371</v>
      </c>
    </row>
    <row r="270" spans="1:22" x14ac:dyDescent="0.25">
      <c r="A270" t="s">
        <v>276</v>
      </c>
      <c r="B270" t="s">
        <v>776</v>
      </c>
      <c r="C270">
        <f t="shared" si="32"/>
        <v>9</v>
      </c>
      <c r="D270" t="str">
        <f t="shared" si="39"/>
        <v>M1268 Movie_268</v>
      </c>
      <c r="E270" t="s">
        <v>1013</v>
      </c>
      <c r="F270" t="str">
        <f>TRIM(Table1[[#This Row],[Genre]])</f>
        <v>Thriller</v>
      </c>
      <c r="G270">
        <v>175</v>
      </c>
      <c r="H270">
        <v>5.0999999999999996</v>
      </c>
      <c r="I270" t="str" cm="1">
        <f t="array" ref="I270">_xlfn.IFS(H270&lt;4,"poor",H270&lt;7,"average",H270&lt;9,"good",TRUE,"excellent")</f>
        <v>average</v>
      </c>
      <c r="J270" t="s">
        <v>1019</v>
      </c>
      <c r="K270" t="str">
        <f t="shared" si="33"/>
        <v>Ger</v>
      </c>
      <c r="L270">
        <v>2020</v>
      </c>
      <c r="M270" t="str">
        <f t="shared" si="34"/>
        <v>20</v>
      </c>
      <c r="N270" t="s">
        <v>1021</v>
      </c>
      <c r="O270" s="2">
        <v>44854</v>
      </c>
      <c r="Q270">
        <f t="shared" si="35"/>
        <v>5</v>
      </c>
      <c r="R270">
        <f t="shared" si="36"/>
        <v>30589</v>
      </c>
      <c r="U270" t="str">
        <f t="shared" si="37"/>
        <v>long</v>
      </c>
      <c r="V270" s="4">
        <f t="shared" ca="1" si="38"/>
        <v>45973.174535995371</v>
      </c>
    </row>
    <row r="271" spans="1:22" x14ac:dyDescent="0.25">
      <c r="A271" t="s">
        <v>277</v>
      </c>
      <c r="B271" t="s">
        <v>777</v>
      </c>
      <c r="C271">
        <f t="shared" si="32"/>
        <v>9</v>
      </c>
      <c r="D271" t="str">
        <f t="shared" si="39"/>
        <v>M1269 Movie_269</v>
      </c>
      <c r="E271" t="s">
        <v>1011</v>
      </c>
      <c r="F271" t="str">
        <f>TRIM(Table1[[#This Row],[Genre]])</f>
        <v>Comedy</v>
      </c>
      <c r="G271">
        <v>122</v>
      </c>
      <c r="H271">
        <v>9.6999999999999993</v>
      </c>
      <c r="I271" t="str" cm="1">
        <f t="array" ref="I271">_xlfn.IFS(H271&lt;4,"poor",H271&lt;7,"average",H271&lt;9,"good",TRUE,"excellent")</f>
        <v>excellent</v>
      </c>
      <c r="J271" t="s">
        <v>1019</v>
      </c>
      <c r="K271" t="str">
        <f t="shared" si="33"/>
        <v>Ger</v>
      </c>
      <c r="L271">
        <v>1994</v>
      </c>
      <c r="M271" t="str">
        <f t="shared" si="34"/>
        <v>94</v>
      </c>
      <c r="N271" t="s">
        <v>1021</v>
      </c>
      <c r="O271" s="2">
        <v>45137</v>
      </c>
      <c r="Q271">
        <f t="shared" si="35"/>
        <v>5</v>
      </c>
      <c r="R271">
        <f t="shared" si="36"/>
        <v>30414</v>
      </c>
      <c r="U271" t="str">
        <f t="shared" si="37"/>
        <v>long</v>
      </c>
      <c r="V271" s="4">
        <f t="shared" ca="1" si="38"/>
        <v>45973.174535995371</v>
      </c>
    </row>
    <row r="272" spans="1:22" x14ac:dyDescent="0.25">
      <c r="A272" t="s">
        <v>278</v>
      </c>
      <c r="B272" t="s">
        <v>778</v>
      </c>
      <c r="C272">
        <f t="shared" si="32"/>
        <v>9</v>
      </c>
      <c r="D272" t="str">
        <f t="shared" si="39"/>
        <v>M1270 Movie_270</v>
      </c>
      <c r="E272" t="s">
        <v>1009</v>
      </c>
      <c r="F272" t="str">
        <f>TRIM(Table1[[#This Row],[Genre]])</f>
        <v>Action</v>
      </c>
      <c r="G272">
        <v>178</v>
      </c>
      <c r="H272">
        <v>1.5</v>
      </c>
      <c r="I272" t="str" cm="1">
        <f t="array" ref="I272">_xlfn.IFS(H272&lt;4,"poor",H272&lt;7,"average",H272&lt;9,"good",TRUE,"excellent")</f>
        <v>poor</v>
      </c>
      <c r="J272" t="s">
        <v>1017</v>
      </c>
      <c r="K272" t="str">
        <f t="shared" si="33"/>
        <v>Fre</v>
      </c>
      <c r="L272">
        <v>1983</v>
      </c>
      <c r="M272" t="str">
        <f t="shared" si="34"/>
        <v>83</v>
      </c>
      <c r="N272" t="s">
        <v>1020</v>
      </c>
      <c r="O272" s="2">
        <v>45047</v>
      </c>
      <c r="Q272">
        <f t="shared" si="35"/>
        <v>5</v>
      </c>
      <c r="R272">
        <f t="shared" si="36"/>
        <v>30292</v>
      </c>
      <c r="U272" t="str">
        <f t="shared" si="37"/>
        <v>long</v>
      </c>
      <c r="V272" s="4">
        <f t="shared" ca="1" si="38"/>
        <v>45973.174535995371</v>
      </c>
    </row>
    <row r="273" spans="1:22" x14ac:dyDescent="0.25">
      <c r="A273" t="s">
        <v>279</v>
      </c>
      <c r="B273" t="s">
        <v>779</v>
      </c>
      <c r="C273">
        <f t="shared" si="32"/>
        <v>9</v>
      </c>
      <c r="D273" t="str">
        <f t="shared" si="39"/>
        <v>M1271 Movie_271</v>
      </c>
      <c r="E273" t="s">
        <v>1009</v>
      </c>
      <c r="F273" t="str">
        <f>TRIM(Table1[[#This Row],[Genre]])</f>
        <v>Action</v>
      </c>
      <c r="G273">
        <v>157</v>
      </c>
      <c r="H273">
        <v>5.3</v>
      </c>
      <c r="I273" t="str" cm="1">
        <f t="array" ref="I273">_xlfn.IFS(H273&lt;4,"poor",H273&lt;7,"average",H273&lt;9,"good",TRUE,"excellent")</f>
        <v>average</v>
      </c>
      <c r="J273" t="s">
        <v>1016</v>
      </c>
      <c r="K273" t="str">
        <f t="shared" si="33"/>
        <v>Spa</v>
      </c>
      <c r="L273">
        <v>1986</v>
      </c>
      <c r="M273" t="str">
        <f t="shared" si="34"/>
        <v>86</v>
      </c>
      <c r="N273" t="s">
        <v>1020</v>
      </c>
      <c r="O273" s="2">
        <v>43976</v>
      </c>
      <c r="Q273">
        <f t="shared" si="35"/>
        <v>5</v>
      </c>
      <c r="R273">
        <f t="shared" si="36"/>
        <v>30114</v>
      </c>
      <c r="U273" t="str">
        <f t="shared" si="37"/>
        <v>long</v>
      </c>
      <c r="V273" s="4">
        <f t="shared" ca="1" si="38"/>
        <v>45973.174535995371</v>
      </c>
    </row>
    <row r="274" spans="1:22" x14ac:dyDescent="0.25">
      <c r="A274" t="s">
        <v>280</v>
      </c>
      <c r="B274" t="s">
        <v>780</v>
      </c>
      <c r="C274">
        <f t="shared" si="32"/>
        <v>9</v>
      </c>
      <c r="D274" t="str">
        <f t="shared" si="39"/>
        <v>M1272 Movie_272</v>
      </c>
      <c r="E274" t="s">
        <v>1008</v>
      </c>
      <c r="F274" t="str">
        <f>TRIM(Table1[[#This Row],[Genre]])</f>
        <v>Horror</v>
      </c>
      <c r="G274">
        <v>146</v>
      </c>
      <c r="H274">
        <v>4.5999999999999996</v>
      </c>
      <c r="I274" t="str" cm="1">
        <f t="array" ref="I274">_xlfn.IFS(H274&lt;4,"poor",H274&lt;7,"average",H274&lt;9,"good",TRUE,"excellent")</f>
        <v>average</v>
      </c>
      <c r="J274" t="s">
        <v>1019</v>
      </c>
      <c r="K274" t="str">
        <f t="shared" si="33"/>
        <v>Ger</v>
      </c>
      <c r="L274">
        <v>2006</v>
      </c>
      <c r="M274" t="str">
        <f t="shared" si="34"/>
        <v>06</v>
      </c>
      <c r="N274" t="s">
        <v>1020</v>
      </c>
      <c r="O274" s="2">
        <v>44912</v>
      </c>
      <c r="Q274">
        <f t="shared" si="35"/>
        <v>5</v>
      </c>
      <c r="R274">
        <f t="shared" si="36"/>
        <v>29957</v>
      </c>
      <c r="U274" t="str">
        <f t="shared" si="37"/>
        <v>long</v>
      </c>
      <c r="V274" s="4">
        <f t="shared" ca="1" si="38"/>
        <v>45973.174535995371</v>
      </c>
    </row>
    <row r="275" spans="1:22" x14ac:dyDescent="0.25">
      <c r="A275" t="s">
        <v>281</v>
      </c>
      <c r="B275" t="s">
        <v>781</v>
      </c>
      <c r="C275">
        <f t="shared" si="32"/>
        <v>9</v>
      </c>
      <c r="D275" t="str">
        <f t="shared" si="39"/>
        <v>M1273 Movie_273</v>
      </c>
      <c r="E275" t="s">
        <v>1013</v>
      </c>
      <c r="F275" t="str">
        <f>TRIM(Table1[[#This Row],[Genre]])</f>
        <v>Thriller</v>
      </c>
      <c r="G275">
        <v>67</v>
      </c>
      <c r="H275">
        <v>7.2</v>
      </c>
      <c r="I275" t="str" cm="1">
        <f t="array" ref="I275">_xlfn.IFS(H275&lt;4,"poor",H275&lt;7,"average",H275&lt;9,"good",TRUE,"excellent")</f>
        <v>good</v>
      </c>
      <c r="J275" t="s">
        <v>1014</v>
      </c>
      <c r="K275" t="str">
        <f t="shared" si="33"/>
        <v>Jap</v>
      </c>
      <c r="L275">
        <v>2001</v>
      </c>
      <c r="M275" t="str">
        <f t="shared" si="34"/>
        <v>01</v>
      </c>
      <c r="N275" t="s">
        <v>1021</v>
      </c>
      <c r="O275" s="2">
        <v>43855</v>
      </c>
      <c r="Q275">
        <f t="shared" si="35"/>
        <v>5</v>
      </c>
      <c r="R275">
        <f t="shared" si="36"/>
        <v>29811</v>
      </c>
      <c r="U275" t="str">
        <f t="shared" si="37"/>
        <v>short</v>
      </c>
      <c r="V275" s="4">
        <f t="shared" ca="1" si="38"/>
        <v>45973.174535995371</v>
      </c>
    </row>
    <row r="276" spans="1:22" x14ac:dyDescent="0.25">
      <c r="A276" t="s">
        <v>282</v>
      </c>
      <c r="B276" t="s">
        <v>782</v>
      </c>
      <c r="C276">
        <f t="shared" si="32"/>
        <v>9</v>
      </c>
      <c r="D276" t="str">
        <f t="shared" si="39"/>
        <v>M1274 Movie_274</v>
      </c>
      <c r="E276" t="s">
        <v>1010</v>
      </c>
      <c r="F276" t="str">
        <f>TRIM(Table1[[#This Row],[Genre]])</f>
        <v>Drama</v>
      </c>
      <c r="G276">
        <v>186</v>
      </c>
      <c r="H276">
        <v>5.4</v>
      </c>
      <c r="I276" t="str" cm="1">
        <f t="array" ref="I276">_xlfn.IFS(H276&lt;4,"poor",H276&lt;7,"average",H276&lt;9,"good",TRUE,"excellent")</f>
        <v>average</v>
      </c>
      <c r="J276" t="s">
        <v>1019</v>
      </c>
      <c r="K276" t="str">
        <f t="shared" si="33"/>
        <v>Ger</v>
      </c>
      <c r="L276">
        <v>2025</v>
      </c>
      <c r="M276" t="str">
        <f t="shared" si="34"/>
        <v>25</v>
      </c>
      <c r="N276" t="s">
        <v>1020</v>
      </c>
      <c r="O276" s="2">
        <v>44570</v>
      </c>
      <c r="Q276">
        <f t="shared" si="35"/>
        <v>5</v>
      </c>
      <c r="R276">
        <f t="shared" si="36"/>
        <v>29744</v>
      </c>
      <c r="U276" t="str">
        <f t="shared" si="37"/>
        <v>long</v>
      </c>
      <c r="V276" s="4">
        <f t="shared" ca="1" si="38"/>
        <v>45973.174535995371</v>
      </c>
    </row>
    <row r="277" spans="1:22" x14ac:dyDescent="0.25">
      <c r="A277" t="s">
        <v>283</v>
      </c>
      <c r="B277" t="s">
        <v>783</v>
      </c>
      <c r="C277">
        <f t="shared" si="32"/>
        <v>9</v>
      </c>
      <c r="D277" t="str">
        <f t="shared" si="39"/>
        <v>M1275 Movie_275</v>
      </c>
      <c r="E277" t="s">
        <v>1013</v>
      </c>
      <c r="F277" t="str">
        <f>TRIM(Table1[[#This Row],[Genre]])</f>
        <v>Thriller</v>
      </c>
      <c r="G277">
        <v>143</v>
      </c>
      <c r="H277">
        <v>9.1999999999999993</v>
      </c>
      <c r="I277" t="str" cm="1">
        <f t="array" ref="I277">_xlfn.IFS(H277&lt;4,"poor",H277&lt;7,"average",H277&lt;9,"good",TRUE,"excellent")</f>
        <v>excellent</v>
      </c>
      <c r="J277" t="s">
        <v>1017</v>
      </c>
      <c r="K277" t="str">
        <f t="shared" si="33"/>
        <v>Fre</v>
      </c>
      <c r="L277">
        <v>2010</v>
      </c>
      <c r="M277" t="str">
        <f t="shared" si="34"/>
        <v>10</v>
      </c>
      <c r="N277" t="s">
        <v>1020</v>
      </c>
      <c r="O277" s="2">
        <v>44479</v>
      </c>
      <c r="Q277">
        <f t="shared" si="35"/>
        <v>5</v>
      </c>
      <c r="R277">
        <f t="shared" si="36"/>
        <v>29558</v>
      </c>
      <c r="U277" t="str">
        <f t="shared" si="37"/>
        <v>long</v>
      </c>
      <c r="V277" s="4">
        <f t="shared" ca="1" si="38"/>
        <v>45973.174535995371</v>
      </c>
    </row>
    <row r="278" spans="1:22" x14ac:dyDescent="0.25">
      <c r="A278" t="s">
        <v>284</v>
      </c>
      <c r="B278" t="s">
        <v>784</v>
      </c>
      <c r="C278">
        <f t="shared" si="32"/>
        <v>9</v>
      </c>
      <c r="D278" t="str">
        <f t="shared" si="39"/>
        <v>M1276 Movie_276</v>
      </c>
      <c r="E278" t="s">
        <v>1013</v>
      </c>
      <c r="F278" t="str">
        <f>TRIM(Table1[[#This Row],[Genre]])</f>
        <v>Thriller</v>
      </c>
      <c r="G278">
        <v>106</v>
      </c>
      <c r="H278">
        <v>1.7</v>
      </c>
      <c r="I278" t="str" cm="1">
        <f t="array" ref="I278">_xlfn.IFS(H278&lt;4,"poor",H278&lt;7,"average",H278&lt;9,"good",TRUE,"excellent")</f>
        <v>poor</v>
      </c>
      <c r="J278" t="s">
        <v>1015</v>
      </c>
      <c r="K278" t="str">
        <f t="shared" si="33"/>
        <v>Hin</v>
      </c>
      <c r="L278">
        <v>1986</v>
      </c>
      <c r="M278" t="str">
        <f t="shared" si="34"/>
        <v>86</v>
      </c>
      <c r="N278" t="s">
        <v>1021</v>
      </c>
      <c r="O278" s="2">
        <v>44101</v>
      </c>
      <c r="Q278">
        <f t="shared" si="35"/>
        <v>5</v>
      </c>
      <c r="R278">
        <f t="shared" si="36"/>
        <v>29415</v>
      </c>
      <c r="U278" t="str">
        <f t="shared" si="37"/>
        <v>short</v>
      </c>
      <c r="V278" s="4">
        <f t="shared" ca="1" si="38"/>
        <v>45973.174535995371</v>
      </c>
    </row>
    <row r="279" spans="1:22" x14ac:dyDescent="0.25">
      <c r="A279" t="s">
        <v>285</v>
      </c>
      <c r="B279" t="s">
        <v>785</v>
      </c>
      <c r="C279">
        <f t="shared" si="32"/>
        <v>9</v>
      </c>
      <c r="D279" t="str">
        <f t="shared" si="39"/>
        <v>M1277 Movie_277</v>
      </c>
      <c r="E279" t="s">
        <v>1013</v>
      </c>
      <c r="F279" t="str">
        <f>TRIM(Table1[[#This Row],[Genre]])</f>
        <v>Thriller</v>
      </c>
      <c r="G279">
        <v>184</v>
      </c>
      <c r="H279">
        <v>1.7</v>
      </c>
      <c r="I279" t="str" cm="1">
        <f t="array" ref="I279">_xlfn.IFS(H279&lt;4,"poor",H279&lt;7,"average",H279&lt;9,"good",TRUE,"excellent")</f>
        <v>poor</v>
      </c>
      <c r="J279" t="s">
        <v>1017</v>
      </c>
      <c r="K279" t="str">
        <f t="shared" si="33"/>
        <v>Fre</v>
      </c>
      <c r="L279">
        <v>2023</v>
      </c>
      <c r="M279" t="str">
        <f t="shared" si="34"/>
        <v>23</v>
      </c>
      <c r="N279" t="s">
        <v>1021</v>
      </c>
      <c r="O279" s="2">
        <v>44623</v>
      </c>
      <c r="Q279">
        <f t="shared" si="35"/>
        <v>5</v>
      </c>
      <c r="R279">
        <f t="shared" si="36"/>
        <v>29309</v>
      </c>
      <c r="U279" t="str">
        <f t="shared" si="37"/>
        <v>long</v>
      </c>
      <c r="V279" s="4">
        <f t="shared" ca="1" si="38"/>
        <v>45973.174535995371</v>
      </c>
    </row>
    <row r="280" spans="1:22" x14ac:dyDescent="0.25">
      <c r="A280" t="s">
        <v>286</v>
      </c>
      <c r="B280" t="s">
        <v>786</v>
      </c>
      <c r="C280">
        <f t="shared" si="32"/>
        <v>9</v>
      </c>
      <c r="D280" t="str">
        <f t="shared" si="39"/>
        <v>M1278 Movie_278</v>
      </c>
      <c r="E280" t="s">
        <v>1008</v>
      </c>
      <c r="F280" t="str">
        <f>TRIM(Table1[[#This Row],[Genre]])</f>
        <v>Horror</v>
      </c>
      <c r="G280">
        <v>114</v>
      </c>
      <c r="H280">
        <v>6.5</v>
      </c>
      <c r="I280" t="str" cm="1">
        <f t="array" ref="I280">_xlfn.IFS(H280&lt;4,"poor",H280&lt;7,"average",H280&lt;9,"good",TRUE,"excellent")</f>
        <v>average</v>
      </c>
      <c r="J280" t="s">
        <v>1018</v>
      </c>
      <c r="K280" t="str">
        <f t="shared" si="33"/>
        <v>Eng</v>
      </c>
      <c r="L280">
        <v>1988</v>
      </c>
      <c r="M280" t="str">
        <f t="shared" si="34"/>
        <v>88</v>
      </c>
      <c r="N280" t="s">
        <v>1021</v>
      </c>
      <c r="O280" s="2">
        <v>44995</v>
      </c>
      <c r="Q280">
        <f t="shared" si="35"/>
        <v>5</v>
      </c>
      <c r="R280">
        <f t="shared" si="36"/>
        <v>29125</v>
      </c>
      <c r="U280" t="str">
        <f t="shared" si="37"/>
        <v>short</v>
      </c>
      <c r="V280" s="4">
        <f t="shared" ca="1" si="38"/>
        <v>45973.174535995371</v>
      </c>
    </row>
    <row r="281" spans="1:22" x14ac:dyDescent="0.25">
      <c r="A281" t="s">
        <v>287</v>
      </c>
      <c r="B281" t="s">
        <v>787</v>
      </c>
      <c r="C281">
        <f t="shared" si="32"/>
        <v>9</v>
      </c>
      <c r="D281" t="str">
        <f t="shared" si="39"/>
        <v>M1279 Movie_279</v>
      </c>
      <c r="E281" t="s">
        <v>1009</v>
      </c>
      <c r="F281" t="str">
        <f>TRIM(Table1[[#This Row],[Genre]])</f>
        <v>Action</v>
      </c>
      <c r="G281">
        <v>150</v>
      </c>
      <c r="H281">
        <v>1.6</v>
      </c>
      <c r="I281" t="str" cm="1">
        <f t="array" ref="I281">_xlfn.IFS(H281&lt;4,"poor",H281&lt;7,"average",H281&lt;9,"good",TRUE,"excellent")</f>
        <v>poor</v>
      </c>
      <c r="J281" t="s">
        <v>1014</v>
      </c>
      <c r="K281" t="str">
        <f t="shared" si="33"/>
        <v>Jap</v>
      </c>
      <c r="L281">
        <v>1980</v>
      </c>
      <c r="M281" t="str">
        <f t="shared" si="34"/>
        <v>80</v>
      </c>
      <c r="N281" t="s">
        <v>1021</v>
      </c>
      <c r="O281" s="2">
        <v>44692</v>
      </c>
      <c r="Q281">
        <f t="shared" si="35"/>
        <v>5</v>
      </c>
      <c r="R281">
        <f t="shared" si="36"/>
        <v>29011</v>
      </c>
      <c r="U281" t="str">
        <f t="shared" si="37"/>
        <v>long</v>
      </c>
      <c r="V281" s="4">
        <f t="shared" ca="1" si="38"/>
        <v>45973.174535995371</v>
      </c>
    </row>
    <row r="282" spans="1:22" x14ac:dyDescent="0.25">
      <c r="A282" t="s">
        <v>288</v>
      </c>
      <c r="B282" t="s">
        <v>788</v>
      </c>
      <c r="C282">
        <f t="shared" si="32"/>
        <v>9</v>
      </c>
      <c r="D282" t="str">
        <f t="shared" si="39"/>
        <v>M1280 Movie_280</v>
      </c>
      <c r="E282" t="s">
        <v>1008</v>
      </c>
      <c r="F282" t="str">
        <f>TRIM(Table1[[#This Row],[Genre]])</f>
        <v>Horror</v>
      </c>
      <c r="G282">
        <v>126</v>
      </c>
      <c r="H282">
        <v>3.5</v>
      </c>
      <c r="I282" t="str" cm="1">
        <f t="array" ref="I282">_xlfn.IFS(H282&lt;4,"poor",H282&lt;7,"average",H282&lt;9,"good",TRUE,"excellent")</f>
        <v>poor</v>
      </c>
      <c r="J282" t="s">
        <v>1019</v>
      </c>
      <c r="K282" t="str">
        <f t="shared" si="33"/>
        <v>Ger</v>
      </c>
      <c r="L282">
        <v>2015</v>
      </c>
      <c r="M282" t="str">
        <f t="shared" si="34"/>
        <v>15</v>
      </c>
      <c r="N282" t="s">
        <v>1020</v>
      </c>
      <c r="O282" s="2">
        <v>44579</v>
      </c>
      <c r="Q282">
        <f t="shared" si="35"/>
        <v>5</v>
      </c>
      <c r="R282">
        <f t="shared" si="36"/>
        <v>28861</v>
      </c>
      <c r="U282" t="str">
        <f t="shared" si="37"/>
        <v>long</v>
      </c>
      <c r="V282" s="4">
        <f t="shared" ca="1" si="38"/>
        <v>45973.174535995371</v>
      </c>
    </row>
    <row r="283" spans="1:22" x14ac:dyDescent="0.25">
      <c r="A283" t="s">
        <v>289</v>
      </c>
      <c r="B283" t="s">
        <v>789</v>
      </c>
      <c r="C283">
        <f t="shared" si="32"/>
        <v>9</v>
      </c>
      <c r="D283" t="str">
        <f t="shared" si="39"/>
        <v>M1281 Movie_281</v>
      </c>
      <c r="E283" t="s">
        <v>1008</v>
      </c>
      <c r="F283" t="str">
        <f>TRIM(Table1[[#This Row],[Genre]])</f>
        <v>Horror</v>
      </c>
      <c r="G283">
        <v>147</v>
      </c>
      <c r="H283">
        <v>6.7</v>
      </c>
      <c r="I283" t="str" cm="1">
        <f t="array" ref="I283">_xlfn.IFS(H283&lt;4,"poor",H283&lt;7,"average",H283&lt;9,"good",TRUE,"excellent")</f>
        <v>average</v>
      </c>
      <c r="J283" t="s">
        <v>1018</v>
      </c>
      <c r="K283" t="str">
        <f t="shared" si="33"/>
        <v>Eng</v>
      </c>
      <c r="L283">
        <v>1990</v>
      </c>
      <c r="M283" t="str">
        <f t="shared" si="34"/>
        <v>90</v>
      </c>
      <c r="N283" t="s">
        <v>1020</v>
      </c>
      <c r="O283" s="2">
        <v>44949</v>
      </c>
      <c r="Q283">
        <f t="shared" si="35"/>
        <v>5</v>
      </c>
      <c r="R283">
        <f t="shared" si="36"/>
        <v>28735</v>
      </c>
      <c r="U283" t="str">
        <f t="shared" si="37"/>
        <v>long</v>
      </c>
      <c r="V283" s="4">
        <f t="shared" ca="1" si="38"/>
        <v>45973.174535995371</v>
      </c>
    </row>
    <row r="284" spans="1:22" x14ac:dyDescent="0.25">
      <c r="A284" t="s">
        <v>290</v>
      </c>
      <c r="B284" t="s">
        <v>790</v>
      </c>
      <c r="C284">
        <f t="shared" si="32"/>
        <v>9</v>
      </c>
      <c r="D284" t="str">
        <f t="shared" si="39"/>
        <v>M1282 Movie_282</v>
      </c>
      <c r="E284" t="s">
        <v>1008</v>
      </c>
      <c r="F284" t="str">
        <f>TRIM(Table1[[#This Row],[Genre]])</f>
        <v>Horror</v>
      </c>
      <c r="G284">
        <v>131</v>
      </c>
      <c r="H284">
        <v>5.9</v>
      </c>
      <c r="I284" t="str" cm="1">
        <f t="array" ref="I284">_xlfn.IFS(H284&lt;4,"poor",H284&lt;7,"average",H284&lt;9,"good",TRUE,"excellent")</f>
        <v>average</v>
      </c>
      <c r="J284" t="s">
        <v>1019</v>
      </c>
      <c r="K284" t="str">
        <f t="shared" si="33"/>
        <v>Ger</v>
      </c>
      <c r="L284">
        <v>2006</v>
      </c>
      <c r="M284" t="str">
        <f t="shared" si="34"/>
        <v>06</v>
      </c>
      <c r="N284" t="s">
        <v>1020</v>
      </c>
      <c r="O284" s="2">
        <v>45229</v>
      </c>
      <c r="Q284">
        <f t="shared" si="35"/>
        <v>5</v>
      </c>
      <c r="R284">
        <f t="shared" si="36"/>
        <v>28588</v>
      </c>
      <c r="U284" t="str">
        <f t="shared" si="37"/>
        <v>long</v>
      </c>
      <c r="V284" s="4">
        <f t="shared" ca="1" si="38"/>
        <v>45973.174535995371</v>
      </c>
    </row>
    <row r="285" spans="1:22" x14ac:dyDescent="0.25">
      <c r="A285" t="s">
        <v>291</v>
      </c>
      <c r="B285" t="s">
        <v>791</v>
      </c>
      <c r="C285">
        <f t="shared" si="32"/>
        <v>9</v>
      </c>
      <c r="D285" t="str">
        <f t="shared" si="39"/>
        <v>M1283 Movie_283</v>
      </c>
      <c r="E285" t="s">
        <v>1009</v>
      </c>
      <c r="F285" t="str">
        <f>TRIM(Table1[[#This Row],[Genre]])</f>
        <v>Action</v>
      </c>
      <c r="G285">
        <v>130</v>
      </c>
      <c r="H285">
        <v>3.9</v>
      </c>
      <c r="I285" t="str" cm="1">
        <f t="array" ref="I285">_xlfn.IFS(H285&lt;4,"poor",H285&lt;7,"average",H285&lt;9,"good",TRUE,"excellent")</f>
        <v>poor</v>
      </c>
      <c r="J285" t="s">
        <v>1015</v>
      </c>
      <c r="K285" t="str">
        <f t="shared" si="33"/>
        <v>Hin</v>
      </c>
      <c r="L285">
        <v>2021</v>
      </c>
      <c r="M285" t="str">
        <f t="shared" si="34"/>
        <v>21</v>
      </c>
      <c r="N285" t="s">
        <v>1021</v>
      </c>
      <c r="O285" s="2">
        <v>44184</v>
      </c>
      <c r="Q285">
        <f t="shared" si="35"/>
        <v>5</v>
      </c>
      <c r="R285">
        <f t="shared" si="36"/>
        <v>28457</v>
      </c>
      <c r="U285" t="str">
        <f t="shared" si="37"/>
        <v>long</v>
      </c>
      <c r="V285" s="4">
        <f t="shared" ca="1" si="38"/>
        <v>45973.174535995371</v>
      </c>
    </row>
    <row r="286" spans="1:22" x14ac:dyDescent="0.25">
      <c r="A286" t="s">
        <v>292</v>
      </c>
      <c r="B286" t="s">
        <v>792</v>
      </c>
      <c r="C286">
        <f t="shared" si="32"/>
        <v>9</v>
      </c>
      <c r="D286" t="str">
        <f t="shared" si="39"/>
        <v>M1284 Movie_284</v>
      </c>
      <c r="E286" t="s">
        <v>1009</v>
      </c>
      <c r="F286" t="str">
        <f>TRIM(Table1[[#This Row],[Genre]])</f>
        <v>Action</v>
      </c>
      <c r="G286">
        <v>62</v>
      </c>
      <c r="H286">
        <v>10</v>
      </c>
      <c r="I286" t="str" cm="1">
        <f t="array" ref="I286">_xlfn.IFS(H286&lt;4,"poor",H286&lt;7,"average",H286&lt;9,"good",TRUE,"excellent")</f>
        <v>excellent</v>
      </c>
      <c r="J286" t="s">
        <v>1016</v>
      </c>
      <c r="K286" t="str">
        <f t="shared" si="33"/>
        <v>Spa</v>
      </c>
      <c r="L286">
        <v>2010</v>
      </c>
      <c r="M286" t="str">
        <f t="shared" si="34"/>
        <v>10</v>
      </c>
      <c r="N286" t="s">
        <v>1021</v>
      </c>
      <c r="O286" s="2">
        <v>45393</v>
      </c>
      <c r="Q286">
        <f t="shared" si="35"/>
        <v>5</v>
      </c>
      <c r="R286">
        <f t="shared" si="36"/>
        <v>28327</v>
      </c>
      <c r="U286" t="str">
        <f t="shared" si="37"/>
        <v>short</v>
      </c>
      <c r="V286" s="4">
        <f t="shared" ca="1" si="38"/>
        <v>45973.174535995371</v>
      </c>
    </row>
    <row r="287" spans="1:22" x14ac:dyDescent="0.25">
      <c r="A287" t="s">
        <v>293</v>
      </c>
      <c r="B287" t="s">
        <v>793</v>
      </c>
      <c r="C287">
        <f t="shared" si="32"/>
        <v>9</v>
      </c>
      <c r="D287" t="str">
        <f t="shared" si="39"/>
        <v>M1285 Movie_285</v>
      </c>
      <c r="E287" t="s">
        <v>1013</v>
      </c>
      <c r="F287" t="str">
        <f>TRIM(Table1[[#This Row],[Genre]])</f>
        <v>Thriller</v>
      </c>
      <c r="G287">
        <v>192</v>
      </c>
      <c r="H287">
        <v>5.8</v>
      </c>
      <c r="I287" t="str" cm="1">
        <f t="array" ref="I287">_xlfn.IFS(H287&lt;4,"poor",H287&lt;7,"average",H287&lt;9,"good",TRUE,"excellent")</f>
        <v>average</v>
      </c>
      <c r="J287" t="s">
        <v>1015</v>
      </c>
      <c r="K287" t="str">
        <f t="shared" si="33"/>
        <v>Hin</v>
      </c>
      <c r="L287">
        <v>2010</v>
      </c>
      <c r="M287" t="str">
        <f t="shared" si="34"/>
        <v>10</v>
      </c>
      <c r="N287" t="s">
        <v>1021</v>
      </c>
      <c r="O287" s="2">
        <v>44795</v>
      </c>
      <c r="Q287">
        <f t="shared" si="35"/>
        <v>5</v>
      </c>
      <c r="R287">
        <f t="shared" si="36"/>
        <v>28265</v>
      </c>
      <c r="U287" t="str">
        <f t="shared" si="37"/>
        <v>long</v>
      </c>
      <c r="V287" s="4">
        <f t="shared" ca="1" si="38"/>
        <v>45973.174535995371</v>
      </c>
    </row>
    <row r="288" spans="1:22" x14ac:dyDescent="0.25">
      <c r="A288" t="s">
        <v>294</v>
      </c>
      <c r="B288" t="s">
        <v>794</v>
      </c>
      <c r="C288">
        <f t="shared" si="32"/>
        <v>9</v>
      </c>
      <c r="D288" t="str">
        <f t="shared" si="39"/>
        <v>M1286 Movie_286</v>
      </c>
      <c r="E288" t="s">
        <v>1008</v>
      </c>
      <c r="F288" t="str">
        <f>TRIM(Table1[[#This Row],[Genre]])</f>
        <v>Horror</v>
      </c>
      <c r="G288">
        <v>108</v>
      </c>
      <c r="H288">
        <v>5.0999999999999996</v>
      </c>
      <c r="I288" t="str" cm="1">
        <f t="array" ref="I288">_xlfn.IFS(H288&lt;4,"poor",H288&lt;7,"average",H288&lt;9,"good",TRUE,"excellent")</f>
        <v>average</v>
      </c>
      <c r="J288" t="s">
        <v>1017</v>
      </c>
      <c r="K288" t="str">
        <f t="shared" si="33"/>
        <v>Fre</v>
      </c>
      <c r="L288">
        <v>2021</v>
      </c>
      <c r="M288" t="str">
        <f t="shared" si="34"/>
        <v>21</v>
      </c>
      <c r="N288" t="s">
        <v>1021</v>
      </c>
      <c r="O288" s="2">
        <v>45408</v>
      </c>
      <c r="Q288">
        <f t="shared" si="35"/>
        <v>5</v>
      </c>
      <c r="R288">
        <f t="shared" si="36"/>
        <v>28073</v>
      </c>
      <c r="U288" t="str">
        <f t="shared" si="37"/>
        <v>short</v>
      </c>
      <c r="V288" s="4">
        <f t="shared" ca="1" si="38"/>
        <v>45973.174535995371</v>
      </c>
    </row>
    <row r="289" spans="1:22" x14ac:dyDescent="0.25">
      <c r="A289" t="s">
        <v>295</v>
      </c>
      <c r="B289" t="s">
        <v>795</v>
      </c>
      <c r="C289">
        <f t="shared" si="32"/>
        <v>9</v>
      </c>
      <c r="D289" t="str">
        <f t="shared" si="39"/>
        <v>M1287 Movie_287</v>
      </c>
      <c r="E289" t="s">
        <v>1010</v>
      </c>
      <c r="F289" t="str">
        <f>TRIM(Table1[[#This Row],[Genre]])</f>
        <v>Drama</v>
      </c>
      <c r="G289">
        <v>81</v>
      </c>
      <c r="H289">
        <v>6.4</v>
      </c>
      <c r="I289" t="str" cm="1">
        <f t="array" ref="I289">_xlfn.IFS(H289&lt;4,"poor",H289&lt;7,"average",H289&lt;9,"good",TRUE,"excellent")</f>
        <v>average</v>
      </c>
      <c r="J289" t="s">
        <v>1017</v>
      </c>
      <c r="K289" t="str">
        <f t="shared" si="33"/>
        <v>Fre</v>
      </c>
      <c r="L289">
        <v>1992</v>
      </c>
      <c r="M289" t="str">
        <f t="shared" si="34"/>
        <v>92</v>
      </c>
      <c r="N289" t="s">
        <v>1021</v>
      </c>
      <c r="O289" s="2">
        <v>43980</v>
      </c>
      <c r="Q289">
        <f t="shared" si="35"/>
        <v>5</v>
      </c>
      <c r="R289">
        <f t="shared" si="36"/>
        <v>27965</v>
      </c>
      <c r="U289" t="str">
        <f t="shared" si="37"/>
        <v>short</v>
      </c>
      <c r="V289" s="4">
        <f t="shared" ca="1" si="38"/>
        <v>45973.174535995371</v>
      </c>
    </row>
    <row r="290" spans="1:22" x14ac:dyDescent="0.25">
      <c r="A290" t="s">
        <v>296</v>
      </c>
      <c r="B290" t="s">
        <v>796</v>
      </c>
      <c r="C290">
        <f t="shared" si="32"/>
        <v>9</v>
      </c>
      <c r="D290" t="str">
        <f t="shared" si="39"/>
        <v>M1288 Movie_288</v>
      </c>
      <c r="E290" t="s">
        <v>1009</v>
      </c>
      <c r="F290" t="str">
        <f>TRIM(Table1[[#This Row],[Genre]])</f>
        <v>Action</v>
      </c>
      <c r="G290">
        <v>121</v>
      </c>
      <c r="H290">
        <v>1.9</v>
      </c>
      <c r="I290" t="str" cm="1">
        <f t="array" ref="I290">_xlfn.IFS(H290&lt;4,"poor",H290&lt;7,"average",H290&lt;9,"good",TRUE,"excellent")</f>
        <v>poor</v>
      </c>
      <c r="J290" t="s">
        <v>1018</v>
      </c>
      <c r="K290" t="str">
        <f t="shared" si="33"/>
        <v>Eng</v>
      </c>
      <c r="L290">
        <v>1998</v>
      </c>
      <c r="M290" t="str">
        <f t="shared" si="34"/>
        <v>98</v>
      </c>
      <c r="N290" t="s">
        <v>1020</v>
      </c>
      <c r="O290" s="2">
        <v>43865</v>
      </c>
      <c r="Q290">
        <f t="shared" si="35"/>
        <v>5</v>
      </c>
      <c r="R290">
        <f t="shared" si="36"/>
        <v>27884</v>
      </c>
      <c r="U290" t="str">
        <f t="shared" si="37"/>
        <v>long</v>
      </c>
      <c r="V290" s="4">
        <f t="shared" ca="1" si="38"/>
        <v>45973.174535995371</v>
      </c>
    </row>
    <row r="291" spans="1:22" x14ac:dyDescent="0.25">
      <c r="A291" t="s">
        <v>297</v>
      </c>
      <c r="B291" t="s">
        <v>797</v>
      </c>
      <c r="C291">
        <f t="shared" si="32"/>
        <v>9</v>
      </c>
      <c r="D291" t="str">
        <f t="shared" si="39"/>
        <v>M1289 Movie_289</v>
      </c>
      <c r="E291" t="s">
        <v>1011</v>
      </c>
      <c r="F291" t="str">
        <f>TRIM(Table1[[#This Row],[Genre]])</f>
        <v>Comedy</v>
      </c>
      <c r="G291">
        <v>164</v>
      </c>
      <c r="H291">
        <v>7.3</v>
      </c>
      <c r="I291" t="str" cm="1">
        <f t="array" ref="I291">_xlfn.IFS(H291&lt;4,"poor",H291&lt;7,"average",H291&lt;9,"good",TRUE,"excellent")</f>
        <v>good</v>
      </c>
      <c r="J291" t="s">
        <v>1018</v>
      </c>
      <c r="K291" t="str">
        <f t="shared" si="33"/>
        <v>Eng</v>
      </c>
      <c r="L291">
        <v>2000</v>
      </c>
      <c r="M291" t="str">
        <f t="shared" si="34"/>
        <v>00</v>
      </c>
      <c r="N291" t="s">
        <v>1021</v>
      </c>
      <c r="O291" s="2">
        <v>45033</v>
      </c>
      <c r="Q291">
        <f t="shared" si="35"/>
        <v>5</v>
      </c>
      <c r="R291">
        <f t="shared" si="36"/>
        <v>27763</v>
      </c>
      <c r="U291" t="str">
        <f t="shared" si="37"/>
        <v>long</v>
      </c>
      <c r="V291" s="4">
        <f t="shared" ca="1" si="38"/>
        <v>45973.174535995371</v>
      </c>
    </row>
    <row r="292" spans="1:22" x14ac:dyDescent="0.25">
      <c r="A292" t="s">
        <v>298</v>
      </c>
      <c r="B292" t="s">
        <v>798</v>
      </c>
      <c r="C292">
        <f t="shared" si="32"/>
        <v>9</v>
      </c>
      <c r="D292" t="str">
        <f t="shared" si="39"/>
        <v>M1290 Movie_290</v>
      </c>
      <c r="E292" t="s">
        <v>1011</v>
      </c>
      <c r="F292" t="str">
        <f>TRIM(Table1[[#This Row],[Genre]])</f>
        <v>Comedy</v>
      </c>
      <c r="G292">
        <v>185</v>
      </c>
      <c r="H292">
        <v>8.6999999999999993</v>
      </c>
      <c r="I292" t="str" cm="1">
        <f t="array" ref="I292">_xlfn.IFS(H292&lt;4,"poor",H292&lt;7,"average",H292&lt;9,"good",TRUE,"excellent")</f>
        <v>good</v>
      </c>
      <c r="J292" t="s">
        <v>1017</v>
      </c>
      <c r="K292" t="str">
        <f t="shared" si="33"/>
        <v>Fre</v>
      </c>
      <c r="L292">
        <v>1998</v>
      </c>
      <c r="M292" t="str">
        <f t="shared" si="34"/>
        <v>98</v>
      </c>
      <c r="N292" t="s">
        <v>1021</v>
      </c>
      <c r="O292" s="2">
        <v>43969</v>
      </c>
      <c r="Q292">
        <f t="shared" si="35"/>
        <v>5</v>
      </c>
      <c r="R292">
        <f t="shared" si="36"/>
        <v>27599</v>
      </c>
      <c r="U292" t="str">
        <f t="shared" si="37"/>
        <v>long</v>
      </c>
      <c r="V292" s="4">
        <f t="shared" ca="1" si="38"/>
        <v>45973.174535995371</v>
      </c>
    </row>
    <row r="293" spans="1:22" x14ac:dyDescent="0.25">
      <c r="A293" t="s">
        <v>299</v>
      </c>
      <c r="B293" t="s">
        <v>799</v>
      </c>
      <c r="C293">
        <f t="shared" si="32"/>
        <v>9</v>
      </c>
      <c r="D293" t="str">
        <f t="shared" si="39"/>
        <v>M1291 Movie_291</v>
      </c>
      <c r="E293" t="s">
        <v>1011</v>
      </c>
      <c r="F293" t="str">
        <f>TRIM(Table1[[#This Row],[Genre]])</f>
        <v>Comedy</v>
      </c>
      <c r="G293">
        <v>121</v>
      </c>
      <c r="H293">
        <v>6.9</v>
      </c>
      <c r="I293" t="str" cm="1">
        <f t="array" ref="I293">_xlfn.IFS(H293&lt;4,"poor",H293&lt;7,"average",H293&lt;9,"good",TRUE,"excellent")</f>
        <v>average</v>
      </c>
      <c r="J293" t="s">
        <v>1014</v>
      </c>
      <c r="K293" t="str">
        <f t="shared" si="33"/>
        <v>Jap</v>
      </c>
      <c r="L293">
        <v>2021</v>
      </c>
      <c r="M293" t="str">
        <f t="shared" si="34"/>
        <v>21</v>
      </c>
      <c r="N293" t="s">
        <v>1020</v>
      </c>
      <c r="O293" s="2">
        <v>43859</v>
      </c>
      <c r="Q293">
        <f t="shared" si="35"/>
        <v>5</v>
      </c>
      <c r="R293">
        <f t="shared" si="36"/>
        <v>27414</v>
      </c>
      <c r="U293" t="str">
        <f t="shared" si="37"/>
        <v>long</v>
      </c>
      <c r="V293" s="4">
        <f t="shared" ca="1" si="38"/>
        <v>45973.174535995371</v>
      </c>
    </row>
    <row r="294" spans="1:22" x14ac:dyDescent="0.25">
      <c r="A294" t="s">
        <v>300</v>
      </c>
      <c r="B294" t="s">
        <v>800</v>
      </c>
      <c r="C294">
        <f t="shared" si="32"/>
        <v>9</v>
      </c>
      <c r="D294" t="str">
        <f t="shared" si="39"/>
        <v>M1292 Movie_292</v>
      </c>
      <c r="E294" t="s">
        <v>1012</v>
      </c>
      <c r="F294" t="str">
        <f>TRIM(Table1[[#This Row],[Genre]])</f>
        <v>Sci-Fi</v>
      </c>
      <c r="G294">
        <v>181</v>
      </c>
      <c r="H294">
        <v>7.9</v>
      </c>
      <c r="I294" t="str" cm="1">
        <f t="array" ref="I294">_xlfn.IFS(H294&lt;4,"poor",H294&lt;7,"average",H294&lt;9,"good",TRUE,"excellent")</f>
        <v>good</v>
      </c>
      <c r="J294" t="s">
        <v>1017</v>
      </c>
      <c r="K294" t="str">
        <f t="shared" si="33"/>
        <v>Fre</v>
      </c>
      <c r="L294">
        <v>1983</v>
      </c>
      <c r="M294" t="str">
        <f t="shared" si="34"/>
        <v>83</v>
      </c>
      <c r="N294" t="s">
        <v>1021</v>
      </c>
      <c r="O294" s="2">
        <v>44367</v>
      </c>
      <c r="Q294">
        <f t="shared" si="35"/>
        <v>5</v>
      </c>
      <c r="R294">
        <f t="shared" si="36"/>
        <v>27293</v>
      </c>
      <c r="U294" t="str">
        <f t="shared" si="37"/>
        <v>long</v>
      </c>
      <c r="V294" s="4">
        <f t="shared" ca="1" si="38"/>
        <v>45973.174535995371</v>
      </c>
    </row>
    <row r="295" spans="1:22" x14ac:dyDescent="0.25">
      <c r="A295" t="s">
        <v>301</v>
      </c>
      <c r="B295" t="s">
        <v>801</v>
      </c>
      <c r="C295">
        <f t="shared" si="32"/>
        <v>9</v>
      </c>
      <c r="D295" t="str">
        <f t="shared" si="39"/>
        <v>M1293 Movie_293</v>
      </c>
      <c r="E295" t="s">
        <v>1013</v>
      </c>
      <c r="F295" t="str">
        <f>TRIM(Table1[[#This Row],[Genre]])</f>
        <v>Thriller</v>
      </c>
      <c r="G295">
        <v>185</v>
      </c>
      <c r="H295">
        <v>7.5</v>
      </c>
      <c r="I295" t="str" cm="1">
        <f t="array" ref="I295">_xlfn.IFS(H295&lt;4,"poor",H295&lt;7,"average",H295&lt;9,"good",TRUE,"excellent")</f>
        <v>good</v>
      </c>
      <c r="J295" t="s">
        <v>1017</v>
      </c>
      <c r="K295" t="str">
        <f t="shared" si="33"/>
        <v>Fre</v>
      </c>
      <c r="L295">
        <v>1985</v>
      </c>
      <c r="M295" t="str">
        <f t="shared" si="34"/>
        <v>85</v>
      </c>
      <c r="N295" t="s">
        <v>1020</v>
      </c>
      <c r="O295" s="2">
        <v>44272</v>
      </c>
      <c r="Q295">
        <f t="shared" si="35"/>
        <v>5</v>
      </c>
      <c r="R295">
        <f t="shared" si="36"/>
        <v>27112</v>
      </c>
      <c r="U295" t="str">
        <f t="shared" si="37"/>
        <v>long</v>
      </c>
      <c r="V295" s="4">
        <f t="shared" ca="1" si="38"/>
        <v>45973.174535995371</v>
      </c>
    </row>
    <row r="296" spans="1:22" x14ac:dyDescent="0.25">
      <c r="A296" t="s">
        <v>302</v>
      </c>
      <c r="B296" t="s">
        <v>802</v>
      </c>
      <c r="C296">
        <f t="shared" si="32"/>
        <v>9</v>
      </c>
      <c r="D296" t="str">
        <f t="shared" si="39"/>
        <v>M1294 Movie_294</v>
      </c>
      <c r="E296" t="s">
        <v>1011</v>
      </c>
      <c r="F296" t="str">
        <f>TRIM(Table1[[#This Row],[Genre]])</f>
        <v>Comedy</v>
      </c>
      <c r="G296">
        <v>174</v>
      </c>
      <c r="H296">
        <v>2.9</v>
      </c>
      <c r="I296" t="str" cm="1">
        <f t="array" ref="I296">_xlfn.IFS(H296&lt;4,"poor",H296&lt;7,"average",H296&lt;9,"good",TRUE,"excellent")</f>
        <v>poor</v>
      </c>
      <c r="J296" t="s">
        <v>1019</v>
      </c>
      <c r="K296" t="str">
        <f t="shared" si="33"/>
        <v>Ger</v>
      </c>
      <c r="L296">
        <v>2021</v>
      </c>
      <c r="M296" t="str">
        <f t="shared" si="34"/>
        <v>21</v>
      </c>
      <c r="N296" t="s">
        <v>1021</v>
      </c>
      <c r="O296" s="2">
        <v>43912</v>
      </c>
      <c r="Q296">
        <f t="shared" si="35"/>
        <v>5</v>
      </c>
      <c r="R296">
        <f t="shared" si="36"/>
        <v>26927</v>
      </c>
      <c r="U296" t="str">
        <f t="shared" si="37"/>
        <v>long</v>
      </c>
      <c r="V296" s="4">
        <f t="shared" ca="1" si="38"/>
        <v>45973.174535995371</v>
      </c>
    </row>
    <row r="297" spans="1:22" x14ac:dyDescent="0.25">
      <c r="A297" t="s">
        <v>303</v>
      </c>
      <c r="B297" t="s">
        <v>803</v>
      </c>
      <c r="C297">
        <f t="shared" si="32"/>
        <v>9</v>
      </c>
      <c r="D297" t="str">
        <f t="shared" si="39"/>
        <v>M1295 Movie_295</v>
      </c>
      <c r="E297" t="s">
        <v>1013</v>
      </c>
      <c r="F297" t="str">
        <f>TRIM(Table1[[#This Row],[Genre]])</f>
        <v>Thriller</v>
      </c>
      <c r="G297">
        <v>64</v>
      </c>
      <c r="H297">
        <v>5.0999999999999996</v>
      </c>
      <c r="I297" t="str" cm="1">
        <f t="array" ref="I297">_xlfn.IFS(H297&lt;4,"poor",H297&lt;7,"average",H297&lt;9,"good",TRUE,"excellent")</f>
        <v>average</v>
      </c>
      <c r="J297" t="s">
        <v>1015</v>
      </c>
      <c r="K297" t="str">
        <f t="shared" si="33"/>
        <v>Hin</v>
      </c>
      <c r="L297">
        <v>2016</v>
      </c>
      <c r="M297" t="str">
        <f t="shared" si="34"/>
        <v>16</v>
      </c>
      <c r="N297" t="s">
        <v>1020</v>
      </c>
      <c r="O297" s="2">
        <v>43954</v>
      </c>
      <c r="Q297">
        <f t="shared" si="35"/>
        <v>5</v>
      </c>
      <c r="R297">
        <f t="shared" si="36"/>
        <v>26753</v>
      </c>
      <c r="U297" t="str">
        <f t="shared" si="37"/>
        <v>short</v>
      </c>
      <c r="V297" s="4">
        <f t="shared" ca="1" si="38"/>
        <v>45973.174535995371</v>
      </c>
    </row>
    <row r="298" spans="1:22" x14ac:dyDescent="0.25">
      <c r="A298" t="s">
        <v>304</v>
      </c>
      <c r="B298" t="s">
        <v>804</v>
      </c>
      <c r="C298">
        <f t="shared" si="32"/>
        <v>9</v>
      </c>
      <c r="D298" t="str">
        <f t="shared" si="39"/>
        <v>M1296 Movie_296</v>
      </c>
      <c r="E298" t="s">
        <v>1011</v>
      </c>
      <c r="F298" t="str">
        <f>TRIM(Table1[[#This Row],[Genre]])</f>
        <v>Comedy</v>
      </c>
      <c r="G298">
        <v>83</v>
      </c>
      <c r="H298">
        <v>3.1</v>
      </c>
      <c r="I298" t="str" cm="1">
        <f t="array" ref="I298">_xlfn.IFS(H298&lt;4,"poor",H298&lt;7,"average",H298&lt;9,"good",TRUE,"excellent")</f>
        <v>poor</v>
      </c>
      <c r="J298" t="s">
        <v>1014</v>
      </c>
      <c r="K298" t="str">
        <f t="shared" si="33"/>
        <v>Jap</v>
      </c>
      <c r="L298">
        <v>1994</v>
      </c>
      <c r="M298" t="str">
        <f t="shared" si="34"/>
        <v>94</v>
      </c>
      <c r="N298" t="s">
        <v>1020</v>
      </c>
      <c r="O298" s="2">
        <v>45447</v>
      </c>
      <c r="Q298">
        <f t="shared" si="35"/>
        <v>5</v>
      </c>
      <c r="R298">
        <f t="shared" si="36"/>
        <v>26689</v>
      </c>
      <c r="U298" t="str">
        <f t="shared" si="37"/>
        <v>short</v>
      </c>
      <c r="V298" s="4">
        <f t="shared" ca="1" si="38"/>
        <v>45973.174535995371</v>
      </c>
    </row>
    <row r="299" spans="1:22" x14ac:dyDescent="0.25">
      <c r="A299" t="s">
        <v>305</v>
      </c>
      <c r="B299" t="s">
        <v>805</v>
      </c>
      <c r="C299">
        <f t="shared" si="32"/>
        <v>9</v>
      </c>
      <c r="D299" t="str">
        <f t="shared" si="39"/>
        <v>M1297 Movie_297</v>
      </c>
      <c r="E299" t="s">
        <v>1010</v>
      </c>
      <c r="F299" t="str">
        <f>TRIM(Table1[[#This Row],[Genre]])</f>
        <v>Drama</v>
      </c>
      <c r="G299">
        <v>135</v>
      </c>
      <c r="H299">
        <v>4.0999999999999996</v>
      </c>
      <c r="I299" t="str" cm="1">
        <f t="array" ref="I299">_xlfn.IFS(H299&lt;4,"poor",H299&lt;7,"average",H299&lt;9,"good",TRUE,"excellent")</f>
        <v>average</v>
      </c>
      <c r="J299" t="s">
        <v>1019</v>
      </c>
      <c r="K299" t="str">
        <f t="shared" si="33"/>
        <v>Ger</v>
      </c>
      <c r="L299">
        <v>2014</v>
      </c>
      <c r="M299" t="str">
        <f t="shared" si="34"/>
        <v>14</v>
      </c>
      <c r="N299" t="s">
        <v>1021</v>
      </c>
      <c r="O299" s="2">
        <v>44646</v>
      </c>
      <c r="Q299">
        <f t="shared" si="35"/>
        <v>5</v>
      </c>
      <c r="R299">
        <f t="shared" si="36"/>
        <v>26606</v>
      </c>
      <c r="U299" t="str">
        <f t="shared" si="37"/>
        <v>long</v>
      </c>
      <c r="V299" s="4">
        <f t="shared" ca="1" si="38"/>
        <v>45973.174535995371</v>
      </c>
    </row>
    <row r="300" spans="1:22" x14ac:dyDescent="0.25">
      <c r="A300" t="s">
        <v>306</v>
      </c>
      <c r="B300" t="s">
        <v>806</v>
      </c>
      <c r="C300">
        <f t="shared" si="32"/>
        <v>9</v>
      </c>
      <c r="D300" t="str">
        <f t="shared" si="39"/>
        <v>M1298 Movie_298</v>
      </c>
      <c r="E300" t="s">
        <v>1013</v>
      </c>
      <c r="F300" t="str">
        <f>TRIM(Table1[[#This Row],[Genre]])</f>
        <v>Thriller</v>
      </c>
      <c r="G300">
        <v>116</v>
      </c>
      <c r="H300">
        <v>5.0999999999999996</v>
      </c>
      <c r="I300" t="str" cm="1">
        <f t="array" ref="I300">_xlfn.IFS(H300&lt;4,"poor",H300&lt;7,"average",H300&lt;9,"good",TRUE,"excellent")</f>
        <v>average</v>
      </c>
      <c r="J300" t="s">
        <v>1016</v>
      </c>
      <c r="K300" t="str">
        <f t="shared" si="33"/>
        <v>Spa</v>
      </c>
      <c r="L300">
        <v>1982</v>
      </c>
      <c r="M300" t="str">
        <f t="shared" si="34"/>
        <v>82</v>
      </c>
      <c r="N300" t="s">
        <v>1020</v>
      </c>
      <c r="O300" s="2">
        <v>44868</v>
      </c>
      <c r="Q300">
        <f t="shared" si="35"/>
        <v>5</v>
      </c>
      <c r="R300">
        <f t="shared" si="36"/>
        <v>26471</v>
      </c>
      <c r="U300" t="str">
        <f t="shared" si="37"/>
        <v>short</v>
      </c>
      <c r="V300" s="4">
        <f t="shared" ca="1" si="38"/>
        <v>45973.174535995371</v>
      </c>
    </row>
    <row r="301" spans="1:22" x14ac:dyDescent="0.25">
      <c r="A301" t="s">
        <v>307</v>
      </c>
      <c r="B301" t="s">
        <v>807</v>
      </c>
      <c r="C301">
        <f t="shared" si="32"/>
        <v>9</v>
      </c>
      <c r="D301" t="str">
        <f t="shared" si="39"/>
        <v>M1299 Movie_299</v>
      </c>
      <c r="E301" t="s">
        <v>1011</v>
      </c>
      <c r="F301" t="str">
        <f>TRIM(Table1[[#This Row],[Genre]])</f>
        <v>Comedy</v>
      </c>
      <c r="G301">
        <v>163</v>
      </c>
      <c r="H301">
        <v>4.7</v>
      </c>
      <c r="I301" t="str" cm="1">
        <f t="array" ref="I301">_xlfn.IFS(H301&lt;4,"poor",H301&lt;7,"average",H301&lt;9,"good",TRUE,"excellent")</f>
        <v>average</v>
      </c>
      <c r="J301" t="s">
        <v>1014</v>
      </c>
      <c r="K301" t="str">
        <f t="shared" si="33"/>
        <v>Jap</v>
      </c>
      <c r="L301">
        <v>1991</v>
      </c>
      <c r="M301" t="str">
        <f t="shared" si="34"/>
        <v>91</v>
      </c>
      <c r="N301" t="s">
        <v>1021</v>
      </c>
      <c r="O301" s="2">
        <v>44417</v>
      </c>
      <c r="Q301">
        <f t="shared" si="35"/>
        <v>5</v>
      </c>
      <c r="R301">
        <f t="shared" si="36"/>
        <v>26355</v>
      </c>
      <c r="U301" t="str">
        <f t="shared" si="37"/>
        <v>long</v>
      </c>
      <c r="V301" s="4">
        <f t="shared" ca="1" si="38"/>
        <v>45973.174535995371</v>
      </c>
    </row>
    <row r="302" spans="1:22" x14ac:dyDescent="0.25">
      <c r="A302" t="s">
        <v>308</v>
      </c>
      <c r="B302" t="s">
        <v>808</v>
      </c>
      <c r="C302">
        <f t="shared" si="32"/>
        <v>9</v>
      </c>
      <c r="D302" t="str">
        <f t="shared" si="39"/>
        <v>M1300 Movie_300</v>
      </c>
      <c r="E302" t="s">
        <v>1009</v>
      </c>
      <c r="F302" t="str">
        <f>TRIM(Table1[[#This Row],[Genre]])</f>
        <v>Action</v>
      </c>
      <c r="G302">
        <v>122</v>
      </c>
      <c r="H302">
        <v>1.9</v>
      </c>
      <c r="I302" t="str" cm="1">
        <f t="array" ref="I302">_xlfn.IFS(H302&lt;4,"poor",H302&lt;7,"average",H302&lt;9,"good",TRUE,"excellent")</f>
        <v>poor</v>
      </c>
      <c r="J302" t="s">
        <v>1019</v>
      </c>
      <c r="K302" t="str">
        <f t="shared" si="33"/>
        <v>Ger</v>
      </c>
      <c r="L302">
        <v>2006</v>
      </c>
      <c r="M302" t="str">
        <f t="shared" si="34"/>
        <v>06</v>
      </c>
      <c r="N302" t="s">
        <v>1021</v>
      </c>
      <c r="O302" s="2">
        <v>45118</v>
      </c>
      <c r="Q302">
        <f t="shared" si="35"/>
        <v>5</v>
      </c>
      <c r="R302">
        <f t="shared" si="36"/>
        <v>26192</v>
      </c>
      <c r="U302" t="str">
        <f t="shared" si="37"/>
        <v>long</v>
      </c>
      <c r="V302" s="4">
        <f t="shared" ca="1" si="38"/>
        <v>45973.174535995371</v>
      </c>
    </row>
    <row r="303" spans="1:22" x14ac:dyDescent="0.25">
      <c r="A303" t="s">
        <v>309</v>
      </c>
      <c r="B303" t="s">
        <v>809</v>
      </c>
      <c r="C303">
        <f t="shared" si="32"/>
        <v>9</v>
      </c>
      <c r="D303" t="str">
        <f t="shared" si="39"/>
        <v>M1301 Movie_301</v>
      </c>
      <c r="E303" t="s">
        <v>1013</v>
      </c>
      <c r="F303" t="str">
        <f>TRIM(Table1[[#This Row],[Genre]])</f>
        <v>Thriller</v>
      </c>
      <c r="G303">
        <v>138</v>
      </c>
      <c r="H303">
        <v>4.8</v>
      </c>
      <c r="I303" t="str" cm="1">
        <f t="array" ref="I303">_xlfn.IFS(H303&lt;4,"poor",H303&lt;7,"average",H303&lt;9,"good",TRUE,"excellent")</f>
        <v>average</v>
      </c>
      <c r="J303" t="s">
        <v>1017</v>
      </c>
      <c r="K303" t="str">
        <f t="shared" si="33"/>
        <v>Fre</v>
      </c>
      <c r="L303">
        <v>1991</v>
      </c>
      <c r="M303" t="str">
        <f t="shared" si="34"/>
        <v>91</v>
      </c>
      <c r="N303" t="s">
        <v>1021</v>
      </c>
      <c r="O303" s="2">
        <v>45290</v>
      </c>
      <c r="Q303">
        <f t="shared" si="35"/>
        <v>5</v>
      </c>
      <c r="R303">
        <f t="shared" si="36"/>
        <v>26070</v>
      </c>
      <c r="U303" t="str">
        <f t="shared" si="37"/>
        <v>long</v>
      </c>
      <c r="V303" s="4">
        <f t="shared" ca="1" si="38"/>
        <v>45973.174535995371</v>
      </c>
    </row>
    <row r="304" spans="1:22" x14ac:dyDescent="0.25">
      <c r="A304" t="s">
        <v>310</v>
      </c>
      <c r="B304" t="s">
        <v>810</v>
      </c>
      <c r="C304">
        <f t="shared" si="32"/>
        <v>9</v>
      </c>
      <c r="D304" t="str">
        <f t="shared" si="39"/>
        <v>M1302 Movie_302</v>
      </c>
      <c r="E304" t="s">
        <v>1012</v>
      </c>
      <c r="F304" t="str">
        <f>TRIM(Table1[[#This Row],[Genre]])</f>
        <v>Sci-Fi</v>
      </c>
      <c r="G304">
        <v>154</v>
      </c>
      <c r="H304">
        <v>7</v>
      </c>
      <c r="I304" t="str" cm="1">
        <f t="array" ref="I304">_xlfn.IFS(H304&lt;4,"poor",H304&lt;7,"average",H304&lt;9,"good",TRUE,"excellent")</f>
        <v>good</v>
      </c>
      <c r="J304" t="s">
        <v>1019</v>
      </c>
      <c r="K304" t="str">
        <f t="shared" si="33"/>
        <v>Ger</v>
      </c>
      <c r="L304">
        <v>1982</v>
      </c>
      <c r="M304" t="str">
        <f t="shared" si="34"/>
        <v>82</v>
      </c>
      <c r="N304" t="s">
        <v>1021</v>
      </c>
      <c r="O304" s="2">
        <v>44857</v>
      </c>
      <c r="Q304">
        <f t="shared" si="35"/>
        <v>5</v>
      </c>
      <c r="R304">
        <f t="shared" si="36"/>
        <v>25932</v>
      </c>
      <c r="U304" t="str">
        <f t="shared" si="37"/>
        <v>long</v>
      </c>
      <c r="V304" s="4">
        <f t="shared" ca="1" si="38"/>
        <v>45973.174535995371</v>
      </c>
    </row>
    <row r="305" spans="1:22" x14ac:dyDescent="0.25">
      <c r="A305" t="s">
        <v>311</v>
      </c>
      <c r="B305" t="s">
        <v>811</v>
      </c>
      <c r="C305">
        <f t="shared" si="32"/>
        <v>9</v>
      </c>
      <c r="D305" t="str">
        <f t="shared" si="39"/>
        <v>M1303 Movie_303</v>
      </c>
      <c r="E305" t="s">
        <v>1009</v>
      </c>
      <c r="F305" t="str">
        <f>TRIM(Table1[[#This Row],[Genre]])</f>
        <v>Action</v>
      </c>
      <c r="G305">
        <v>181</v>
      </c>
      <c r="H305">
        <v>4.4000000000000004</v>
      </c>
      <c r="I305" t="str" cm="1">
        <f t="array" ref="I305">_xlfn.IFS(H305&lt;4,"poor",H305&lt;7,"average",H305&lt;9,"good",TRUE,"excellent")</f>
        <v>average</v>
      </c>
      <c r="J305" t="s">
        <v>1018</v>
      </c>
      <c r="K305" t="str">
        <f t="shared" si="33"/>
        <v>Eng</v>
      </c>
      <c r="L305">
        <v>2005</v>
      </c>
      <c r="M305" t="str">
        <f t="shared" si="34"/>
        <v>05</v>
      </c>
      <c r="N305" t="s">
        <v>1021</v>
      </c>
      <c r="O305" s="2">
        <v>45402</v>
      </c>
      <c r="Q305">
        <f t="shared" si="35"/>
        <v>5</v>
      </c>
      <c r="R305">
        <f t="shared" si="36"/>
        <v>25778</v>
      </c>
      <c r="U305" t="str">
        <f t="shared" si="37"/>
        <v>long</v>
      </c>
      <c r="V305" s="4">
        <f t="shared" ca="1" si="38"/>
        <v>45973.174535995371</v>
      </c>
    </row>
    <row r="306" spans="1:22" x14ac:dyDescent="0.25">
      <c r="A306" t="s">
        <v>312</v>
      </c>
      <c r="B306" t="s">
        <v>812</v>
      </c>
      <c r="C306">
        <f t="shared" si="32"/>
        <v>9</v>
      </c>
      <c r="D306" t="str">
        <f t="shared" si="39"/>
        <v>M1304 Movie_304</v>
      </c>
      <c r="E306" t="s">
        <v>1009</v>
      </c>
      <c r="F306" t="str">
        <f>TRIM(Table1[[#This Row],[Genre]])</f>
        <v>Action</v>
      </c>
      <c r="G306">
        <v>195</v>
      </c>
      <c r="H306">
        <v>2.4</v>
      </c>
      <c r="I306" t="str" cm="1">
        <f t="array" ref="I306">_xlfn.IFS(H306&lt;4,"poor",H306&lt;7,"average",H306&lt;9,"good",TRUE,"excellent")</f>
        <v>poor</v>
      </c>
      <c r="J306" t="s">
        <v>1014</v>
      </c>
      <c r="K306" t="str">
        <f t="shared" si="33"/>
        <v>Jap</v>
      </c>
      <c r="L306">
        <v>2011</v>
      </c>
      <c r="M306" t="str">
        <f t="shared" si="34"/>
        <v>11</v>
      </c>
      <c r="N306" t="s">
        <v>1021</v>
      </c>
      <c r="O306" s="2">
        <v>44681</v>
      </c>
      <c r="Q306">
        <f t="shared" si="35"/>
        <v>5</v>
      </c>
      <c r="R306">
        <f t="shared" si="36"/>
        <v>25597</v>
      </c>
      <c r="U306" t="str">
        <f t="shared" si="37"/>
        <v>long</v>
      </c>
      <c r="V306" s="4">
        <f t="shared" ca="1" si="38"/>
        <v>45973.174535995371</v>
      </c>
    </row>
    <row r="307" spans="1:22" x14ac:dyDescent="0.25">
      <c r="A307" t="s">
        <v>313</v>
      </c>
      <c r="B307" t="s">
        <v>813</v>
      </c>
      <c r="C307">
        <f t="shared" si="32"/>
        <v>9</v>
      </c>
      <c r="D307" t="str">
        <f t="shared" si="39"/>
        <v>M1305 Movie_305</v>
      </c>
      <c r="E307" t="s">
        <v>1008</v>
      </c>
      <c r="F307" t="str">
        <f>TRIM(Table1[[#This Row],[Genre]])</f>
        <v>Horror</v>
      </c>
      <c r="G307">
        <v>148</v>
      </c>
      <c r="H307">
        <v>9.3000000000000007</v>
      </c>
      <c r="I307" t="str" cm="1">
        <f t="array" ref="I307">_xlfn.IFS(H307&lt;4,"poor",H307&lt;7,"average",H307&lt;9,"good",TRUE,"excellent")</f>
        <v>excellent</v>
      </c>
      <c r="J307" t="s">
        <v>1017</v>
      </c>
      <c r="K307" t="str">
        <f t="shared" si="33"/>
        <v>Fre</v>
      </c>
      <c r="L307">
        <v>1991</v>
      </c>
      <c r="M307" t="str">
        <f t="shared" si="34"/>
        <v>91</v>
      </c>
      <c r="N307" t="s">
        <v>1021</v>
      </c>
      <c r="O307" s="2">
        <v>44698</v>
      </c>
      <c r="Q307">
        <f t="shared" si="35"/>
        <v>5</v>
      </c>
      <c r="R307">
        <f t="shared" si="36"/>
        <v>25402</v>
      </c>
      <c r="U307" t="str">
        <f t="shared" si="37"/>
        <v>long</v>
      </c>
      <c r="V307" s="4">
        <f t="shared" ca="1" si="38"/>
        <v>45973.174535995371</v>
      </c>
    </row>
    <row r="308" spans="1:22" x14ac:dyDescent="0.25">
      <c r="A308" t="s">
        <v>314</v>
      </c>
      <c r="B308" t="s">
        <v>814</v>
      </c>
      <c r="C308">
        <f t="shared" si="32"/>
        <v>9</v>
      </c>
      <c r="D308" t="str">
        <f t="shared" si="39"/>
        <v>M1306 Movie_306</v>
      </c>
      <c r="E308" t="s">
        <v>1012</v>
      </c>
      <c r="F308" t="str">
        <f>TRIM(Table1[[#This Row],[Genre]])</f>
        <v>Sci-Fi</v>
      </c>
      <c r="G308">
        <v>168</v>
      </c>
      <c r="H308">
        <v>1.6</v>
      </c>
      <c r="I308" t="str" cm="1">
        <f t="array" ref="I308">_xlfn.IFS(H308&lt;4,"poor",H308&lt;7,"average",H308&lt;9,"good",TRUE,"excellent")</f>
        <v>poor</v>
      </c>
      <c r="J308" t="s">
        <v>1015</v>
      </c>
      <c r="K308" t="str">
        <f t="shared" si="33"/>
        <v>Hin</v>
      </c>
      <c r="L308">
        <v>1998</v>
      </c>
      <c r="M308" t="str">
        <f t="shared" si="34"/>
        <v>98</v>
      </c>
      <c r="N308" t="s">
        <v>1020</v>
      </c>
      <c r="O308" s="2">
        <v>45268</v>
      </c>
      <c r="Q308">
        <f t="shared" si="35"/>
        <v>5</v>
      </c>
      <c r="R308">
        <f t="shared" si="36"/>
        <v>25254</v>
      </c>
      <c r="U308" t="str">
        <f t="shared" si="37"/>
        <v>long</v>
      </c>
      <c r="V308" s="4">
        <f t="shared" ca="1" si="38"/>
        <v>45973.174535995371</v>
      </c>
    </row>
    <row r="309" spans="1:22" x14ac:dyDescent="0.25">
      <c r="A309" t="s">
        <v>315</v>
      </c>
      <c r="B309" t="s">
        <v>815</v>
      </c>
      <c r="C309">
        <f t="shared" si="32"/>
        <v>9</v>
      </c>
      <c r="D309" t="str">
        <f t="shared" si="39"/>
        <v>M1307 Movie_307</v>
      </c>
      <c r="E309" t="s">
        <v>1009</v>
      </c>
      <c r="F309" t="str">
        <f>TRIM(Table1[[#This Row],[Genre]])</f>
        <v>Action</v>
      </c>
      <c r="G309">
        <v>200</v>
      </c>
      <c r="H309">
        <v>8.5</v>
      </c>
      <c r="I309" t="str" cm="1">
        <f t="array" ref="I309">_xlfn.IFS(H309&lt;4,"poor",H309&lt;7,"average",H309&lt;9,"good",TRUE,"excellent")</f>
        <v>good</v>
      </c>
      <c r="J309" t="s">
        <v>1019</v>
      </c>
      <c r="K309" t="str">
        <f t="shared" si="33"/>
        <v>Ger</v>
      </c>
      <c r="L309">
        <v>1982</v>
      </c>
      <c r="M309" t="str">
        <f t="shared" si="34"/>
        <v>82</v>
      </c>
      <c r="N309" t="s">
        <v>1021</v>
      </c>
      <c r="O309" s="2">
        <v>44654</v>
      </c>
      <c r="Q309">
        <f t="shared" si="35"/>
        <v>5</v>
      </c>
      <c r="R309">
        <f t="shared" si="36"/>
        <v>25086</v>
      </c>
      <c r="U309" t="str">
        <f t="shared" si="37"/>
        <v>long</v>
      </c>
      <c r="V309" s="4">
        <f t="shared" ca="1" si="38"/>
        <v>45973.174535995371</v>
      </c>
    </row>
    <row r="310" spans="1:22" x14ac:dyDescent="0.25">
      <c r="A310" t="s">
        <v>316</v>
      </c>
      <c r="B310" t="s">
        <v>816</v>
      </c>
      <c r="C310">
        <f t="shared" si="32"/>
        <v>9</v>
      </c>
      <c r="D310" t="str">
        <f t="shared" si="39"/>
        <v>M1308 Movie_308</v>
      </c>
      <c r="E310" t="s">
        <v>1009</v>
      </c>
      <c r="F310" t="str">
        <f>TRIM(Table1[[#This Row],[Genre]])</f>
        <v>Action</v>
      </c>
      <c r="G310">
        <v>144</v>
      </c>
      <c r="H310">
        <v>1.8</v>
      </c>
      <c r="I310" t="str" cm="1">
        <f t="array" ref="I310">_xlfn.IFS(H310&lt;4,"poor",H310&lt;7,"average",H310&lt;9,"good",TRUE,"excellent")</f>
        <v>poor</v>
      </c>
      <c r="J310" t="s">
        <v>1017</v>
      </c>
      <c r="K310" t="str">
        <f t="shared" si="33"/>
        <v>Fre</v>
      </c>
      <c r="L310">
        <v>1980</v>
      </c>
      <c r="M310" t="str">
        <f t="shared" si="34"/>
        <v>80</v>
      </c>
      <c r="N310" t="s">
        <v>1021</v>
      </c>
      <c r="O310" s="2">
        <v>43999</v>
      </c>
      <c r="Q310">
        <f t="shared" si="35"/>
        <v>5</v>
      </c>
      <c r="R310">
        <f t="shared" si="36"/>
        <v>24886</v>
      </c>
      <c r="U310" t="str">
        <f t="shared" si="37"/>
        <v>long</v>
      </c>
      <c r="V310" s="4">
        <f t="shared" ca="1" si="38"/>
        <v>45973.174535995371</v>
      </c>
    </row>
    <row r="311" spans="1:22" x14ac:dyDescent="0.25">
      <c r="A311" t="s">
        <v>317</v>
      </c>
      <c r="B311" t="s">
        <v>817</v>
      </c>
      <c r="C311">
        <f t="shared" si="32"/>
        <v>9</v>
      </c>
      <c r="D311" t="str">
        <f t="shared" si="39"/>
        <v>M1309 Movie_309</v>
      </c>
      <c r="E311" t="s">
        <v>1011</v>
      </c>
      <c r="F311" t="str">
        <f>TRIM(Table1[[#This Row],[Genre]])</f>
        <v>Comedy</v>
      </c>
      <c r="G311">
        <v>150</v>
      </c>
      <c r="H311">
        <v>1.9</v>
      </c>
      <c r="I311" t="str" cm="1">
        <f t="array" ref="I311">_xlfn.IFS(H311&lt;4,"poor",H311&lt;7,"average",H311&lt;9,"good",TRUE,"excellent")</f>
        <v>poor</v>
      </c>
      <c r="J311" t="s">
        <v>1014</v>
      </c>
      <c r="K311" t="str">
        <f t="shared" si="33"/>
        <v>Jap</v>
      </c>
      <c r="L311">
        <v>1999</v>
      </c>
      <c r="M311" t="str">
        <f t="shared" si="34"/>
        <v>99</v>
      </c>
      <c r="N311" t="s">
        <v>1020</v>
      </c>
      <c r="O311" s="2">
        <v>45142</v>
      </c>
      <c r="Q311">
        <f t="shared" si="35"/>
        <v>5</v>
      </c>
      <c r="R311">
        <f t="shared" si="36"/>
        <v>24742</v>
      </c>
      <c r="U311" t="str">
        <f t="shared" si="37"/>
        <v>long</v>
      </c>
      <c r="V311" s="4">
        <f t="shared" ca="1" si="38"/>
        <v>45973.174535995371</v>
      </c>
    </row>
    <row r="312" spans="1:22" x14ac:dyDescent="0.25">
      <c r="A312" t="s">
        <v>318</v>
      </c>
      <c r="B312" t="s">
        <v>818</v>
      </c>
      <c r="C312">
        <f t="shared" si="32"/>
        <v>9</v>
      </c>
      <c r="D312" t="str">
        <f t="shared" si="39"/>
        <v>M1310 Movie_310</v>
      </c>
      <c r="E312" t="s">
        <v>1011</v>
      </c>
      <c r="F312" t="str">
        <f>TRIM(Table1[[#This Row],[Genre]])</f>
        <v>Comedy</v>
      </c>
      <c r="G312">
        <v>176</v>
      </c>
      <c r="H312">
        <v>7.6</v>
      </c>
      <c r="I312" t="str" cm="1">
        <f t="array" ref="I312">_xlfn.IFS(H312&lt;4,"poor",H312&lt;7,"average",H312&lt;9,"good",TRUE,"excellent")</f>
        <v>good</v>
      </c>
      <c r="J312" t="s">
        <v>1018</v>
      </c>
      <c r="K312" t="str">
        <f t="shared" si="33"/>
        <v>Eng</v>
      </c>
      <c r="L312">
        <v>2016</v>
      </c>
      <c r="M312" t="str">
        <f t="shared" si="34"/>
        <v>16</v>
      </c>
      <c r="N312" t="s">
        <v>1021</v>
      </c>
      <c r="O312" s="2">
        <v>44929</v>
      </c>
      <c r="Q312">
        <f t="shared" si="35"/>
        <v>5</v>
      </c>
      <c r="R312">
        <f t="shared" si="36"/>
        <v>24592</v>
      </c>
      <c r="U312" t="str">
        <f t="shared" si="37"/>
        <v>long</v>
      </c>
      <c r="V312" s="4">
        <f t="shared" ca="1" si="38"/>
        <v>45973.174535995371</v>
      </c>
    </row>
    <row r="313" spans="1:22" x14ac:dyDescent="0.25">
      <c r="A313" t="s">
        <v>319</v>
      </c>
      <c r="B313" t="s">
        <v>819</v>
      </c>
      <c r="C313">
        <f t="shared" si="32"/>
        <v>9</v>
      </c>
      <c r="D313" t="str">
        <f t="shared" si="39"/>
        <v>M1311 Movie_311</v>
      </c>
      <c r="E313" t="s">
        <v>1013</v>
      </c>
      <c r="F313" t="str">
        <f>TRIM(Table1[[#This Row],[Genre]])</f>
        <v>Thriller</v>
      </c>
      <c r="G313">
        <v>129</v>
      </c>
      <c r="H313">
        <v>8.3000000000000007</v>
      </c>
      <c r="I313" t="str" cm="1">
        <f t="array" ref="I313">_xlfn.IFS(H313&lt;4,"poor",H313&lt;7,"average",H313&lt;9,"good",TRUE,"excellent")</f>
        <v>good</v>
      </c>
      <c r="J313" t="s">
        <v>1018</v>
      </c>
      <c r="K313" t="str">
        <f t="shared" si="33"/>
        <v>Eng</v>
      </c>
      <c r="L313">
        <v>2018</v>
      </c>
      <c r="M313" t="str">
        <f t="shared" si="34"/>
        <v>18</v>
      </c>
      <c r="N313" t="s">
        <v>1021</v>
      </c>
      <c r="O313" s="2">
        <v>44932</v>
      </c>
      <c r="Q313">
        <f t="shared" si="35"/>
        <v>5</v>
      </c>
      <c r="R313">
        <f t="shared" si="36"/>
        <v>24416</v>
      </c>
      <c r="U313" t="str">
        <f t="shared" si="37"/>
        <v>long</v>
      </c>
      <c r="V313" s="4">
        <f t="shared" ca="1" si="38"/>
        <v>45973.174535995371</v>
      </c>
    </row>
    <row r="314" spans="1:22" x14ac:dyDescent="0.25">
      <c r="A314" t="s">
        <v>320</v>
      </c>
      <c r="B314" t="s">
        <v>820</v>
      </c>
      <c r="C314">
        <f t="shared" si="32"/>
        <v>9</v>
      </c>
      <c r="D314" t="str">
        <f t="shared" si="39"/>
        <v>M1312 Movie_312</v>
      </c>
      <c r="E314" t="s">
        <v>1013</v>
      </c>
      <c r="F314" t="str">
        <f>TRIM(Table1[[#This Row],[Genre]])</f>
        <v>Thriller</v>
      </c>
      <c r="G314">
        <v>138</v>
      </c>
      <c r="H314">
        <v>6</v>
      </c>
      <c r="I314" t="str" cm="1">
        <f t="array" ref="I314">_xlfn.IFS(H314&lt;4,"poor",H314&lt;7,"average",H314&lt;9,"good",TRUE,"excellent")</f>
        <v>average</v>
      </c>
      <c r="J314" t="s">
        <v>1014</v>
      </c>
      <c r="K314" t="str">
        <f t="shared" si="33"/>
        <v>Jap</v>
      </c>
      <c r="L314">
        <v>1986</v>
      </c>
      <c r="M314" t="str">
        <f t="shared" si="34"/>
        <v>86</v>
      </c>
      <c r="N314" t="s">
        <v>1020</v>
      </c>
      <c r="O314" s="2">
        <v>45092</v>
      </c>
      <c r="Q314">
        <f t="shared" si="35"/>
        <v>5</v>
      </c>
      <c r="R314">
        <f t="shared" si="36"/>
        <v>24287</v>
      </c>
      <c r="U314" t="str">
        <f t="shared" si="37"/>
        <v>long</v>
      </c>
      <c r="V314" s="4">
        <f t="shared" ca="1" si="38"/>
        <v>45973.174535995371</v>
      </c>
    </row>
    <row r="315" spans="1:22" x14ac:dyDescent="0.25">
      <c r="A315" t="s">
        <v>321</v>
      </c>
      <c r="B315" t="s">
        <v>821</v>
      </c>
      <c r="C315">
        <f t="shared" si="32"/>
        <v>9</v>
      </c>
      <c r="D315" t="str">
        <f t="shared" si="39"/>
        <v>M1313 Movie_313</v>
      </c>
      <c r="E315" t="s">
        <v>1013</v>
      </c>
      <c r="F315" t="str">
        <f>TRIM(Table1[[#This Row],[Genre]])</f>
        <v>Thriller</v>
      </c>
      <c r="G315">
        <v>124</v>
      </c>
      <c r="H315">
        <v>6.3</v>
      </c>
      <c r="I315" t="str" cm="1">
        <f t="array" ref="I315">_xlfn.IFS(H315&lt;4,"poor",H315&lt;7,"average",H315&lt;9,"good",TRUE,"excellent")</f>
        <v>average</v>
      </c>
      <c r="J315" t="s">
        <v>1014</v>
      </c>
      <c r="K315" t="str">
        <f t="shared" si="33"/>
        <v>Jap</v>
      </c>
      <c r="L315">
        <v>2001</v>
      </c>
      <c r="M315" t="str">
        <f t="shared" si="34"/>
        <v>01</v>
      </c>
      <c r="N315" t="s">
        <v>1021</v>
      </c>
      <c r="O315" s="2">
        <v>44143</v>
      </c>
      <c r="Q315">
        <f t="shared" si="35"/>
        <v>5</v>
      </c>
      <c r="R315">
        <f t="shared" si="36"/>
        <v>24149</v>
      </c>
      <c r="U315" t="str">
        <f t="shared" si="37"/>
        <v>long</v>
      </c>
      <c r="V315" s="4">
        <f t="shared" ca="1" si="38"/>
        <v>45973.174535995371</v>
      </c>
    </row>
    <row r="316" spans="1:22" x14ac:dyDescent="0.25">
      <c r="A316" t="s">
        <v>322</v>
      </c>
      <c r="B316" t="s">
        <v>822</v>
      </c>
      <c r="C316">
        <f t="shared" si="32"/>
        <v>9</v>
      </c>
      <c r="D316" t="str">
        <f t="shared" si="39"/>
        <v>M1314 Movie_314</v>
      </c>
      <c r="E316" t="s">
        <v>1011</v>
      </c>
      <c r="F316" t="str">
        <f>TRIM(Table1[[#This Row],[Genre]])</f>
        <v>Comedy</v>
      </c>
      <c r="G316">
        <v>119</v>
      </c>
      <c r="H316">
        <v>6.1</v>
      </c>
      <c r="I316" t="str" cm="1">
        <f t="array" ref="I316">_xlfn.IFS(H316&lt;4,"poor",H316&lt;7,"average",H316&lt;9,"good",TRUE,"excellent")</f>
        <v>average</v>
      </c>
      <c r="J316" t="s">
        <v>1019</v>
      </c>
      <c r="K316" t="str">
        <f t="shared" si="33"/>
        <v>Ger</v>
      </c>
      <c r="L316">
        <v>1998</v>
      </c>
      <c r="M316" t="str">
        <f t="shared" si="34"/>
        <v>98</v>
      </c>
      <c r="N316" t="s">
        <v>1021</v>
      </c>
      <c r="O316" s="2">
        <v>44399</v>
      </c>
      <c r="Q316">
        <f t="shared" si="35"/>
        <v>5</v>
      </c>
      <c r="R316">
        <f t="shared" si="36"/>
        <v>24025</v>
      </c>
      <c r="U316" t="str">
        <f t="shared" si="37"/>
        <v>short</v>
      </c>
      <c r="V316" s="4">
        <f t="shared" ca="1" si="38"/>
        <v>45973.174535995371</v>
      </c>
    </row>
    <row r="317" spans="1:22" x14ac:dyDescent="0.25">
      <c r="A317" t="s">
        <v>323</v>
      </c>
      <c r="B317" t="s">
        <v>823</v>
      </c>
      <c r="C317">
        <f t="shared" si="32"/>
        <v>9</v>
      </c>
      <c r="D317" t="str">
        <f t="shared" si="39"/>
        <v>M1315 Movie_315</v>
      </c>
      <c r="E317" t="s">
        <v>1013</v>
      </c>
      <c r="F317" t="str">
        <f>TRIM(Table1[[#This Row],[Genre]])</f>
        <v>Thriller</v>
      </c>
      <c r="G317">
        <v>90</v>
      </c>
      <c r="H317">
        <v>4</v>
      </c>
      <c r="I317" t="str" cm="1">
        <f t="array" ref="I317">_xlfn.IFS(H317&lt;4,"poor",H317&lt;7,"average",H317&lt;9,"good",TRUE,"excellent")</f>
        <v>average</v>
      </c>
      <c r="J317" t="s">
        <v>1017</v>
      </c>
      <c r="K317" t="str">
        <f t="shared" si="33"/>
        <v>Fre</v>
      </c>
      <c r="L317">
        <v>2009</v>
      </c>
      <c r="M317" t="str">
        <f t="shared" si="34"/>
        <v>09</v>
      </c>
      <c r="N317" t="s">
        <v>1021</v>
      </c>
      <c r="O317" s="2">
        <v>44002</v>
      </c>
      <c r="Q317">
        <f t="shared" si="35"/>
        <v>5</v>
      </c>
      <c r="R317">
        <f t="shared" si="36"/>
        <v>23906</v>
      </c>
      <c r="U317" t="str">
        <f t="shared" si="37"/>
        <v>short</v>
      </c>
      <c r="V317" s="4">
        <f t="shared" ca="1" si="38"/>
        <v>45973.174535995371</v>
      </c>
    </row>
    <row r="318" spans="1:22" x14ac:dyDescent="0.25">
      <c r="A318" t="s">
        <v>324</v>
      </c>
      <c r="B318" t="s">
        <v>824</v>
      </c>
      <c r="C318">
        <f t="shared" si="32"/>
        <v>9</v>
      </c>
      <c r="D318" t="str">
        <f t="shared" si="39"/>
        <v>M1316 Movie_316</v>
      </c>
      <c r="E318" t="s">
        <v>1009</v>
      </c>
      <c r="F318" t="str">
        <f>TRIM(Table1[[#This Row],[Genre]])</f>
        <v>Action</v>
      </c>
      <c r="G318">
        <v>109</v>
      </c>
      <c r="H318">
        <v>2.1</v>
      </c>
      <c r="I318" t="str" cm="1">
        <f t="array" ref="I318">_xlfn.IFS(H318&lt;4,"poor",H318&lt;7,"average",H318&lt;9,"good",TRUE,"excellent")</f>
        <v>poor</v>
      </c>
      <c r="J318" t="s">
        <v>1015</v>
      </c>
      <c r="K318" t="str">
        <f t="shared" si="33"/>
        <v>Hin</v>
      </c>
      <c r="L318">
        <v>2021</v>
      </c>
      <c r="M318" t="str">
        <f t="shared" si="34"/>
        <v>21</v>
      </c>
      <c r="N318" t="s">
        <v>1021</v>
      </c>
      <c r="O318" s="2">
        <v>44465</v>
      </c>
      <c r="Q318">
        <f t="shared" si="35"/>
        <v>5</v>
      </c>
      <c r="R318">
        <f t="shared" si="36"/>
        <v>23816</v>
      </c>
      <c r="U318" t="str">
        <f t="shared" si="37"/>
        <v>short</v>
      </c>
      <c r="V318" s="4">
        <f t="shared" ca="1" si="38"/>
        <v>45973.174535995371</v>
      </c>
    </row>
    <row r="319" spans="1:22" x14ac:dyDescent="0.25">
      <c r="A319" t="s">
        <v>325</v>
      </c>
      <c r="B319" t="s">
        <v>825</v>
      </c>
      <c r="C319">
        <f t="shared" si="32"/>
        <v>9</v>
      </c>
      <c r="D319" t="str">
        <f t="shared" si="39"/>
        <v>M1317 Movie_317</v>
      </c>
      <c r="E319" t="s">
        <v>1011</v>
      </c>
      <c r="F319" t="str">
        <f>TRIM(Table1[[#This Row],[Genre]])</f>
        <v>Comedy</v>
      </c>
      <c r="G319">
        <v>140</v>
      </c>
      <c r="H319">
        <v>4.2</v>
      </c>
      <c r="I319" t="str" cm="1">
        <f t="array" ref="I319">_xlfn.IFS(H319&lt;4,"poor",H319&lt;7,"average",H319&lt;9,"good",TRUE,"excellent")</f>
        <v>average</v>
      </c>
      <c r="J319" t="s">
        <v>1014</v>
      </c>
      <c r="K319" t="str">
        <f t="shared" si="33"/>
        <v>Jap</v>
      </c>
      <c r="L319">
        <v>2014</v>
      </c>
      <c r="M319" t="str">
        <f t="shared" si="34"/>
        <v>14</v>
      </c>
      <c r="N319" t="s">
        <v>1020</v>
      </c>
      <c r="O319" s="2">
        <v>43992</v>
      </c>
      <c r="Q319">
        <f t="shared" si="35"/>
        <v>5</v>
      </c>
      <c r="R319">
        <f t="shared" si="36"/>
        <v>23707</v>
      </c>
      <c r="U319" t="str">
        <f t="shared" si="37"/>
        <v>long</v>
      </c>
      <c r="V319" s="4">
        <f t="shared" ca="1" si="38"/>
        <v>45973.174535995371</v>
      </c>
    </row>
    <row r="320" spans="1:22" x14ac:dyDescent="0.25">
      <c r="A320" t="s">
        <v>326</v>
      </c>
      <c r="B320" t="s">
        <v>826</v>
      </c>
      <c r="C320">
        <f t="shared" si="32"/>
        <v>9</v>
      </c>
      <c r="D320" t="str">
        <f t="shared" si="39"/>
        <v>M1318 Movie_318</v>
      </c>
      <c r="E320" t="s">
        <v>1013</v>
      </c>
      <c r="F320" t="str">
        <f>TRIM(Table1[[#This Row],[Genre]])</f>
        <v>Thriller</v>
      </c>
      <c r="G320">
        <v>90</v>
      </c>
      <c r="H320">
        <v>7</v>
      </c>
      <c r="I320" t="str" cm="1">
        <f t="array" ref="I320">_xlfn.IFS(H320&lt;4,"poor",H320&lt;7,"average",H320&lt;9,"good",TRUE,"excellent")</f>
        <v>good</v>
      </c>
      <c r="J320" t="s">
        <v>1014</v>
      </c>
      <c r="K320" t="str">
        <f t="shared" si="33"/>
        <v>Jap</v>
      </c>
      <c r="L320">
        <v>2013</v>
      </c>
      <c r="M320" t="str">
        <f t="shared" si="34"/>
        <v>13</v>
      </c>
      <c r="N320" t="s">
        <v>1021</v>
      </c>
      <c r="O320" s="2">
        <v>44878</v>
      </c>
      <c r="Q320">
        <f t="shared" si="35"/>
        <v>5</v>
      </c>
      <c r="R320">
        <f t="shared" si="36"/>
        <v>23567</v>
      </c>
      <c r="U320" t="str">
        <f t="shared" si="37"/>
        <v>short</v>
      </c>
      <c r="V320" s="4">
        <f t="shared" ca="1" si="38"/>
        <v>45973.174535995371</v>
      </c>
    </row>
    <row r="321" spans="1:22" x14ac:dyDescent="0.25">
      <c r="A321" t="s">
        <v>327</v>
      </c>
      <c r="B321" t="s">
        <v>827</v>
      </c>
      <c r="C321">
        <f t="shared" si="32"/>
        <v>9</v>
      </c>
      <c r="D321" t="str">
        <f t="shared" si="39"/>
        <v>M1319 Movie_319</v>
      </c>
      <c r="E321" t="s">
        <v>1009</v>
      </c>
      <c r="F321" t="str">
        <f>TRIM(Table1[[#This Row],[Genre]])</f>
        <v>Action</v>
      </c>
      <c r="G321">
        <v>197</v>
      </c>
      <c r="H321">
        <v>7.8</v>
      </c>
      <c r="I321" t="str" cm="1">
        <f t="array" ref="I321">_xlfn.IFS(H321&lt;4,"poor",H321&lt;7,"average",H321&lt;9,"good",TRUE,"excellent")</f>
        <v>good</v>
      </c>
      <c r="J321" t="s">
        <v>1016</v>
      </c>
      <c r="K321" t="str">
        <f t="shared" si="33"/>
        <v>Spa</v>
      </c>
      <c r="L321">
        <v>2011</v>
      </c>
      <c r="M321" t="str">
        <f t="shared" si="34"/>
        <v>11</v>
      </c>
      <c r="N321" t="s">
        <v>1021</v>
      </c>
      <c r="O321" s="2">
        <v>44247</v>
      </c>
      <c r="Q321">
        <f t="shared" si="35"/>
        <v>5</v>
      </c>
      <c r="R321">
        <f t="shared" si="36"/>
        <v>23477</v>
      </c>
      <c r="U321" t="str">
        <f t="shared" si="37"/>
        <v>long</v>
      </c>
      <c r="V321" s="4">
        <f t="shared" ca="1" si="38"/>
        <v>45973.174535995371</v>
      </c>
    </row>
    <row r="322" spans="1:22" x14ac:dyDescent="0.25">
      <c r="A322" t="s">
        <v>328</v>
      </c>
      <c r="B322" t="s">
        <v>828</v>
      </c>
      <c r="C322">
        <f t="shared" ref="C322:C385" si="40">LEN(B322)</f>
        <v>9</v>
      </c>
      <c r="D322" t="str">
        <f t="shared" si="39"/>
        <v>M1320 Movie_320</v>
      </c>
      <c r="E322" t="s">
        <v>1013</v>
      </c>
      <c r="F322" t="str">
        <f>TRIM(Table1[[#This Row],[Genre]])</f>
        <v>Thriller</v>
      </c>
      <c r="G322">
        <v>107</v>
      </c>
      <c r="H322">
        <v>8.8000000000000007</v>
      </c>
      <c r="I322" t="str" cm="1">
        <f t="array" ref="I322">_xlfn.IFS(H322&lt;4,"poor",H322&lt;7,"average",H322&lt;9,"good",TRUE,"excellent")</f>
        <v>good</v>
      </c>
      <c r="J322" t="s">
        <v>1018</v>
      </c>
      <c r="K322" t="str">
        <f t="shared" ref="K322:K385" si="41">LEFT(J322,3)</f>
        <v>Eng</v>
      </c>
      <c r="L322">
        <v>1988</v>
      </c>
      <c r="M322" t="str">
        <f t="shared" ref="M322:M385" si="42">RIGHT(L322,2)</f>
        <v>88</v>
      </c>
      <c r="N322" t="s">
        <v>1021</v>
      </c>
      <c r="O322" s="2">
        <v>45485</v>
      </c>
      <c r="Q322">
        <f t="shared" ref="Q322:Q385" si="43">COUNT(A322:O322)</f>
        <v>5</v>
      </c>
      <c r="R322">
        <f t="shared" ref="R322:R385" si="44">SUM(G322:G821)</f>
        <v>23280</v>
      </c>
      <c r="U322" t="str">
        <f t="shared" ref="U322:U385" si="45">IF(G322&gt;120,"long","short")</f>
        <v>short</v>
      </c>
      <c r="V322" s="4">
        <f t="shared" ref="V322:V385" ca="1" si="46">NOW()</f>
        <v>45973.174535995371</v>
      </c>
    </row>
    <row r="323" spans="1:22" x14ac:dyDescent="0.25">
      <c r="A323" t="s">
        <v>329</v>
      </c>
      <c r="B323" t="s">
        <v>829</v>
      </c>
      <c r="C323">
        <f t="shared" si="40"/>
        <v>9</v>
      </c>
      <c r="D323" t="str">
        <f t="shared" ref="D323:D386" si="47">CONCATENATE(A323," ",B323)</f>
        <v>M1321 Movie_321</v>
      </c>
      <c r="E323" t="s">
        <v>1010</v>
      </c>
      <c r="F323" t="str">
        <f>TRIM(Table1[[#This Row],[Genre]])</f>
        <v>Drama</v>
      </c>
      <c r="G323">
        <v>109</v>
      </c>
      <c r="H323">
        <v>7.5</v>
      </c>
      <c r="I323" t="str" cm="1">
        <f t="array" ref="I323">_xlfn.IFS(H323&lt;4,"poor",H323&lt;7,"average",H323&lt;9,"good",TRUE,"excellent")</f>
        <v>good</v>
      </c>
      <c r="J323" t="s">
        <v>1016</v>
      </c>
      <c r="K323" t="str">
        <f t="shared" si="41"/>
        <v>Spa</v>
      </c>
      <c r="L323">
        <v>2012</v>
      </c>
      <c r="M323" t="str">
        <f t="shared" si="42"/>
        <v>12</v>
      </c>
      <c r="N323" t="s">
        <v>1021</v>
      </c>
      <c r="O323" s="2">
        <v>44149</v>
      </c>
      <c r="Q323">
        <f t="shared" si="43"/>
        <v>5</v>
      </c>
      <c r="R323">
        <f t="shared" si="44"/>
        <v>23173</v>
      </c>
      <c r="U323" t="str">
        <f t="shared" si="45"/>
        <v>short</v>
      </c>
      <c r="V323" s="4">
        <f t="shared" ca="1" si="46"/>
        <v>45973.174535995371</v>
      </c>
    </row>
    <row r="324" spans="1:22" x14ac:dyDescent="0.25">
      <c r="A324" t="s">
        <v>330</v>
      </c>
      <c r="B324" t="s">
        <v>830</v>
      </c>
      <c r="C324">
        <f t="shared" si="40"/>
        <v>9</v>
      </c>
      <c r="D324" t="str">
        <f t="shared" si="47"/>
        <v>M1322 Movie_322</v>
      </c>
      <c r="E324" t="s">
        <v>1013</v>
      </c>
      <c r="F324" t="str">
        <f>TRIM(Table1[[#This Row],[Genre]])</f>
        <v>Thriller</v>
      </c>
      <c r="G324">
        <v>115</v>
      </c>
      <c r="H324">
        <v>9.6999999999999993</v>
      </c>
      <c r="I324" t="str" cm="1">
        <f t="array" ref="I324">_xlfn.IFS(H324&lt;4,"poor",H324&lt;7,"average",H324&lt;9,"good",TRUE,"excellent")</f>
        <v>excellent</v>
      </c>
      <c r="J324" t="s">
        <v>1015</v>
      </c>
      <c r="K324" t="str">
        <f t="shared" si="41"/>
        <v>Hin</v>
      </c>
      <c r="L324">
        <v>2009</v>
      </c>
      <c r="M324" t="str">
        <f t="shared" si="42"/>
        <v>09</v>
      </c>
      <c r="N324" t="s">
        <v>1021</v>
      </c>
      <c r="O324" s="2">
        <v>44929</v>
      </c>
      <c r="Q324">
        <f t="shared" si="43"/>
        <v>5</v>
      </c>
      <c r="R324">
        <f t="shared" si="44"/>
        <v>23064</v>
      </c>
      <c r="U324" t="str">
        <f t="shared" si="45"/>
        <v>short</v>
      </c>
      <c r="V324" s="4">
        <f t="shared" ca="1" si="46"/>
        <v>45973.174535995371</v>
      </c>
    </row>
    <row r="325" spans="1:22" x14ac:dyDescent="0.25">
      <c r="A325" t="s">
        <v>331</v>
      </c>
      <c r="B325" t="s">
        <v>831</v>
      </c>
      <c r="C325">
        <f t="shared" si="40"/>
        <v>9</v>
      </c>
      <c r="D325" t="str">
        <f t="shared" si="47"/>
        <v>M1323 Movie_323</v>
      </c>
      <c r="E325" t="s">
        <v>1010</v>
      </c>
      <c r="F325" t="str">
        <f>TRIM(Table1[[#This Row],[Genre]])</f>
        <v>Drama</v>
      </c>
      <c r="G325">
        <v>183</v>
      </c>
      <c r="H325">
        <v>6.4</v>
      </c>
      <c r="I325" t="str" cm="1">
        <f t="array" ref="I325">_xlfn.IFS(H325&lt;4,"poor",H325&lt;7,"average",H325&lt;9,"good",TRUE,"excellent")</f>
        <v>average</v>
      </c>
      <c r="J325" t="s">
        <v>1014</v>
      </c>
      <c r="K325" t="str">
        <f t="shared" si="41"/>
        <v>Jap</v>
      </c>
      <c r="L325">
        <v>1997</v>
      </c>
      <c r="M325" t="str">
        <f t="shared" si="42"/>
        <v>97</v>
      </c>
      <c r="N325" t="s">
        <v>1020</v>
      </c>
      <c r="O325" s="2">
        <v>44500</v>
      </c>
      <c r="Q325">
        <f t="shared" si="43"/>
        <v>5</v>
      </c>
      <c r="R325">
        <f t="shared" si="44"/>
        <v>22949</v>
      </c>
      <c r="U325" t="str">
        <f t="shared" si="45"/>
        <v>long</v>
      </c>
      <c r="V325" s="4">
        <f t="shared" ca="1" si="46"/>
        <v>45973.174535995371</v>
      </c>
    </row>
    <row r="326" spans="1:22" x14ac:dyDescent="0.25">
      <c r="A326" t="s">
        <v>332</v>
      </c>
      <c r="B326" t="s">
        <v>832</v>
      </c>
      <c r="C326">
        <f t="shared" si="40"/>
        <v>9</v>
      </c>
      <c r="D326" t="str">
        <f t="shared" si="47"/>
        <v>M1324 Movie_324</v>
      </c>
      <c r="E326" t="s">
        <v>1013</v>
      </c>
      <c r="F326" t="str">
        <f>TRIM(Table1[[#This Row],[Genre]])</f>
        <v>Thriller</v>
      </c>
      <c r="G326">
        <v>130</v>
      </c>
      <c r="H326">
        <v>4.2</v>
      </c>
      <c r="I326" t="str" cm="1">
        <f t="array" ref="I326">_xlfn.IFS(H326&lt;4,"poor",H326&lt;7,"average",H326&lt;9,"good",TRUE,"excellent")</f>
        <v>average</v>
      </c>
      <c r="J326" t="s">
        <v>1019</v>
      </c>
      <c r="K326" t="str">
        <f t="shared" si="41"/>
        <v>Ger</v>
      </c>
      <c r="L326">
        <v>1992</v>
      </c>
      <c r="M326" t="str">
        <f t="shared" si="42"/>
        <v>92</v>
      </c>
      <c r="N326" t="s">
        <v>1020</v>
      </c>
      <c r="O326" s="2">
        <v>44631</v>
      </c>
      <c r="Q326">
        <f t="shared" si="43"/>
        <v>5</v>
      </c>
      <c r="R326">
        <f t="shared" si="44"/>
        <v>22766</v>
      </c>
      <c r="U326" t="str">
        <f t="shared" si="45"/>
        <v>long</v>
      </c>
      <c r="V326" s="4">
        <f t="shared" ca="1" si="46"/>
        <v>45973.174535995371</v>
      </c>
    </row>
    <row r="327" spans="1:22" x14ac:dyDescent="0.25">
      <c r="A327" t="s">
        <v>333</v>
      </c>
      <c r="B327" t="s">
        <v>833</v>
      </c>
      <c r="C327">
        <f t="shared" si="40"/>
        <v>9</v>
      </c>
      <c r="D327" t="str">
        <f t="shared" si="47"/>
        <v>M1325 Movie_325</v>
      </c>
      <c r="E327" t="s">
        <v>1008</v>
      </c>
      <c r="F327" t="str">
        <f>TRIM(Table1[[#This Row],[Genre]])</f>
        <v>Horror</v>
      </c>
      <c r="G327">
        <v>194</v>
      </c>
      <c r="H327">
        <v>6.2</v>
      </c>
      <c r="I327" t="str" cm="1">
        <f t="array" ref="I327">_xlfn.IFS(H327&lt;4,"poor",H327&lt;7,"average",H327&lt;9,"good",TRUE,"excellent")</f>
        <v>average</v>
      </c>
      <c r="J327" t="s">
        <v>1018</v>
      </c>
      <c r="K327" t="str">
        <f t="shared" si="41"/>
        <v>Eng</v>
      </c>
      <c r="L327">
        <v>1987</v>
      </c>
      <c r="M327" t="str">
        <f t="shared" si="42"/>
        <v>87</v>
      </c>
      <c r="N327" t="s">
        <v>1020</v>
      </c>
      <c r="O327" s="2">
        <v>45032</v>
      </c>
      <c r="Q327">
        <f t="shared" si="43"/>
        <v>5</v>
      </c>
      <c r="R327">
        <f t="shared" si="44"/>
        <v>22636</v>
      </c>
      <c r="U327" t="str">
        <f t="shared" si="45"/>
        <v>long</v>
      </c>
      <c r="V327" s="4">
        <f t="shared" ca="1" si="46"/>
        <v>45973.174535995371</v>
      </c>
    </row>
    <row r="328" spans="1:22" x14ac:dyDescent="0.25">
      <c r="A328" t="s">
        <v>334</v>
      </c>
      <c r="B328" t="s">
        <v>834</v>
      </c>
      <c r="C328">
        <f t="shared" si="40"/>
        <v>9</v>
      </c>
      <c r="D328" t="str">
        <f t="shared" si="47"/>
        <v>M1326 Movie_326</v>
      </c>
      <c r="E328" t="s">
        <v>1008</v>
      </c>
      <c r="F328" t="str">
        <f>TRIM(Table1[[#This Row],[Genre]])</f>
        <v>Horror</v>
      </c>
      <c r="G328">
        <v>132</v>
      </c>
      <c r="H328">
        <v>2.9</v>
      </c>
      <c r="I328" t="str" cm="1">
        <f t="array" ref="I328">_xlfn.IFS(H328&lt;4,"poor",H328&lt;7,"average",H328&lt;9,"good",TRUE,"excellent")</f>
        <v>poor</v>
      </c>
      <c r="J328" t="s">
        <v>1016</v>
      </c>
      <c r="K328" t="str">
        <f t="shared" si="41"/>
        <v>Spa</v>
      </c>
      <c r="L328">
        <v>2001</v>
      </c>
      <c r="M328" t="str">
        <f t="shared" si="42"/>
        <v>01</v>
      </c>
      <c r="N328" t="s">
        <v>1020</v>
      </c>
      <c r="O328" s="2">
        <v>45130</v>
      </c>
      <c r="Q328">
        <f t="shared" si="43"/>
        <v>5</v>
      </c>
      <c r="R328">
        <f t="shared" si="44"/>
        <v>22442</v>
      </c>
      <c r="U328" t="str">
        <f t="shared" si="45"/>
        <v>long</v>
      </c>
      <c r="V328" s="4">
        <f t="shared" ca="1" si="46"/>
        <v>45973.174535995371</v>
      </c>
    </row>
    <row r="329" spans="1:22" x14ac:dyDescent="0.25">
      <c r="A329" t="s">
        <v>335</v>
      </c>
      <c r="B329" t="s">
        <v>835</v>
      </c>
      <c r="C329">
        <f t="shared" si="40"/>
        <v>9</v>
      </c>
      <c r="D329" t="str">
        <f t="shared" si="47"/>
        <v>M1327 Movie_327</v>
      </c>
      <c r="E329" t="s">
        <v>1012</v>
      </c>
      <c r="F329" t="str">
        <f>TRIM(Table1[[#This Row],[Genre]])</f>
        <v>Sci-Fi</v>
      </c>
      <c r="G329">
        <v>85</v>
      </c>
      <c r="H329">
        <v>6.9</v>
      </c>
      <c r="I329" t="str" cm="1">
        <f t="array" ref="I329">_xlfn.IFS(H329&lt;4,"poor",H329&lt;7,"average",H329&lt;9,"good",TRUE,"excellent")</f>
        <v>average</v>
      </c>
      <c r="J329" t="s">
        <v>1018</v>
      </c>
      <c r="K329" t="str">
        <f t="shared" si="41"/>
        <v>Eng</v>
      </c>
      <c r="L329">
        <v>1990</v>
      </c>
      <c r="M329" t="str">
        <f t="shared" si="42"/>
        <v>90</v>
      </c>
      <c r="N329" t="s">
        <v>1021</v>
      </c>
      <c r="O329" s="2">
        <v>45394</v>
      </c>
      <c r="Q329">
        <f t="shared" si="43"/>
        <v>5</v>
      </c>
      <c r="R329">
        <f t="shared" si="44"/>
        <v>22310</v>
      </c>
      <c r="U329" t="str">
        <f t="shared" si="45"/>
        <v>short</v>
      </c>
      <c r="V329" s="4">
        <f t="shared" ca="1" si="46"/>
        <v>45973.174535995371</v>
      </c>
    </row>
    <row r="330" spans="1:22" x14ac:dyDescent="0.25">
      <c r="A330" t="s">
        <v>336</v>
      </c>
      <c r="B330" t="s">
        <v>836</v>
      </c>
      <c r="C330">
        <f t="shared" si="40"/>
        <v>9</v>
      </c>
      <c r="D330" t="str">
        <f t="shared" si="47"/>
        <v>M1328 Movie_328</v>
      </c>
      <c r="E330" t="s">
        <v>1008</v>
      </c>
      <c r="F330" t="str">
        <f>TRIM(Table1[[#This Row],[Genre]])</f>
        <v>Horror</v>
      </c>
      <c r="G330">
        <v>109</v>
      </c>
      <c r="H330">
        <v>3</v>
      </c>
      <c r="I330" t="str" cm="1">
        <f t="array" ref="I330">_xlfn.IFS(H330&lt;4,"poor",H330&lt;7,"average",H330&lt;9,"good",TRUE,"excellent")</f>
        <v>poor</v>
      </c>
      <c r="J330" t="s">
        <v>1016</v>
      </c>
      <c r="K330" t="str">
        <f t="shared" si="41"/>
        <v>Spa</v>
      </c>
      <c r="L330">
        <v>2009</v>
      </c>
      <c r="M330" t="str">
        <f t="shared" si="42"/>
        <v>09</v>
      </c>
      <c r="N330" t="s">
        <v>1020</v>
      </c>
      <c r="O330" s="2">
        <v>45161</v>
      </c>
      <c r="Q330">
        <f t="shared" si="43"/>
        <v>5</v>
      </c>
      <c r="R330">
        <f t="shared" si="44"/>
        <v>22225</v>
      </c>
      <c r="U330" t="str">
        <f t="shared" si="45"/>
        <v>short</v>
      </c>
      <c r="V330" s="4">
        <f t="shared" ca="1" si="46"/>
        <v>45973.174535995371</v>
      </c>
    </row>
    <row r="331" spans="1:22" x14ac:dyDescent="0.25">
      <c r="A331" t="s">
        <v>337</v>
      </c>
      <c r="B331" t="s">
        <v>837</v>
      </c>
      <c r="C331">
        <f t="shared" si="40"/>
        <v>9</v>
      </c>
      <c r="D331" t="str">
        <f t="shared" si="47"/>
        <v>M1329 Movie_329</v>
      </c>
      <c r="E331" t="s">
        <v>1008</v>
      </c>
      <c r="F331" t="str">
        <f>TRIM(Table1[[#This Row],[Genre]])</f>
        <v>Horror</v>
      </c>
      <c r="G331">
        <v>135</v>
      </c>
      <c r="H331">
        <v>2</v>
      </c>
      <c r="I331" t="str" cm="1">
        <f t="array" ref="I331">_xlfn.IFS(H331&lt;4,"poor",H331&lt;7,"average",H331&lt;9,"good",TRUE,"excellent")</f>
        <v>poor</v>
      </c>
      <c r="J331" t="s">
        <v>1014</v>
      </c>
      <c r="K331" t="str">
        <f t="shared" si="41"/>
        <v>Jap</v>
      </c>
      <c r="L331">
        <v>2021</v>
      </c>
      <c r="M331" t="str">
        <f t="shared" si="42"/>
        <v>21</v>
      </c>
      <c r="N331" t="s">
        <v>1021</v>
      </c>
      <c r="O331" s="2">
        <v>45225</v>
      </c>
      <c r="Q331">
        <f t="shared" si="43"/>
        <v>5</v>
      </c>
      <c r="R331">
        <f t="shared" si="44"/>
        <v>22116</v>
      </c>
      <c r="U331" t="str">
        <f t="shared" si="45"/>
        <v>long</v>
      </c>
      <c r="V331" s="4">
        <f t="shared" ca="1" si="46"/>
        <v>45973.174535995371</v>
      </c>
    </row>
    <row r="332" spans="1:22" x14ac:dyDescent="0.25">
      <c r="A332" t="s">
        <v>338</v>
      </c>
      <c r="B332" t="s">
        <v>838</v>
      </c>
      <c r="C332">
        <f t="shared" si="40"/>
        <v>9</v>
      </c>
      <c r="D332" t="str">
        <f t="shared" si="47"/>
        <v>M1330 Movie_330</v>
      </c>
      <c r="E332" t="s">
        <v>1013</v>
      </c>
      <c r="F332" t="str">
        <f>TRIM(Table1[[#This Row],[Genre]])</f>
        <v>Thriller</v>
      </c>
      <c r="G332">
        <v>118</v>
      </c>
      <c r="H332">
        <v>8.6</v>
      </c>
      <c r="I332" t="str" cm="1">
        <f t="array" ref="I332">_xlfn.IFS(H332&lt;4,"poor",H332&lt;7,"average",H332&lt;9,"good",TRUE,"excellent")</f>
        <v>good</v>
      </c>
      <c r="J332" t="s">
        <v>1017</v>
      </c>
      <c r="K332" t="str">
        <f t="shared" si="41"/>
        <v>Fre</v>
      </c>
      <c r="L332">
        <v>1996</v>
      </c>
      <c r="M332" t="str">
        <f t="shared" si="42"/>
        <v>96</v>
      </c>
      <c r="N332" t="s">
        <v>1021</v>
      </c>
      <c r="O332" s="2">
        <v>45148</v>
      </c>
      <c r="Q332">
        <f t="shared" si="43"/>
        <v>5</v>
      </c>
      <c r="R332">
        <f t="shared" si="44"/>
        <v>21981</v>
      </c>
      <c r="U332" t="str">
        <f t="shared" si="45"/>
        <v>short</v>
      </c>
      <c r="V332" s="4">
        <f t="shared" ca="1" si="46"/>
        <v>45973.174535995371</v>
      </c>
    </row>
    <row r="333" spans="1:22" x14ac:dyDescent="0.25">
      <c r="A333" t="s">
        <v>339</v>
      </c>
      <c r="B333" t="s">
        <v>839</v>
      </c>
      <c r="C333">
        <f t="shared" si="40"/>
        <v>9</v>
      </c>
      <c r="D333" t="str">
        <f t="shared" si="47"/>
        <v>M1331 Movie_331</v>
      </c>
      <c r="E333" t="s">
        <v>1011</v>
      </c>
      <c r="F333" t="str">
        <f>TRIM(Table1[[#This Row],[Genre]])</f>
        <v>Comedy</v>
      </c>
      <c r="G333">
        <v>152</v>
      </c>
      <c r="H333">
        <v>4.3</v>
      </c>
      <c r="I333" t="str" cm="1">
        <f t="array" ref="I333">_xlfn.IFS(H333&lt;4,"poor",H333&lt;7,"average",H333&lt;9,"good",TRUE,"excellent")</f>
        <v>average</v>
      </c>
      <c r="J333" t="s">
        <v>1017</v>
      </c>
      <c r="K333" t="str">
        <f t="shared" si="41"/>
        <v>Fre</v>
      </c>
      <c r="L333">
        <v>2025</v>
      </c>
      <c r="M333" t="str">
        <f t="shared" si="42"/>
        <v>25</v>
      </c>
      <c r="N333" t="s">
        <v>1020</v>
      </c>
      <c r="O333" s="2">
        <v>43966</v>
      </c>
      <c r="Q333">
        <f t="shared" si="43"/>
        <v>5</v>
      </c>
      <c r="R333">
        <f t="shared" si="44"/>
        <v>21863</v>
      </c>
      <c r="U333" t="str">
        <f t="shared" si="45"/>
        <v>long</v>
      </c>
      <c r="V333" s="4">
        <f t="shared" ca="1" si="46"/>
        <v>45973.174535995371</v>
      </c>
    </row>
    <row r="334" spans="1:22" x14ac:dyDescent="0.25">
      <c r="A334" t="s">
        <v>340</v>
      </c>
      <c r="B334" t="s">
        <v>840</v>
      </c>
      <c r="C334">
        <f t="shared" si="40"/>
        <v>9</v>
      </c>
      <c r="D334" t="str">
        <f t="shared" si="47"/>
        <v>M1332 Movie_332</v>
      </c>
      <c r="E334" t="s">
        <v>1011</v>
      </c>
      <c r="F334" t="str">
        <f>TRIM(Table1[[#This Row],[Genre]])</f>
        <v>Comedy</v>
      </c>
      <c r="G334">
        <v>105</v>
      </c>
      <c r="H334">
        <v>7.9</v>
      </c>
      <c r="I334" t="str" cm="1">
        <f t="array" ref="I334">_xlfn.IFS(H334&lt;4,"poor",H334&lt;7,"average",H334&lt;9,"good",TRUE,"excellent")</f>
        <v>good</v>
      </c>
      <c r="J334" t="s">
        <v>1019</v>
      </c>
      <c r="K334" t="str">
        <f t="shared" si="41"/>
        <v>Ger</v>
      </c>
      <c r="L334">
        <v>1991</v>
      </c>
      <c r="M334" t="str">
        <f t="shared" si="42"/>
        <v>91</v>
      </c>
      <c r="N334" t="s">
        <v>1021</v>
      </c>
      <c r="O334" s="2">
        <v>44466</v>
      </c>
      <c r="Q334">
        <f t="shared" si="43"/>
        <v>5</v>
      </c>
      <c r="R334">
        <f t="shared" si="44"/>
        <v>21711</v>
      </c>
      <c r="U334" t="str">
        <f t="shared" si="45"/>
        <v>short</v>
      </c>
      <c r="V334" s="4">
        <f t="shared" ca="1" si="46"/>
        <v>45973.174535995371</v>
      </c>
    </row>
    <row r="335" spans="1:22" x14ac:dyDescent="0.25">
      <c r="A335" t="s">
        <v>341</v>
      </c>
      <c r="B335" t="s">
        <v>841</v>
      </c>
      <c r="C335">
        <f t="shared" si="40"/>
        <v>9</v>
      </c>
      <c r="D335" t="str">
        <f t="shared" si="47"/>
        <v>M1333 Movie_333</v>
      </c>
      <c r="E335" t="s">
        <v>1010</v>
      </c>
      <c r="F335" t="str">
        <f>TRIM(Table1[[#This Row],[Genre]])</f>
        <v>Drama</v>
      </c>
      <c r="G335">
        <v>137</v>
      </c>
      <c r="H335">
        <v>6.2</v>
      </c>
      <c r="I335" t="str" cm="1">
        <f t="array" ref="I335">_xlfn.IFS(H335&lt;4,"poor",H335&lt;7,"average",H335&lt;9,"good",TRUE,"excellent")</f>
        <v>average</v>
      </c>
      <c r="J335" t="s">
        <v>1015</v>
      </c>
      <c r="K335" t="str">
        <f t="shared" si="41"/>
        <v>Hin</v>
      </c>
      <c r="L335">
        <v>1980</v>
      </c>
      <c r="M335" t="str">
        <f t="shared" si="42"/>
        <v>80</v>
      </c>
      <c r="N335" t="s">
        <v>1021</v>
      </c>
      <c r="O335" s="2">
        <v>45261</v>
      </c>
      <c r="Q335">
        <f t="shared" si="43"/>
        <v>5</v>
      </c>
      <c r="R335">
        <f t="shared" si="44"/>
        <v>21606</v>
      </c>
      <c r="U335" t="str">
        <f t="shared" si="45"/>
        <v>long</v>
      </c>
      <c r="V335" s="4">
        <f t="shared" ca="1" si="46"/>
        <v>45973.174535995371</v>
      </c>
    </row>
    <row r="336" spans="1:22" x14ac:dyDescent="0.25">
      <c r="A336" t="s">
        <v>342</v>
      </c>
      <c r="B336" t="s">
        <v>842</v>
      </c>
      <c r="C336">
        <f t="shared" si="40"/>
        <v>9</v>
      </c>
      <c r="D336" t="str">
        <f t="shared" si="47"/>
        <v>M1334 Movie_334</v>
      </c>
      <c r="E336" t="s">
        <v>1011</v>
      </c>
      <c r="F336" t="str">
        <f>TRIM(Table1[[#This Row],[Genre]])</f>
        <v>Comedy</v>
      </c>
      <c r="G336">
        <v>63</v>
      </c>
      <c r="H336">
        <v>8.3000000000000007</v>
      </c>
      <c r="I336" t="str" cm="1">
        <f t="array" ref="I336">_xlfn.IFS(H336&lt;4,"poor",H336&lt;7,"average",H336&lt;9,"good",TRUE,"excellent")</f>
        <v>good</v>
      </c>
      <c r="J336" t="s">
        <v>1018</v>
      </c>
      <c r="K336" t="str">
        <f t="shared" si="41"/>
        <v>Eng</v>
      </c>
      <c r="L336">
        <v>2001</v>
      </c>
      <c r="M336" t="str">
        <f t="shared" si="42"/>
        <v>01</v>
      </c>
      <c r="N336" t="s">
        <v>1020</v>
      </c>
      <c r="O336" s="2">
        <v>44726</v>
      </c>
      <c r="Q336">
        <f t="shared" si="43"/>
        <v>5</v>
      </c>
      <c r="R336">
        <f t="shared" si="44"/>
        <v>21469</v>
      </c>
      <c r="U336" t="str">
        <f t="shared" si="45"/>
        <v>short</v>
      </c>
      <c r="V336" s="4">
        <f t="shared" ca="1" si="46"/>
        <v>45973.174535995371</v>
      </c>
    </row>
    <row r="337" spans="1:22" x14ac:dyDescent="0.25">
      <c r="A337" t="s">
        <v>343</v>
      </c>
      <c r="B337" t="s">
        <v>843</v>
      </c>
      <c r="C337">
        <f t="shared" si="40"/>
        <v>9</v>
      </c>
      <c r="D337" t="str">
        <f t="shared" si="47"/>
        <v>M1335 Movie_335</v>
      </c>
      <c r="E337" t="s">
        <v>1009</v>
      </c>
      <c r="F337" t="str">
        <f>TRIM(Table1[[#This Row],[Genre]])</f>
        <v>Action</v>
      </c>
      <c r="G337">
        <v>196</v>
      </c>
      <c r="H337">
        <v>8.6</v>
      </c>
      <c r="I337" t="str" cm="1">
        <f t="array" ref="I337">_xlfn.IFS(H337&lt;4,"poor",H337&lt;7,"average",H337&lt;9,"good",TRUE,"excellent")</f>
        <v>good</v>
      </c>
      <c r="J337" t="s">
        <v>1015</v>
      </c>
      <c r="K337" t="str">
        <f t="shared" si="41"/>
        <v>Hin</v>
      </c>
      <c r="L337">
        <v>1998</v>
      </c>
      <c r="M337" t="str">
        <f t="shared" si="42"/>
        <v>98</v>
      </c>
      <c r="N337" t="s">
        <v>1021</v>
      </c>
      <c r="O337" s="2">
        <v>45325</v>
      </c>
      <c r="Q337">
        <f t="shared" si="43"/>
        <v>5</v>
      </c>
      <c r="R337">
        <f t="shared" si="44"/>
        <v>21406</v>
      </c>
      <c r="U337" t="str">
        <f t="shared" si="45"/>
        <v>long</v>
      </c>
      <c r="V337" s="4">
        <f t="shared" ca="1" si="46"/>
        <v>45973.174535995371</v>
      </c>
    </row>
    <row r="338" spans="1:22" x14ac:dyDescent="0.25">
      <c r="A338" t="s">
        <v>344</v>
      </c>
      <c r="B338" t="s">
        <v>844</v>
      </c>
      <c r="C338">
        <f t="shared" si="40"/>
        <v>9</v>
      </c>
      <c r="D338" t="str">
        <f t="shared" si="47"/>
        <v>M1336 Movie_336</v>
      </c>
      <c r="E338" t="s">
        <v>1012</v>
      </c>
      <c r="F338" t="str">
        <f>TRIM(Table1[[#This Row],[Genre]])</f>
        <v>Sci-Fi</v>
      </c>
      <c r="G338">
        <v>92</v>
      </c>
      <c r="H338">
        <v>9.8000000000000007</v>
      </c>
      <c r="I338" t="str" cm="1">
        <f t="array" ref="I338">_xlfn.IFS(H338&lt;4,"poor",H338&lt;7,"average",H338&lt;9,"good",TRUE,"excellent")</f>
        <v>excellent</v>
      </c>
      <c r="J338" t="s">
        <v>1016</v>
      </c>
      <c r="K338" t="str">
        <f t="shared" si="41"/>
        <v>Spa</v>
      </c>
      <c r="L338">
        <v>2016</v>
      </c>
      <c r="M338" t="str">
        <f t="shared" si="42"/>
        <v>16</v>
      </c>
      <c r="N338" t="s">
        <v>1020</v>
      </c>
      <c r="O338" s="2">
        <v>44319</v>
      </c>
      <c r="Q338">
        <f t="shared" si="43"/>
        <v>5</v>
      </c>
      <c r="R338">
        <f t="shared" si="44"/>
        <v>21210</v>
      </c>
      <c r="U338" t="str">
        <f t="shared" si="45"/>
        <v>short</v>
      </c>
      <c r="V338" s="4">
        <f t="shared" ca="1" si="46"/>
        <v>45973.174535995371</v>
      </c>
    </row>
    <row r="339" spans="1:22" x14ac:dyDescent="0.25">
      <c r="A339" t="s">
        <v>345</v>
      </c>
      <c r="B339" t="s">
        <v>845</v>
      </c>
      <c r="C339">
        <f t="shared" si="40"/>
        <v>9</v>
      </c>
      <c r="D339" t="str">
        <f t="shared" si="47"/>
        <v>M1337 Movie_337</v>
      </c>
      <c r="E339" t="s">
        <v>1008</v>
      </c>
      <c r="F339" t="str">
        <f>TRIM(Table1[[#This Row],[Genre]])</f>
        <v>Horror</v>
      </c>
      <c r="G339">
        <v>130</v>
      </c>
      <c r="H339">
        <v>8.4</v>
      </c>
      <c r="I339" t="str" cm="1">
        <f t="array" ref="I339">_xlfn.IFS(H339&lt;4,"poor",H339&lt;7,"average",H339&lt;9,"good",TRUE,"excellent")</f>
        <v>good</v>
      </c>
      <c r="J339" t="s">
        <v>1014</v>
      </c>
      <c r="K339" t="str">
        <f t="shared" si="41"/>
        <v>Jap</v>
      </c>
      <c r="L339">
        <v>2023</v>
      </c>
      <c r="M339" t="str">
        <f t="shared" si="42"/>
        <v>23</v>
      </c>
      <c r="N339" t="s">
        <v>1021</v>
      </c>
      <c r="O339" s="2">
        <v>43949</v>
      </c>
      <c r="Q339">
        <f t="shared" si="43"/>
        <v>5</v>
      </c>
      <c r="R339">
        <f t="shared" si="44"/>
        <v>21118</v>
      </c>
      <c r="U339" t="str">
        <f t="shared" si="45"/>
        <v>long</v>
      </c>
      <c r="V339" s="4">
        <f t="shared" ca="1" si="46"/>
        <v>45973.174535995371</v>
      </c>
    </row>
    <row r="340" spans="1:22" x14ac:dyDescent="0.25">
      <c r="A340" t="s">
        <v>346</v>
      </c>
      <c r="B340" t="s">
        <v>846</v>
      </c>
      <c r="C340">
        <f t="shared" si="40"/>
        <v>9</v>
      </c>
      <c r="D340" t="str">
        <f t="shared" si="47"/>
        <v>M1338 Movie_338</v>
      </c>
      <c r="E340" t="s">
        <v>1012</v>
      </c>
      <c r="F340" t="str">
        <f>TRIM(Table1[[#This Row],[Genre]])</f>
        <v>Sci-Fi</v>
      </c>
      <c r="G340">
        <v>71</v>
      </c>
      <c r="H340">
        <v>6.5</v>
      </c>
      <c r="I340" t="str" cm="1">
        <f t="array" ref="I340">_xlfn.IFS(H340&lt;4,"poor",H340&lt;7,"average",H340&lt;9,"good",TRUE,"excellent")</f>
        <v>average</v>
      </c>
      <c r="J340" t="s">
        <v>1019</v>
      </c>
      <c r="K340" t="str">
        <f t="shared" si="41"/>
        <v>Ger</v>
      </c>
      <c r="L340">
        <v>1992</v>
      </c>
      <c r="M340" t="str">
        <f t="shared" si="42"/>
        <v>92</v>
      </c>
      <c r="N340" t="s">
        <v>1020</v>
      </c>
      <c r="O340" s="2">
        <v>44331</v>
      </c>
      <c r="Q340">
        <f t="shared" si="43"/>
        <v>5</v>
      </c>
      <c r="R340">
        <f t="shared" si="44"/>
        <v>20988</v>
      </c>
      <c r="U340" t="str">
        <f t="shared" si="45"/>
        <v>short</v>
      </c>
      <c r="V340" s="4">
        <f t="shared" ca="1" si="46"/>
        <v>45973.174535995371</v>
      </c>
    </row>
    <row r="341" spans="1:22" x14ac:dyDescent="0.25">
      <c r="A341" t="s">
        <v>347</v>
      </c>
      <c r="B341" t="s">
        <v>847</v>
      </c>
      <c r="C341">
        <f t="shared" si="40"/>
        <v>9</v>
      </c>
      <c r="D341" t="str">
        <f t="shared" si="47"/>
        <v>M1339 Movie_339</v>
      </c>
      <c r="E341" t="s">
        <v>1009</v>
      </c>
      <c r="F341" t="str">
        <f>TRIM(Table1[[#This Row],[Genre]])</f>
        <v>Action</v>
      </c>
      <c r="G341">
        <v>73</v>
      </c>
      <c r="H341">
        <v>6.8</v>
      </c>
      <c r="I341" t="str" cm="1">
        <f t="array" ref="I341">_xlfn.IFS(H341&lt;4,"poor",H341&lt;7,"average",H341&lt;9,"good",TRUE,"excellent")</f>
        <v>average</v>
      </c>
      <c r="J341" t="s">
        <v>1017</v>
      </c>
      <c r="K341" t="str">
        <f t="shared" si="41"/>
        <v>Fre</v>
      </c>
      <c r="L341">
        <v>1991</v>
      </c>
      <c r="M341" t="str">
        <f t="shared" si="42"/>
        <v>91</v>
      </c>
      <c r="N341" t="s">
        <v>1021</v>
      </c>
      <c r="O341" s="2">
        <v>44007</v>
      </c>
      <c r="Q341">
        <f t="shared" si="43"/>
        <v>5</v>
      </c>
      <c r="R341">
        <f t="shared" si="44"/>
        <v>20917</v>
      </c>
      <c r="U341" t="str">
        <f t="shared" si="45"/>
        <v>short</v>
      </c>
      <c r="V341" s="4">
        <f t="shared" ca="1" si="46"/>
        <v>45973.174535995371</v>
      </c>
    </row>
    <row r="342" spans="1:22" x14ac:dyDescent="0.25">
      <c r="A342" t="s">
        <v>348</v>
      </c>
      <c r="B342" t="s">
        <v>848</v>
      </c>
      <c r="C342">
        <f t="shared" si="40"/>
        <v>9</v>
      </c>
      <c r="D342" t="str">
        <f t="shared" si="47"/>
        <v>M1340 Movie_340</v>
      </c>
      <c r="E342" t="s">
        <v>1008</v>
      </c>
      <c r="F342" t="str">
        <f>TRIM(Table1[[#This Row],[Genre]])</f>
        <v>Horror</v>
      </c>
      <c r="G342">
        <v>134</v>
      </c>
      <c r="H342">
        <v>1.2</v>
      </c>
      <c r="I342" t="str" cm="1">
        <f t="array" ref="I342">_xlfn.IFS(H342&lt;4,"poor",H342&lt;7,"average",H342&lt;9,"good",TRUE,"excellent")</f>
        <v>poor</v>
      </c>
      <c r="J342" t="s">
        <v>1017</v>
      </c>
      <c r="K342" t="str">
        <f t="shared" si="41"/>
        <v>Fre</v>
      </c>
      <c r="L342">
        <v>2019</v>
      </c>
      <c r="M342" t="str">
        <f t="shared" si="42"/>
        <v>19</v>
      </c>
      <c r="N342" t="s">
        <v>1021</v>
      </c>
      <c r="O342" s="2">
        <v>44720</v>
      </c>
      <c r="Q342">
        <f t="shared" si="43"/>
        <v>5</v>
      </c>
      <c r="R342">
        <f t="shared" si="44"/>
        <v>20844</v>
      </c>
      <c r="U342" t="str">
        <f t="shared" si="45"/>
        <v>long</v>
      </c>
      <c r="V342" s="4">
        <f t="shared" ca="1" si="46"/>
        <v>45973.174535995371</v>
      </c>
    </row>
    <row r="343" spans="1:22" x14ac:dyDescent="0.25">
      <c r="A343" t="s">
        <v>349</v>
      </c>
      <c r="B343" t="s">
        <v>849</v>
      </c>
      <c r="C343">
        <f t="shared" si="40"/>
        <v>9</v>
      </c>
      <c r="D343" t="str">
        <f t="shared" si="47"/>
        <v>M1341 Movie_341</v>
      </c>
      <c r="E343" t="s">
        <v>1010</v>
      </c>
      <c r="F343" t="str">
        <f>TRIM(Table1[[#This Row],[Genre]])</f>
        <v>Drama</v>
      </c>
      <c r="G343">
        <v>92</v>
      </c>
      <c r="H343">
        <v>9.4</v>
      </c>
      <c r="I343" t="str" cm="1">
        <f t="array" ref="I343">_xlfn.IFS(H343&lt;4,"poor",H343&lt;7,"average",H343&lt;9,"good",TRUE,"excellent")</f>
        <v>excellent</v>
      </c>
      <c r="J343" t="s">
        <v>1019</v>
      </c>
      <c r="K343" t="str">
        <f t="shared" si="41"/>
        <v>Ger</v>
      </c>
      <c r="L343">
        <v>2020</v>
      </c>
      <c r="M343" t="str">
        <f t="shared" si="42"/>
        <v>20</v>
      </c>
      <c r="N343" t="s">
        <v>1020</v>
      </c>
      <c r="O343" s="2">
        <v>44068</v>
      </c>
      <c r="Q343">
        <f t="shared" si="43"/>
        <v>5</v>
      </c>
      <c r="R343">
        <f t="shared" si="44"/>
        <v>20710</v>
      </c>
      <c r="U343" t="str">
        <f t="shared" si="45"/>
        <v>short</v>
      </c>
      <c r="V343" s="4">
        <f t="shared" ca="1" si="46"/>
        <v>45973.174535995371</v>
      </c>
    </row>
    <row r="344" spans="1:22" x14ac:dyDescent="0.25">
      <c r="A344" t="s">
        <v>350</v>
      </c>
      <c r="B344" t="s">
        <v>850</v>
      </c>
      <c r="C344">
        <f t="shared" si="40"/>
        <v>9</v>
      </c>
      <c r="D344" t="str">
        <f t="shared" si="47"/>
        <v>M1342 Movie_342</v>
      </c>
      <c r="E344" t="s">
        <v>1009</v>
      </c>
      <c r="F344" t="str">
        <f>TRIM(Table1[[#This Row],[Genre]])</f>
        <v>Action</v>
      </c>
      <c r="G344">
        <v>185</v>
      </c>
      <c r="H344">
        <v>8.5</v>
      </c>
      <c r="I344" t="str" cm="1">
        <f t="array" ref="I344">_xlfn.IFS(H344&lt;4,"poor",H344&lt;7,"average",H344&lt;9,"good",TRUE,"excellent")</f>
        <v>good</v>
      </c>
      <c r="J344" t="s">
        <v>1018</v>
      </c>
      <c r="K344" t="str">
        <f t="shared" si="41"/>
        <v>Eng</v>
      </c>
      <c r="L344">
        <v>2005</v>
      </c>
      <c r="M344" t="str">
        <f t="shared" si="42"/>
        <v>05</v>
      </c>
      <c r="N344" t="s">
        <v>1021</v>
      </c>
      <c r="O344" s="2">
        <v>44759</v>
      </c>
      <c r="Q344">
        <f t="shared" si="43"/>
        <v>5</v>
      </c>
      <c r="R344">
        <f t="shared" si="44"/>
        <v>20618</v>
      </c>
      <c r="U344" t="str">
        <f t="shared" si="45"/>
        <v>long</v>
      </c>
      <c r="V344" s="4">
        <f t="shared" ca="1" si="46"/>
        <v>45973.174535995371</v>
      </c>
    </row>
    <row r="345" spans="1:22" x14ac:dyDescent="0.25">
      <c r="A345" t="s">
        <v>351</v>
      </c>
      <c r="B345" t="s">
        <v>851</v>
      </c>
      <c r="C345">
        <f t="shared" si="40"/>
        <v>9</v>
      </c>
      <c r="D345" t="str">
        <f t="shared" si="47"/>
        <v>M1343 Movie_343</v>
      </c>
      <c r="E345" t="s">
        <v>1009</v>
      </c>
      <c r="F345" t="str">
        <f>TRIM(Table1[[#This Row],[Genre]])</f>
        <v>Action</v>
      </c>
      <c r="G345">
        <v>86</v>
      </c>
      <c r="H345">
        <v>3.4</v>
      </c>
      <c r="I345" t="str" cm="1">
        <f t="array" ref="I345">_xlfn.IFS(H345&lt;4,"poor",H345&lt;7,"average",H345&lt;9,"good",TRUE,"excellent")</f>
        <v>poor</v>
      </c>
      <c r="J345" t="s">
        <v>1015</v>
      </c>
      <c r="K345" t="str">
        <f t="shared" si="41"/>
        <v>Hin</v>
      </c>
      <c r="L345">
        <v>2007</v>
      </c>
      <c r="M345" t="str">
        <f t="shared" si="42"/>
        <v>07</v>
      </c>
      <c r="N345" t="s">
        <v>1021</v>
      </c>
      <c r="O345" s="2">
        <v>45084</v>
      </c>
      <c r="Q345">
        <f t="shared" si="43"/>
        <v>5</v>
      </c>
      <c r="R345">
        <f t="shared" si="44"/>
        <v>20433</v>
      </c>
      <c r="U345" t="str">
        <f t="shared" si="45"/>
        <v>short</v>
      </c>
      <c r="V345" s="4">
        <f t="shared" ca="1" si="46"/>
        <v>45973.174535995371</v>
      </c>
    </row>
    <row r="346" spans="1:22" x14ac:dyDescent="0.25">
      <c r="A346" t="s">
        <v>352</v>
      </c>
      <c r="B346" t="s">
        <v>852</v>
      </c>
      <c r="C346">
        <f t="shared" si="40"/>
        <v>9</v>
      </c>
      <c r="D346" t="str">
        <f t="shared" si="47"/>
        <v>M1344 Movie_344</v>
      </c>
      <c r="E346" t="s">
        <v>1012</v>
      </c>
      <c r="F346" t="str">
        <f>TRIM(Table1[[#This Row],[Genre]])</f>
        <v>Sci-Fi</v>
      </c>
      <c r="G346">
        <v>63</v>
      </c>
      <c r="H346">
        <v>2.6</v>
      </c>
      <c r="I346" t="str" cm="1">
        <f t="array" ref="I346">_xlfn.IFS(H346&lt;4,"poor",H346&lt;7,"average",H346&lt;9,"good",TRUE,"excellent")</f>
        <v>poor</v>
      </c>
      <c r="J346" t="s">
        <v>1016</v>
      </c>
      <c r="K346" t="str">
        <f t="shared" si="41"/>
        <v>Spa</v>
      </c>
      <c r="L346">
        <v>2012</v>
      </c>
      <c r="M346" t="str">
        <f t="shared" si="42"/>
        <v>12</v>
      </c>
      <c r="N346" t="s">
        <v>1021</v>
      </c>
      <c r="O346" s="2">
        <v>45077</v>
      </c>
      <c r="Q346">
        <f t="shared" si="43"/>
        <v>5</v>
      </c>
      <c r="R346">
        <f t="shared" si="44"/>
        <v>20347</v>
      </c>
      <c r="U346" t="str">
        <f t="shared" si="45"/>
        <v>short</v>
      </c>
      <c r="V346" s="4">
        <f t="shared" ca="1" si="46"/>
        <v>45973.174535995371</v>
      </c>
    </row>
    <row r="347" spans="1:22" x14ac:dyDescent="0.25">
      <c r="A347" t="s">
        <v>353</v>
      </c>
      <c r="B347" t="s">
        <v>853</v>
      </c>
      <c r="C347">
        <f t="shared" si="40"/>
        <v>9</v>
      </c>
      <c r="D347" t="str">
        <f t="shared" si="47"/>
        <v>M1345 Movie_345</v>
      </c>
      <c r="E347" t="s">
        <v>1013</v>
      </c>
      <c r="F347" t="str">
        <f>TRIM(Table1[[#This Row],[Genre]])</f>
        <v>Thriller</v>
      </c>
      <c r="G347">
        <v>132</v>
      </c>
      <c r="H347">
        <v>7.3</v>
      </c>
      <c r="I347" t="str" cm="1">
        <f t="array" ref="I347">_xlfn.IFS(H347&lt;4,"poor",H347&lt;7,"average",H347&lt;9,"good",TRUE,"excellent")</f>
        <v>good</v>
      </c>
      <c r="J347" t="s">
        <v>1015</v>
      </c>
      <c r="K347" t="str">
        <f t="shared" si="41"/>
        <v>Hin</v>
      </c>
      <c r="L347">
        <v>2000</v>
      </c>
      <c r="M347" t="str">
        <f t="shared" si="42"/>
        <v>00</v>
      </c>
      <c r="N347" t="s">
        <v>1021</v>
      </c>
      <c r="O347" s="2">
        <v>43943</v>
      </c>
      <c r="Q347">
        <f t="shared" si="43"/>
        <v>5</v>
      </c>
      <c r="R347">
        <f t="shared" si="44"/>
        <v>20284</v>
      </c>
      <c r="U347" t="str">
        <f t="shared" si="45"/>
        <v>long</v>
      </c>
      <c r="V347" s="4">
        <f t="shared" ca="1" si="46"/>
        <v>45973.174535995371</v>
      </c>
    </row>
    <row r="348" spans="1:22" x14ac:dyDescent="0.25">
      <c r="A348" t="s">
        <v>354</v>
      </c>
      <c r="B348" t="s">
        <v>854</v>
      </c>
      <c r="C348">
        <f t="shared" si="40"/>
        <v>9</v>
      </c>
      <c r="D348" t="str">
        <f t="shared" si="47"/>
        <v>M1346 Movie_346</v>
      </c>
      <c r="E348" t="s">
        <v>1012</v>
      </c>
      <c r="F348" t="str">
        <f>TRIM(Table1[[#This Row],[Genre]])</f>
        <v>Sci-Fi</v>
      </c>
      <c r="G348">
        <v>180</v>
      </c>
      <c r="H348">
        <v>3.8</v>
      </c>
      <c r="I348" t="str" cm="1">
        <f t="array" ref="I348">_xlfn.IFS(H348&lt;4,"poor",H348&lt;7,"average",H348&lt;9,"good",TRUE,"excellent")</f>
        <v>poor</v>
      </c>
      <c r="J348" t="s">
        <v>1017</v>
      </c>
      <c r="K348" t="str">
        <f t="shared" si="41"/>
        <v>Fre</v>
      </c>
      <c r="L348">
        <v>1985</v>
      </c>
      <c r="M348" t="str">
        <f t="shared" si="42"/>
        <v>85</v>
      </c>
      <c r="N348" t="s">
        <v>1020</v>
      </c>
      <c r="O348" s="2">
        <v>44464</v>
      </c>
      <c r="Q348">
        <f t="shared" si="43"/>
        <v>5</v>
      </c>
      <c r="R348">
        <f t="shared" si="44"/>
        <v>20152</v>
      </c>
      <c r="U348" t="str">
        <f t="shared" si="45"/>
        <v>long</v>
      </c>
      <c r="V348" s="4">
        <f t="shared" ca="1" si="46"/>
        <v>45973.174535995371</v>
      </c>
    </row>
    <row r="349" spans="1:22" x14ac:dyDescent="0.25">
      <c r="A349" t="s">
        <v>355</v>
      </c>
      <c r="B349" t="s">
        <v>855</v>
      </c>
      <c r="C349">
        <f t="shared" si="40"/>
        <v>9</v>
      </c>
      <c r="D349" t="str">
        <f t="shared" si="47"/>
        <v>M1347 Movie_347</v>
      </c>
      <c r="E349" t="s">
        <v>1012</v>
      </c>
      <c r="F349" t="str">
        <f>TRIM(Table1[[#This Row],[Genre]])</f>
        <v>Sci-Fi</v>
      </c>
      <c r="G349">
        <v>182</v>
      </c>
      <c r="H349">
        <v>4.0999999999999996</v>
      </c>
      <c r="I349" t="str" cm="1">
        <f t="array" ref="I349">_xlfn.IFS(H349&lt;4,"poor",H349&lt;7,"average",H349&lt;9,"good",TRUE,"excellent")</f>
        <v>average</v>
      </c>
      <c r="J349" t="s">
        <v>1019</v>
      </c>
      <c r="K349" t="str">
        <f t="shared" si="41"/>
        <v>Ger</v>
      </c>
      <c r="L349">
        <v>2005</v>
      </c>
      <c r="M349" t="str">
        <f t="shared" si="42"/>
        <v>05</v>
      </c>
      <c r="N349" t="s">
        <v>1021</v>
      </c>
      <c r="O349" s="2">
        <v>45195</v>
      </c>
      <c r="Q349">
        <f t="shared" si="43"/>
        <v>5</v>
      </c>
      <c r="R349">
        <f t="shared" si="44"/>
        <v>19972</v>
      </c>
      <c r="U349" t="str">
        <f t="shared" si="45"/>
        <v>long</v>
      </c>
      <c r="V349" s="4">
        <f t="shared" ca="1" si="46"/>
        <v>45973.174535995371</v>
      </c>
    </row>
    <row r="350" spans="1:22" x14ac:dyDescent="0.25">
      <c r="A350" t="s">
        <v>356</v>
      </c>
      <c r="B350" t="s">
        <v>856</v>
      </c>
      <c r="C350">
        <f t="shared" si="40"/>
        <v>9</v>
      </c>
      <c r="D350" t="str">
        <f t="shared" si="47"/>
        <v>M1348 Movie_348</v>
      </c>
      <c r="E350" t="s">
        <v>1011</v>
      </c>
      <c r="F350" t="str">
        <f>TRIM(Table1[[#This Row],[Genre]])</f>
        <v>Comedy</v>
      </c>
      <c r="G350">
        <v>172</v>
      </c>
      <c r="H350">
        <v>1.1000000000000001</v>
      </c>
      <c r="I350" t="str" cm="1">
        <f t="array" ref="I350">_xlfn.IFS(H350&lt;4,"poor",H350&lt;7,"average",H350&lt;9,"good",TRUE,"excellent")</f>
        <v>poor</v>
      </c>
      <c r="J350" t="s">
        <v>1017</v>
      </c>
      <c r="K350" t="str">
        <f t="shared" si="41"/>
        <v>Fre</v>
      </c>
      <c r="L350">
        <v>2022</v>
      </c>
      <c r="M350" t="str">
        <f t="shared" si="42"/>
        <v>22</v>
      </c>
      <c r="N350" t="s">
        <v>1020</v>
      </c>
      <c r="O350" s="2">
        <v>45349</v>
      </c>
      <c r="Q350">
        <f t="shared" si="43"/>
        <v>5</v>
      </c>
      <c r="R350">
        <f t="shared" si="44"/>
        <v>19790</v>
      </c>
      <c r="U350" t="str">
        <f t="shared" si="45"/>
        <v>long</v>
      </c>
      <c r="V350" s="4">
        <f t="shared" ca="1" si="46"/>
        <v>45973.174535995371</v>
      </c>
    </row>
    <row r="351" spans="1:22" x14ac:dyDescent="0.25">
      <c r="A351" t="s">
        <v>357</v>
      </c>
      <c r="B351" t="s">
        <v>857</v>
      </c>
      <c r="C351">
        <f t="shared" si="40"/>
        <v>9</v>
      </c>
      <c r="D351" t="str">
        <f t="shared" si="47"/>
        <v>M1349 Movie_349</v>
      </c>
      <c r="E351" t="s">
        <v>1009</v>
      </c>
      <c r="F351" t="str">
        <f>TRIM(Table1[[#This Row],[Genre]])</f>
        <v>Action</v>
      </c>
      <c r="G351">
        <v>147</v>
      </c>
      <c r="H351">
        <v>8.8000000000000007</v>
      </c>
      <c r="I351" t="str" cm="1">
        <f t="array" ref="I351">_xlfn.IFS(H351&lt;4,"poor",H351&lt;7,"average",H351&lt;9,"good",TRUE,"excellent")</f>
        <v>good</v>
      </c>
      <c r="J351" t="s">
        <v>1014</v>
      </c>
      <c r="K351" t="str">
        <f t="shared" si="41"/>
        <v>Jap</v>
      </c>
      <c r="L351">
        <v>1986</v>
      </c>
      <c r="M351" t="str">
        <f t="shared" si="42"/>
        <v>86</v>
      </c>
      <c r="N351" t="s">
        <v>1020</v>
      </c>
      <c r="O351" s="2">
        <v>45178</v>
      </c>
      <c r="Q351">
        <f t="shared" si="43"/>
        <v>5</v>
      </c>
      <c r="R351">
        <f t="shared" si="44"/>
        <v>19618</v>
      </c>
      <c r="U351" t="str">
        <f t="shared" si="45"/>
        <v>long</v>
      </c>
      <c r="V351" s="4">
        <f t="shared" ca="1" si="46"/>
        <v>45973.174535995371</v>
      </c>
    </row>
    <row r="352" spans="1:22" x14ac:dyDescent="0.25">
      <c r="A352" t="s">
        <v>358</v>
      </c>
      <c r="B352" t="s">
        <v>858</v>
      </c>
      <c r="C352">
        <f t="shared" si="40"/>
        <v>9</v>
      </c>
      <c r="D352" t="str">
        <f t="shared" si="47"/>
        <v>M1350 Movie_350</v>
      </c>
      <c r="E352" t="s">
        <v>1012</v>
      </c>
      <c r="F352" t="str">
        <f>TRIM(Table1[[#This Row],[Genre]])</f>
        <v>Sci-Fi</v>
      </c>
      <c r="G352">
        <v>107</v>
      </c>
      <c r="H352">
        <v>6.1</v>
      </c>
      <c r="I352" t="str" cm="1">
        <f t="array" ref="I352">_xlfn.IFS(H352&lt;4,"poor",H352&lt;7,"average",H352&lt;9,"good",TRUE,"excellent")</f>
        <v>average</v>
      </c>
      <c r="J352" t="s">
        <v>1017</v>
      </c>
      <c r="K352" t="str">
        <f t="shared" si="41"/>
        <v>Fre</v>
      </c>
      <c r="L352">
        <v>1991</v>
      </c>
      <c r="M352" t="str">
        <f t="shared" si="42"/>
        <v>91</v>
      </c>
      <c r="N352" t="s">
        <v>1020</v>
      </c>
      <c r="O352" s="2">
        <v>45347</v>
      </c>
      <c r="Q352">
        <f t="shared" si="43"/>
        <v>5</v>
      </c>
      <c r="R352">
        <f t="shared" si="44"/>
        <v>19471</v>
      </c>
      <c r="U352" t="str">
        <f t="shared" si="45"/>
        <v>short</v>
      </c>
      <c r="V352" s="4">
        <f t="shared" ca="1" si="46"/>
        <v>45973.174535995371</v>
      </c>
    </row>
    <row r="353" spans="1:22" x14ac:dyDescent="0.25">
      <c r="A353" t="s">
        <v>359</v>
      </c>
      <c r="B353" t="s">
        <v>859</v>
      </c>
      <c r="C353">
        <f t="shared" si="40"/>
        <v>9</v>
      </c>
      <c r="D353" t="str">
        <f t="shared" si="47"/>
        <v>M1351 Movie_351</v>
      </c>
      <c r="E353" t="s">
        <v>1009</v>
      </c>
      <c r="F353" t="str">
        <f>TRIM(Table1[[#This Row],[Genre]])</f>
        <v>Action</v>
      </c>
      <c r="G353">
        <v>73</v>
      </c>
      <c r="H353">
        <v>4.5999999999999996</v>
      </c>
      <c r="I353" t="str" cm="1">
        <f t="array" ref="I353">_xlfn.IFS(H353&lt;4,"poor",H353&lt;7,"average",H353&lt;9,"good",TRUE,"excellent")</f>
        <v>average</v>
      </c>
      <c r="J353" t="s">
        <v>1016</v>
      </c>
      <c r="K353" t="str">
        <f t="shared" si="41"/>
        <v>Spa</v>
      </c>
      <c r="L353">
        <v>1988</v>
      </c>
      <c r="M353" t="str">
        <f t="shared" si="42"/>
        <v>88</v>
      </c>
      <c r="N353" t="s">
        <v>1021</v>
      </c>
      <c r="O353" s="2">
        <v>44190</v>
      </c>
      <c r="Q353">
        <f t="shared" si="43"/>
        <v>5</v>
      </c>
      <c r="R353">
        <f t="shared" si="44"/>
        <v>19364</v>
      </c>
      <c r="U353" t="str">
        <f t="shared" si="45"/>
        <v>short</v>
      </c>
      <c r="V353" s="4">
        <f t="shared" ca="1" si="46"/>
        <v>45973.174535995371</v>
      </c>
    </row>
    <row r="354" spans="1:22" x14ac:dyDescent="0.25">
      <c r="A354" t="s">
        <v>360</v>
      </c>
      <c r="B354" t="s">
        <v>860</v>
      </c>
      <c r="C354">
        <f t="shared" si="40"/>
        <v>9</v>
      </c>
      <c r="D354" t="str">
        <f t="shared" si="47"/>
        <v>M1352 Movie_352</v>
      </c>
      <c r="E354" t="s">
        <v>1011</v>
      </c>
      <c r="F354" t="str">
        <f>TRIM(Table1[[#This Row],[Genre]])</f>
        <v>Comedy</v>
      </c>
      <c r="G354">
        <v>124</v>
      </c>
      <c r="H354">
        <v>2.2999999999999998</v>
      </c>
      <c r="I354" t="str" cm="1">
        <f t="array" ref="I354">_xlfn.IFS(H354&lt;4,"poor",H354&lt;7,"average",H354&lt;9,"good",TRUE,"excellent")</f>
        <v>poor</v>
      </c>
      <c r="J354" t="s">
        <v>1018</v>
      </c>
      <c r="K354" t="str">
        <f t="shared" si="41"/>
        <v>Eng</v>
      </c>
      <c r="L354">
        <v>2010</v>
      </c>
      <c r="M354" t="str">
        <f t="shared" si="42"/>
        <v>10</v>
      </c>
      <c r="N354" t="s">
        <v>1020</v>
      </c>
      <c r="O354" s="2">
        <v>44075</v>
      </c>
      <c r="Q354">
        <f t="shared" si="43"/>
        <v>5</v>
      </c>
      <c r="R354">
        <f t="shared" si="44"/>
        <v>19291</v>
      </c>
      <c r="U354" t="str">
        <f t="shared" si="45"/>
        <v>long</v>
      </c>
      <c r="V354" s="4">
        <f t="shared" ca="1" si="46"/>
        <v>45973.174535995371</v>
      </c>
    </row>
    <row r="355" spans="1:22" x14ac:dyDescent="0.25">
      <c r="A355" t="s">
        <v>361</v>
      </c>
      <c r="B355" t="s">
        <v>861</v>
      </c>
      <c r="C355">
        <f t="shared" si="40"/>
        <v>9</v>
      </c>
      <c r="D355" t="str">
        <f t="shared" si="47"/>
        <v>M1353 Movie_353</v>
      </c>
      <c r="E355" t="s">
        <v>1009</v>
      </c>
      <c r="F355" t="str">
        <f>TRIM(Table1[[#This Row],[Genre]])</f>
        <v>Action</v>
      </c>
      <c r="G355">
        <v>182</v>
      </c>
      <c r="H355">
        <v>6.7</v>
      </c>
      <c r="I355" t="str" cm="1">
        <f t="array" ref="I355">_xlfn.IFS(H355&lt;4,"poor",H355&lt;7,"average",H355&lt;9,"good",TRUE,"excellent")</f>
        <v>average</v>
      </c>
      <c r="J355" t="s">
        <v>1018</v>
      </c>
      <c r="K355" t="str">
        <f t="shared" si="41"/>
        <v>Eng</v>
      </c>
      <c r="L355">
        <v>2000</v>
      </c>
      <c r="M355" t="str">
        <f t="shared" si="42"/>
        <v>00</v>
      </c>
      <c r="N355" t="s">
        <v>1020</v>
      </c>
      <c r="O355" s="2">
        <v>43856</v>
      </c>
      <c r="Q355">
        <f t="shared" si="43"/>
        <v>5</v>
      </c>
      <c r="R355">
        <f t="shared" si="44"/>
        <v>19167</v>
      </c>
      <c r="U355" t="str">
        <f t="shared" si="45"/>
        <v>long</v>
      </c>
      <c r="V355" s="4">
        <f t="shared" ca="1" si="46"/>
        <v>45973.174535995371</v>
      </c>
    </row>
    <row r="356" spans="1:22" x14ac:dyDescent="0.25">
      <c r="A356" t="s">
        <v>362</v>
      </c>
      <c r="B356" t="s">
        <v>862</v>
      </c>
      <c r="C356">
        <f t="shared" si="40"/>
        <v>9</v>
      </c>
      <c r="D356" t="str">
        <f t="shared" si="47"/>
        <v>M1354 Movie_354</v>
      </c>
      <c r="E356" t="s">
        <v>1012</v>
      </c>
      <c r="F356" t="str">
        <f>TRIM(Table1[[#This Row],[Genre]])</f>
        <v>Sci-Fi</v>
      </c>
      <c r="G356">
        <v>89</v>
      </c>
      <c r="H356">
        <v>1.3</v>
      </c>
      <c r="I356" t="str" cm="1">
        <f t="array" ref="I356">_xlfn.IFS(H356&lt;4,"poor",H356&lt;7,"average",H356&lt;9,"good",TRUE,"excellent")</f>
        <v>poor</v>
      </c>
      <c r="J356" t="s">
        <v>1014</v>
      </c>
      <c r="K356" t="str">
        <f t="shared" si="41"/>
        <v>Jap</v>
      </c>
      <c r="L356">
        <v>1995</v>
      </c>
      <c r="M356" t="str">
        <f t="shared" si="42"/>
        <v>95</v>
      </c>
      <c r="N356" t="s">
        <v>1021</v>
      </c>
      <c r="O356" s="2">
        <v>45280</v>
      </c>
      <c r="Q356">
        <f t="shared" si="43"/>
        <v>5</v>
      </c>
      <c r="R356">
        <f t="shared" si="44"/>
        <v>18985</v>
      </c>
      <c r="U356" t="str">
        <f t="shared" si="45"/>
        <v>short</v>
      </c>
      <c r="V356" s="4">
        <f t="shared" ca="1" si="46"/>
        <v>45973.174535995371</v>
      </c>
    </row>
    <row r="357" spans="1:22" x14ac:dyDescent="0.25">
      <c r="A357" t="s">
        <v>363</v>
      </c>
      <c r="B357" t="s">
        <v>863</v>
      </c>
      <c r="C357">
        <f t="shared" si="40"/>
        <v>9</v>
      </c>
      <c r="D357" t="str">
        <f t="shared" si="47"/>
        <v>M1355 Movie_355</v>
      </c>
      <c r="E357" t="s">
        <v>1009</v>
      </c>
      <c r="F357" t="str">
        <f>TRIM(Table1[[#This Row],[Genre]])</f>
        <v>Action</v>
      </c>
      <c r="G357">
        <v>76</v>
      </c>
      <c r="H357">
        <v>7.7</v>
      </c>
      <c r="I357" t="str" cm="1">
        <f t="array" ref="I357">_xlfn.IFS(H357&lt;4,"poor",H357&lt;7,"average",H357&lt;9,"good",TRUE,"excellent")</f>
        <v>good</v>
      </c>
      <c r="J357" t="s">
        <v>1016</v>
      </c>
      <c r="K357" t="str">
        <f t="shared" si="41"/>
        <v>Spa</v>
      </c>
      <c r="L357">
        <v>1980</v>
      </c>
      <c r="M357" t="str">
        <f t="shared" si="42"/>
        <v>80</v>
      </c>
      <c r="N357" t="s">
        <v>1021</v>
      </c>
      <c r="O357" s="2">
        <v>44112</v>
      </c>
      <c r="Q357">
        <f t="shared" si="43"/>
        <v>5</v>
      </c>
      <c r="R357">
        <f t="shared" si="44"/>
        <v>18896</v>
      </c>
      <c r="U357" t="str">
        <f t="shared" si="45"/>
        <v>short</v>
      </c>
      <c r="V357" s="4">
        <f t="shared" ca="1" si="46"/>
        <v>45973.174535995371</v>
      </c>
    </row>
    <row r="358" spans="1:22" x14ac:dyDescent="0.25">
      <c r="A358" t="s">
        <v>364</v>
      </c>
      <c r="B358" t="s">
        <v>864</v>
      </c>
      <c r="C358">
        <f t="shared" si="40"/>
        <v>9</v>
      </c>
      <c r="D358" t="str">
        <f t="shared" si="47"/>
        <v>M1356 Movie_356</v>
      </c>
      <c r="E358" t="s">
        <v>1008</v>
      </c>
      <c r="F358" t="str">
        <f>TRIM(Table1[[#This Row],[Genre]])</f>
        <v>Horror</v>
      </c>
      <c r="G358">
        <v>162</v>
      </c>
      <c r="H358">
        <v>2.9</v>
      </c>
      <c r="I358" t="str" cm="1">
        <f t="array" ref="I358">_xlfn.IFS(H358&lt;4,"poor",H358&lt;7,"average",H358&lt;9,"good",TRUE,"excellent")</f>
        <v>poor</v>
      </c>
      <c r="J358" t="s">
        <v>1019</v>
      </c>
      <c r="K358" t="str">
        <f t="shared" si="41"/>
        <v>Ger</v>
      </c>
      <c r="L358">
        <v>1996</v>
      </c>
      <c r="M358" t="str">
        <f t="shared" si="42"/>
        <v>96</v>
      </c>
      <c r="N358" t="s">
        <v>1021</v>
      </c>
      <c r="O358" s="2">
        <v>45267</v>
      </c>
      <c r="Q358">
        <f t="shared" si="43"/>
        <v>5</v>
      </c>
      <c r="R358">
        <f t="shared" si="44"/>
        <v>18820</v>
      </c>
      <c r="U358" t="str">
        <f t="shared" si="45"/>
        <v>long</v>
      </c>
      <c r="V358" s="4">
        <f t="shared" ca="1" si="46"/>
        <v>45973.174535995371</v>
      </c>
    </row>
    <row r="359" spans="1:22" x14ac:dyDescent="0.25">
      <c r="A359" t="s">
        <v>365</v>
      </c>
      <c r="B359" t="s">
        <v>865</v>
      </c>
      <c r="C359">
        <f t="shared" si="40"/>
        <v>9</v>
      </c>
      <c r="D359" t="str">
        <f t="shared" si="47"/>
        <v>M1357 Movie_357</v>
      </c>
      <c r="E359" t="s">
        <v>1011</v>
      </c>
      <c r="F359" t="str">
        <f>TRIM(Table1[[#This Row],[Genre]])</f>
        <v>Comedy</v>
      </c>
      <c r="G359">
        <v>185</v>
      </c>
      <c r="H359">
        <v>4.8</v>
      </c>
      <c r="I359" t="str" cm="1">
        <f t="array" ref="I359">_xlfn.IFS(H359&lt;4,"poor",H359&lt;7,"average",H359&lt;9,"good",TRUE,"excellent")</f>
        <v>average</v>
      </c>
      <c r="J359" t="s">
        <v>1015</v>
      </c>
      <c r="K359" t="str">
        <f t="shared" si="41"/>
        <v>Hin</v>
      </c>
      <c r="L359">
        <v>2004</v>
      </c>
      <c r="M359" t="str">
        <f t="shared" si="42"/>
        <v>04</v>
      </c>
      <c r="N359" t="s">
        <v>1020</v>
      </c>
      <c r="O359" s="2">
        <v>43854</v>
      </c>
      <c r="Q359">
        <f t="shared" si="43"/>
        <v>5</v>
      </c>
      <c r="R359">
        <f t="shared" si="44"/>
        <v>18658</v>
      </c>
      <c r="U359" t="str">
        <f t="shared" si="45"/>
        <v>long</v>
      </c>
      <c r="V359" s="4">
        <f t="shared" ca="1" si="46"/>
        <v>45973.174535995371</v>
      </c>
    </row>
    <row r="360" spans="1:22" x14ac:dyDescent="0.25">
      <c r="A360" t="s">
        <v>366</v>
      </c>
      <c r="B360" t="s">
        <v>866</v>
      </c>
      <c r="C360">
        <f t="shared" si="40"/>
        <v>9</v>
      </c>
      <c r="D360" t="str">
        <f t="shared" si="47"/>
        <v>M1358 Movie_358</v>
      </c>
      <c r="E360" t="s">
        <v>1013</v>
      </c>
      <c r="F360" t="str">
        <f>TRIM(Table1[[#This Row],[Genre]])</f>
        <v>Thriller</v>
      </c>
      <c r="G360">
        <v>78</v>
      </c>
      <c r="H360">
        <v>4.0999999999999996</v>
      </c>
      <c r="I360" t="str" cm="1">
        <f t="array" ref="I360">_xlfn.IFS(H360&lt;4,"poor",H360&lt;7,"average",H360&lt;9,"good",TRUE,"excellent")</f>
        <v>average</v>
      </c>
      <c r="J360" t="s">
        <v>1019</v>
      </c>
      <c r="K360" t="str">
        <f t="shared" si="41"/>
        <v>Ger</v>
      </c>
      <c r="L360">
        <v>1995</v>
      </c>
      <c r="M360" t="str">
        <f t="shared" si="42"/>
        <v>95</v>
      </c>
      <c r="N360" t="s">
        <v>1020</v>
      </c>
      <c r="O360" s="2">
        <v>44166</v>
      </c>
      <c r="Q360">
        <f t="shared" si="43"/>
        <v>5</v>
      </c>
      <c r="R360">
        <f t="shared" si="44"/>
        <v>18473</v>
      </c>
      <c r="U360" t="str">
        <f t="shared" si="45"/>
        <v>short</v>
      </c>
      <c r="V360" s="4">
        <f t="shared" ca="1" si="46"/>
        <v>45973.174535995371</v>
      </c>
    </row>
    <row r="361" spans="1:22" x14ac:dyDescent="0.25">
      <c r="A361" t="s">
        <v>367</v>
      </c>
      <c r="B361" t="s">
        <v>867</v>
      </c>
      <c r="C361">
        <f t="shared" si="40"/>
        <v>9</v>
      </c>
      <c r="D361" t="str">
        <f t="shared" si="47"/>
        <v>M1359 Movie_359</v>
      </c>
      <c r="E361" t="s">
        <v>1009</v>
      </c>
      <c r="F361" t="str">
        <f>TRIM(Table1[[#This Row],[Genre]])</f>
        <v>Action</v>
      </c>
      <c r="G361">
        <v>73</v>
      </c>
      <c r="H361">
        <v>4.3</v>
      </c>
      <c r="I361" t="str" cm="1">
        <f t="array" ref="I361">_xlfn.IFS(H361&lt;4,"poor",H361&lt;7,"average",H361&lt;9,"good",TRUE,"excellent")</f>
        <v>average</v>
      </c>
      <c r="J361" t="s">
        <v>1015</v>
      </c>
      <c r="K361" t="str">
        <f t="shared" si="41"/>
        <v>Hin</v>
      </c>
      <c r="L361">
        <v>2008</v>
      </c>
      <c r="M361" t="str">
        <f t="shared" si="42"/>
        <v>08</v>
      </c>
      <c r="N361" t="s">
        <v>1020</v>
      </c>
      <c r="O361" s="2">
        <v>44847</v>
      </c>
      <c r="Q361">
        <f t="shared" si="43"/>
        <v>5</v>
      </c>
      <c r="R361">
        <f t="shared" si="44"/>
        <v>18395</v>
      </c>
      <c r="U361" t="str">
        <f t="shared" si="45"/>
        <v>short</v>
      </c>
      <c r="V361" s="4">
        <f t="shared" ca="1" si="46"/>
        <v>45973.174535995371</v>
      </c>
    </row>
    <row r="362" spans="1:22" x14ac:dyDescent="0.25">
      <c r="A362" t="s">
        <v>368</v>
      </c>
      <c r="B362" t="s">
        <v>868</v>
      </c>
      <c r="C362">
        <f t="shared" si="40"/>
        <v>9</v>
      </c>
      <c r="D362" t="str">
        <f t="shared" si="47"/>
        <v>M1360 Movie_360</v>
      </c>
      <c r="E362" t="s">
        <v>1012</v>
      </c>
      <c r="F362" t="str">
        <f>TRIM(Table1[[#This Row],[Genre]])</f>
        <v>Sci-Fi</v>
      </c>
      <c r="G362">
        <v>98</v>
      </c>
      <c r="H362">
        <v>7.5</v>
      </c>
      <c r="I362" t="str" cm="1">
        <f t="array" ref="I362">_xlfn.IFS(H362&lt;4,"poor",H362&lt;7,"average",H362&lt;9,"good",TRUE,"excellent")</f>
        <v>good</v>
      </c>
      <c r="J362" t="s">
        <v>1018</v>
      </c>
      <c r="K362" t="str">
        <f t="shared" si="41"/>
        <v>Eng</v>
      </c>
      <c r="L362">
        <v>1997</v>
      </c>
      <c r="M362" t="str">
        <f t="shared" si="42"/>
        <v>97</v>
      </c>
      <c r="N362" t="s">
        <v>1021</v>
      </c>
      <c r="O362" s="2">
        <v>44541</v>
      </c>
      <c r="Q362">
        <f t="shared" si="43"/>
        <v>5</v>
      </c>
      <c r="R362">
        <f t="shared" si="44"/>
        <v>18322</v>
      </c>
      <c r="U362" t="str">
        <f t="shared" si="45"/>
        <v>short</v>
      </c>
      <c r="V362" s="4">
        <f t="shared" ca="1" si="46"/>
        <v>45973.174535995371</v>
      </c>
    </row>
    <row r="363" spans="1:22" x14ac:dyDescent="0.25">
      <c r="A363" t="s">
        <v>369</v>
      </c>
      <c r="B363" t="s">
        <v>869</v>
      </c>
      <c r="C363">
        <f t="shared" si="40"/>
        <v>9</v>
      </c>
      <c r="D363" t="str">
        <f t="shared" si="47"/>
        <v>M1361 Movie_361</v>
      </c>
      <c r="E363" t="s">
        <v>1011</v>
      </c>
      <c r="F363" t="str">
        <f>TRIM(Table1[[#This Row],[Genre]])</f>
        <v>Comedy</v>
      </c>
      <c r="G363">
        <v>98</v>
      </c>
      <c r="H363">
        <v>8</v>
      </c>
      <c r="I363" t="str" cm="1">
        <f t="array" ref="I363">_xlfn.IFS(H363&lt;4,"poor",H363&lt;7,"average",H363&lt;9,"good",TRUE,"excellent")</f>
        <v>good</v>
      </c>
      <c r="J363" t="s">
        <v>1017</v>
      </c>
      <c r="K363" t="str">
        <f t="shared" si="41"/>
        <v>Fre</v>
      </c>
      <c r="L363">
        <v>2001</v>
      </c>
      <c r="M363" t="str">
        <f t="shared" si="42"/>
        <v>01</v>
      </c>
      <c r="N363" t="s">
        <v>1020</v>
      </c>
      <c r="O363" s="2">
        <v>44902</v>
      </c>
      <c r="Q363">
        <f t="shared" si="43"/>
        <v>5</v>
      </c>
      <c r="R363">
        <f t="shared" si="44"/>
        <v>18224</v>
      </c>
      <c r="U363" t="str">
        <f t="shared" si="45"/>
        <v>short</v>
      </c>
      <c r="V363" s="4">
        <f t="shared" ca="1" si="46"/>
        <v>45973.174535995371</v>
      </c>
    </row>
    <row r="364" spans="1:22" x14ac:dyDescent="0.25">
      <c r="A364" t="s">
        <v>370</v>
      </c>
      <c r="B364" t="s">
        <v>870</v>
      </c>
      <c r="C364">
        <f t="shared" si="40"/>
        <v>9</v>
      </c>
      <c r="D364" t="str">
        <f t="shared" si="47"/>
        <v>M1362 Movie_362</v>
      </c>
      <c r="E364" t="s">
        <v>1012</v>
      </c>
      <c r="F364" t="str">
        <f>TRIM(Table1[[#This Row],[Genre]])</f>
        <v>Sci-Fi</v>
      </c>
      <c r="G364">
        <v>137</v>
      </c>
      <c r="H364">
        <v>6.1</v>
      </c>
      <c r="I364" t="str" cm="1">
        <f t="array" ref="I364">_xlfn.IFS(H364&lt;4,"poor",H364&lt;7,"average",H364&lt;9,"good",TRUE,"excellent")</f>
        <v>average</v>
      </c>
      <c r="J364" t="s">
        <v>1017</v>
      </c>
      <c r="K364" t="str">
        <f t="shared" si="41"/>
        <v>Fre</v>
      </c>
      <c r="L364">
        <v>1999</v>
      </c>
      <c r="M364" t="str">
        <f t="shared" si="42"/>
        <v>99</v>
      </c>
      <c r="N364" t="s">
        <v>1020</v>
      </c>
      <c r="O364" s="2">
        <v>44890</v>
      </c>
      <c r="Q364">
        <f t="shared" si="43"/>
        <v>5</v>
      </c>
      <c r="R364">
        <f t="shared" si="44"/>
        <v>18126</v>
      </c>
      <c r="U364" t="str">
        <f t="shared" si="45"/>
        <v>long</v>
      </c>
      <c r="V364" s="4">
        <f t="shared" ca="1" si="46"/>
        <v>45973.174535995371</v>
      </c>
    </row>
    <row r="365" spans="1:22" x14ac:dyDescent="0.25">
      <c r="A365" t="s">
        <v>371</v>
      </c>
      <c r="B365" t="s">
        <v>871</v>
      </c>
      <c r="C365">
        <f t="shared" si="40"/>
        <v>9</v>
      </c>
      <c r="D365" t="str">
        <f t="shared" si="47"/>
        <v>M1363 Movie_363</v>
      </c>
      <c r="E365" t="s">
        <v>1012</v>
      </c>
      <c r="F365" t="str">
        <f>TRIM(Table1[[#This Row],[Genre]])</f>
        <v>Sci-Fi</v>
      </c>
      <c r="G365">
        <v>81</v>
      </c>
      <c r="H365">
        <v>1.8</v>
      </c>
      <c r="I365" t="str" cm="1">
        <f t="array" ref="I365">_xlfn.IFS(H365&lt;4,"poor",H365&lt;7,"average",H365&lt;9,"good",TRUE,"excellent")</f>
        <v>poor</v>
      </c>
      <c r="J365" t="s">
        <v>1014</v>
      </c>
      <c r="K365" t="str">
        <f t="shared" si="41"/>
        <v>Jap</v>
      </c>
      <c r="L365">
        <v>2017</v>
      </c>
      <c r="M365" t="str">
        <f t="shared" si="42"/>
        <v>17</v>
      </c>
      <c r="N365" t="s">
        <v>1021</v>
      </c>
      <c r="O365" s="2">
        <v>45434</v>
      </c>
      <c r="Q365">
        <f t="shared" si="43"/>
        <v>5</v>
      </c>
      <c r="R365">
        <f t="shared" si="44"/>
        <v>17989</v>
      </c>
      <c r="U365" t="str">
        <f t="shared" si="45"/>
        <v>short</v>
      </c>
      <c r="V365" s="4">
        <f t="shared" ca="1" si="46"/>
        <v>45973.174535995371</v>
      </c>
    </row>
    <row r="366" spans="1:22" x14ac:dyDescent="0.25">
      <c r="A366" t="s">
        <v>372</v>
      </c>
      <c r="B366" t="s">
        <v>872</v>
      </c>
      <c r="C366">
        <f t="shared" si="40"/>
        <v>9</v>
      </c>
      <c r="D366" t="str">
        <f t="shared" si="47"/>
        <v>M1364 Movie_364</v>
      </c>
      <c r="E366" t="s">
        <v>1009</v>
      </c>
      <c r="F366" t="str">
        <f>TRIM(Table1[[#This Row],[Genre]])</f>
        <v>Action</v>
      </c>
      <c r="G366">
        <v>123</v>
      </c>
      <c r="H366">
        <v>1.5</v>
      </c>
      <c r="I366" t="str" cm="1">
        <f t="array" ref="I366">_xlfn.IFS(H366&lt;4,"poor",H366&lt;7,"average",H366&lt;9,"good",TRUE,"excellent")</f>
        <v>poor</v>
      </c>
      <c r="J366" t="s">
        <v>1019</v>
      </c>
      <c r="K366" t="str">
        <f t="shared" si="41"/>
        <v>Ger</v>
      </c>
      <c r="L366">
        <v>2016</v>
      </c>
      <c r="M366" t="str">
        <f t="shared" si="42"/>
        <v>16</v>
      </c>
      <c r="N366" t="s">
        <v>1021</v>
      </c>
      <c r="O366" s="2">
        <v>45515</v>
      </c>
      <c r="Q366">
        <f t="shared" si="43"/>
        <v>5</v>
      </c>
      <c r="R366">
        <f t="shared" si="44"/>
        <v>17908</v>
      </c>
      <c r="U366" t="str">
        <f t="shared" si="45"/>
        <v>long</v>
      </c>
      <c r="V366" s="4">
        <f t="shared" ca="1" si="46"/>
        <v>45973.174535995371</v>
      </c>
    </row>
    <row r="367" spans="1:22" x14ac:dyDescent="0.25">
      <c r="A367" t="s">
        <v>373</v>
      </c>
      <c r="B367" t="s">
        <v>873</v>
      </c>
      <c r="C367">
        <f t="shared" si="40"/>
        <v>9</v>
      </c>
      <c r="D367" t="str">
        <f t="shared" si="47"/>
        <v>M1365 Movie_365</v>
      </c>
      <c r="E367" t="s">
        <v>1012</v>
      </c>
      <c r="F367" t="str">
        <f>TRIM(Table1[[#This Row],[Genre]])</f>
        <v>Sci-Fi</v>
      </c>
      <c r="G367">
        <v>90</v>
      </c>
      <c r="H367">
        <v>2.4</v>
      </c>
      <c r="I367" t="str" cm="1">
        <f t="array" ref="I367">_xlfn.IFS(H367&lt;4,"poor",H367&lt;7,"average",H367&lt;9,"good",TRUE,"excellent")</f>
        <v>poor</v>
      </c>
      <c r="J367" t="s">
        <v>1016</v>
      </c>
      <c r="K367" t="str">
        <f t="shared" si="41"/>
        <v>Spa</v>
      </c>
      <c r="L367">
        <v>1980</v>
      </c>
      <c r="M367" t="str">
        <f t="shared" si="42"/>
        <v>80</v>
      </c>
      <c r="N367" t="s">
        <v>1021</v>
      </c>
      <c r="O367" s="2">
        <v>45307</v>
      </c>
      <c r="Q367">
        <f t="shared" si="43"/>
        <v>5</v>
      </c>
      <c r="R367">
        <f t="shared" si="44"/>
        <v>17785</v>
      </c>
      <c r="U367" t="str">
        <f t="shared" si="45"/>
        <v>short</v>
      </c>
      <c r="V367" s="4">
        <f t="shared" ca="1" si="46"/>
        <v>45973.174535995371</v>
      </c>
    </row>
    <row r="368" spans="1:22" x14ac:dyDescent="0.25">
      <c r="A368" t="s">
        <v>374</v>
      </c>
      <c r="B368" t="s">
        <v>874</v>
      </c>
      <c r="C368">
        <f t="shared" si="40"/>
        <v>9</v>
      </c>
      <c r="D368" t="str">
        <f t="shared" si="47"/>
        <v>M1366 Movie_366</v>
      </c>
      <c r="E368" t="s">
        <v>1009</v>
      </c>
      <c r="F368" t="str">
        <f>TRIM(Table1[[#This Row],[Genre]])</f>
        <v>Action</v>
      </c>
      <c r="G368">
        <v>166</v>
      </c>
      <c r="H368">
        <v>6.6</v>
      </c>
      <c r="I368" t="str" cm="1">
        <f t="array" ref="I368">_xlfn.IFS(H368&lt;4,"poor",H368&lt;7,"average",H368&lt;9,"good",TRUE,"excellent")</f>
        <v>average</v>
      </c>
      <c r="J368" t="s">
        <v>1015</v>
      </c>
      <c r="K368" t="str">
        <f t="shared" si="41"/>
        <v>Hin</v>
      </c>
      <c r="L368">
        <v>1996</v>
      </c>
      <c r="M368" t="str">
        <f t="shared" si="42"/>
        <v>96</v>
      </c>
      <c r="N368" t="s">
        <v>1021</v>
      </c>
      <c r="O368" s="2">
        <v>44361</v>
      </c>
      <c r="Q368">
        <f t="shared" si="43"/>
        <v>5</v>
      </c>
      <c r="R368">
        <f t="shared" si="44"/>
        <v>17695</v>
      </c>
      <c r="U368" t="str">
        <f t="shared" si="45"/>
        <v>long</v>
      </c>
      <c r="V368" s="4">
        <f t="shared" ca="1" si="46"/>
        <v>45973.174535995371</v>
      </c>
    </row>
    <row r="369" spans="1:22" x14ac:dyDescent="0.25">
      <c r="A369" t="s">
        <v>375</v>
      </c>
      <c r="B369" t="s">
        <v>875</v>
      </c>
      <c r="C369">
        <f t="shared" si="40"/>
        <v>9</v>
      </c>
      <c r="D369" t="str">
        <f t="shared" si="47"/>
        <v>M1367 Movie_367</v>
      </c>
      <c r="E369" t="s">
        <v>1013</v>
      </c>
      <c r="F369" t="str">
        <f>TRIM(Table1[[#This Row],[Genre]])</f>
        <v>Thriller</v>
      </c>
      <c r="G369">
        <v>117</v>
      </c>
      <c r="H369">
        <v>7.1</v>
      </c>
      <c r="I369" t="str" cm="1">
        <f t="array" ref="I369">_xlfn.IFS(H369&lt;4,"poor",H369&lt;7,"average",H369&lt;9,"good",TRUE,"excellent")</f>
        <v>good</v>
      </c>
      <c r="J369" t="s">
        <v>1017</v>
      </c>
      <c r="K369" t="str">
        <f t="shared" si="41"/>
        <v>Fre</v>
      </c>
      <c r="L369">
        <v>2021</v>
      </c>
      <c r="M369" t="str">
        <f t="shared" si="42"/>
        <v>21</v>
      </c>
      <c r="N369" t="s">
        <v>1020</v>
      </c>
      <c r="O369" s="2">
        <v>44172</v>
      </c>
      <c r="Q369">
        <f t="shared" si="43"/>
        <v>5</v>
      </c>
      <c r="R369">
        <f t="shared" si="44"/>
        <v>17529</v>
      </c>
      <c r="U369" t="str">
        <f t="shared" si="45"/>
        <v>short</v>
      </c>
      <c r="V369" s="4">
        <f t="shared" ca="1" si="46"/>
        <v>45973.174535995371</v>
      </c>
    </row>
    <row r="370" spans="1:22" x14ac:dyDescent="0.25">
      <c r="A370" t="s">
        <v>376</v>
      </c>
      <c r="B370" t="s">
        <v>876</v>
      </c>
      <c r="C370">
        <f t="shared" si="40"/>
        <v>9</v>
      </c>
      <c r="D370" t="str">
        <f t="shared" si="47"/>
        <v>M1368 Movie_368</v>
      </c>
      <c r="E370" t="s">
        <v>1008</v>
      </c>
      <c r="F370" t="str">
        <f>TRIM(Table1[[#This Row],[Genre]])</f>
        <v>Horror</v>
      </c>
      <c r="G370">
        <v>193</v>
      </c>
      <c r="H370">
        <v>3.4</v>
      </c>
      <c r="I370" t="str" cm="1">
        <f t="array" ref="I370">_xlfn.IFS(H370&lt;4,"poor",H370&lt;7,"average",H370&lt;9,"good",TRUE,"excellent")</f>
        <v>poor</v>
      </c>
      <c r="J370" t="s">
        <v>1014</v>
      </c>
      <c r="K370" t="str">
        <f t="shared" si="41"/>
        <v>Jap</v>
      </c>
      <c r="L370">
        <v>2003</v>
      </c>
      <c r="M370" t="str">
        <f t="shared" si="42"/>
        <v>03</v>
      </c>
      <c r="N370" t="s">
        <v>1021</v>
      </c>
      <c r="O370" s="2">
        <v>44592</v>
      </c>
      <c r="Q370">
        <f t="shared" si="43"/>
        <v>5</v>
      </c>
      <c r="R370">
        <f t="shared" si="44"/>
        <v>17412</v>
      </c>
      <c r="U370" t="str">
        <f t="shared" si="45"/>
        <v>long</v>
      </c>
      <c r="V370" s="4">
        <f t="shared" ca="1" si="46"/>
        <v>45973.174535995371</v>
      </c>
    </row>
    <row r="371" spans="1:22" x14ac:dyDescent="0.25">
      <c r="A371" t="s">
        <v>377</v>
      </c>
      <c r="B371" t="s">
        <v>877</v>
      </c>
      <c r="C371">
        <f t="shared" si="40"/>
        <v>9</v>
      </c>
      <c r="D371" t="str">
        <f t="shared" si="47"/>
        <v>M1369 Movie_369</v>
      </c>
      <c r="E371" t="s">
        <v>1012</v>
      </c>
      <c r="F371" t="str">
        <f>TRIM(Table1[[#This Row],[Genre]])</f>
        <v>Sci-Fi</v>
      </c>
      <c r="G371">
        <v>157</v>
      </c>
      <c r="H371">
        <v>7</v>
      </c>
      <c r="I371" t="str" cm="1">
        <f t="array" ref="I371">_xlfn.IFS(H371&lt;4,"poor",H371&lt;7,"average",H371&lt;9,"good",TRUE,"excellent")</f>
        <v>good</v>
      </c>
      <c r="J371" t="s">
        <v>1019</v>
      </c>
      <c r="K371" t="str">
        <f t="shared" si="41"/>
        <v>Ger</v>
      </c>
      <c r="L371">
        <v>2024</v>
      </c>
      <c r="M371" t="str">
        <f t="shared" si="42"/>
        <v>24</v>
      </c>
      <c r="N371" t="s">
        <v>1020</v>
      </c>
      <c r="O371" s="2">
        <v>44090</v>
      </c>
      <c r="Q371">
        <f t="shared" si="43"/>
        <v>5</v>
      </c>
      <c r="R371">
        <f t="shared" si="44"/>
        <v>17219</v>
      </c>
      <c r="U371" t="str">
        <f t="shared" si="45"/>
        <v>long</v>
      </c>
      <c r="V371" s="4">
        <f t="shared" ca="1" si="46"/>
        <v>45973.174535995371</v>
      </c>
    </row>
    <row r="372" spans="1:22" x14ac:dyDescent="0.25">
      <c r="A372" t="s">
        <v>378</v>
      </c>
      <c r="B372" t="s">
        <v>878</v>
      </c>
      <c r="C372">
        <f t="shared" si="40"/>
        <v>9</v>
      </c>
      <c r="D372" t="str">
        <f t="shared" si="47"/>
        <v>M1370 Movie_370</v>
      </c>
      <c r="E372" t="s">
        <v>1012</v>
      </c>
      <c r="F372" t="str">
        <f>TRIM(Table1[[#This Row],[Genre]])</f>
        <v>Sci-Fi</v>
      </c>
      <c r="G372">
        <v>175</v>
      </c>
      <c r="H372">
        <v>5.4</v>
      </c>
      <c r="I372" t="str" cm="1">
        <f t="array" ref="I372">_xlfn.IFS(H372&lt;4,"poor",H372&lt;7,"average",H372&lt;9,"good",TRUE,"excellent")</f>
        <v>average</v>
      </c>
      <c r="J372" t="s">
        <v>1016</v>
      </c>
      <c r="K372" t="str">
        <f t="shared" si="41"/>
        <v>Spa</v>
      </c>
      <c r="L372">
        <v>1995</v>
      </c>
      <c r="M372" t="str">
        <f t="shared" si="42"/>
        <v>95</v>
      </c>
      <c r="N372" t="s">
        <v>1021</v>
      </c>
      <c r="O372" s="2">
        <v>45366</v>
      </c>
      <c r="Q372">
        <f t="shared" si="43"/>
        <v>5</v>
      </c>
      <c r="R372">
        <f t="shared" si="44"/>
        <v>17062</v>
      </c>
      <c r="U372" t="str">
        <f t="shared" si="45"/>
        <v>long</v>
      </c>
      <c r="V372" s="4">
        <f t="shared" ca="1" si="46"/>
        <v>45973.174535995371</v>
      </c>
    </row>
    <row r="373" spans="1:22" x14ac:dyDescent="0.25">
      <c r="A373" t="s">
        <v>379</v>
      </c>
      <c r="B373" t="s">
        <v>879</v>
      </c>
      <c r="C373">
        <f t="shared" si="40"/>
        <v>9</v>
      </c>
      <c r="D373" t="str">
        <f t="shared" si="47"/>
        <v>M1371 Movie_371</v>
      </c>
      <c r="E373" t="s">
        <v>1012</v>
      </c>
      <c r="F373" t="str">
        <f>TRIM(Table1[[#This Row],[Genre]])</f>
        <v>Sci-Fi</v>
      </c>
      <c r="G373">
        <v>173</v>
      </c>
      <c r="H373">
        <v>5</v>
      </c>
      <c r="I373" t="str" cm="1">
        <f t="array" ref="I373">_xlfn.IFS(H373&lt;4,"poor",H373&lt;7,"average",H373&lt;9,"good",TRUE,"excellent")</f>
        <v>average</v>
      </c>
      <c r="J373" t="s">
        <v>1018</v>
      </c>
      <c r="K373" t="str">
        <f t="shared" si="41"/>
        <v>Eng</v>
      </c>
      <c r="L373">
        <v>1983</v>
      </c>
      <c r="M373" t="str">
        <f t="shared" si="42"/>
        <v>83</v>
      </c>
      <c r="N373" t="s">
        <v>1020</v>
      </c>
      <c r="O373" s="2">
        <v>45430</v>
      </c>
      <c r="Q373">
        <f t="shared" si="43"/>
        <v>5</v>
      </c>
      <c r="R373">
        <f t="shared" si="44"/>
        <v>16887</v>
      </c>
      <c r="U373" t="str">
        <f t="shared" si="45"/>
        <v>long</v>
      </c>
      <c r="V373" s="4">
        <f t="shared" ca="1" si="46"/>
        <v>45973.174535995371</v>
      </c>
    </row>
    <row r="374" spans="1:22" x14ac:dyDescent="0.25">
      <c r="A374" t="s">
        <v>380</v>
      </c>
      <c r="B374" t="s">
        <v>880</v>
      </c>
      <c r="C374">
        <f t="shared" si="40"/>
        <v>9</v>
      </c>
      <c r="D374" t="str">
        <f t="shared" si="47"/>
        <v>M1372 Movie_372</v>
      </c>
      <c r="E374" t="s">
        <v>1010</v>
      </c>
      <c r="F374" t="str">
        <f>TRIM(Table1[[#This Row],[Genre]])</f>
        <v>Drama</v>
      </c>
      <c r="G374">
        <v>136</v>
      </c>
      <c r="H374">
        <v>3.5</v>
      </c>
      <c r="I374" t="str" cm="1">
        <f t="array" ref="I374">_xlfn.IFS(H374&lt;4,"poor",H374&lt;7,"average",H374&lt;9,"good",TRUE,"excellent")</f>
        <v>poor</v>
      </c>
      <c r="J374" t="s">
        <v>1016</v>
      </c>
      <c r="K374" t="str">
        <f t="shared" si="41"/>
        <v>Spa</v>
      </c>
      <c r="L374">
        <v>2022</v>
      </c>
      <c r="M374" t="str">
        <f t="shared" si="42"/>
        <v>22</v>
      </c>
      <c r="N374" t="s">
        <v>1021</v>
      </c>
      <c r="O374" s="2">
        <v>44381</v>
      </c>
      <c r="Q374">
        <f t="shared" si="43"/>
        <v>5</v>
      </c>
      <c r="R374">
        <f t="shared" si="44"/>
        <v>16714</v>
      </c>
      <c r="U374" t="str">
        <f t="shared" si="45"/>
        <v>long</v>
      </c>
      <c r="V374" s="4">
        <f t="shared" ca="1" si="46"/>
        <v>45973.174535995371</v>
      </c>
    </row>
    <row r="375" spans="1:22" x14ac:dyDescent="0.25">
      <c r="A375" t="s">
        <v>381</v>
      </c>
      <c r="B375" t="s">
        <v>881</v>
      </c>
      <c r="C375">
        <f t="shared" si="40"/>
        <v>9</v>
      </c>
      <c r="D375" t="str">
        <f t="shared" si="47"/>
        <v>M1373 Movie_373</v>
      </c>
      <c r="E375" t="s">
        <v>1010</v>
      </c>
      <c r="F375" t="str">
        <f>TRIM(Table1[[#This Row],[Genre]])</f>
        <v>Drama</v>
      </c>
      <c r="G375">
        <v>169</v>
      </c>
      <c r="H375">
        <v>7.8</v>
      </c>
      <c r="I375" t="str" cm="1">
        <f t="array" ref="I375">_xlfn.IFS(H375&lt;4,"poor",H375&lt;7,"average",H375&lt;9,"good",TRUE,"excellent")</f>
        <v>good</v>
      </c>
      <c r="J375" t="s">
        <v>1018</v>
      </c>
      <c r="K375" t="str">
        <f t="shared" si="41"/>
        <v>Eng</v>
      </c>
      <c r="L375">
        <v>1987</v>
      </c>
      <c r="M375" t="str">
        <f t="shared" si="42"/>
        <v>87</v>
      </c>
      <c r="N375" t="s">
        <v>1021</v>
      </c>
      <c r="O375" s="2">
        <v>45332</v>
      </c>
      <c r="Q375">
        <f t="shared" si="43"/>
        <v>5</v>
      </c>
      <c r="R375">
        <f t="shared" si="44"/>
        <v>16578</v>
      </c>
      <c r="U375" t="str">
        <f t="shared" si="45"/>
        <v>long</v>
      </c>
      <c r="V375" s="4">
        <f t="shared" ca="1" si="46"/>
        <v>45973.174535995371</v>
      </c>
    </row>
    <row r="376" spans="1:22" x14ac:dyDescent="0.25">
      <c r="A376" t="s">
        <v>382</v>
      </c>
      <c r="B376" t="s">
        <v>882</v>
      </c>
      <c r="C376">
        <f t="shared" si="40"/>
        <v>9</v>
      </c>
      <c r="D376" t="str">
        <f t="shared" si="47"/>
        <v>M1374 Movie_374</v>
      </c>
      <c r="E376" t="s">
        <v>1011</v>
      </c>
      <c r="F376" t="str">
        <f>TRIM(Table1[[#This Row],[Genre]])</f>
        <v>Comedy</v>
      </c>
      <c r="G376">
        <v>138</v>
      </c>
      <c r="H376">
        <v>2</v>
      </c>
      <c r="I376" t="str" cm="1">
        <f t="array" ref="I376">_xlfn.IFS(H376&lt;4,"poor",H376&lt;7,"average",H376&lt;9,"good",TRUE,"excellent")</f>
        <v>poor</v>
      </c>
      <c r="J376" t="s">
        <v>1019</v>
      </c>
      <c r="K376" t="str">
        <f t="shared" si="41"/>
        <v>Ger</v>
      </c>
      <c r="L376">
        <v>2009</v>
      </c>
      <c r="M376" t="str">
        <f t="shared" si="42"/>
        <v>09</v>
      </c>
      <c r="N376" t="s">
        <v>1020</v>
      </c>
      <c r="O376" s="2">
        <v>44072</v>
      </c>
      <c r="Q376">
        <f t="shared" si="43"/>
        <v>5</v>
      </c>
      <c r="R376">
        <f t="shared" si="44"/>
        <v>16409</v>
      </c>
      <c r="U376" t="str">
        <f t="shared" si="45"/>
        <v>long</v>
      </c>
      <c r="V376" s="4">
        <f t="shared" ca="1" si="46"/>
        <v>45973.174535995371</v>
      </c>
    </row>
    <row r="377" spans="1:22" x14ac:dyDescent="0.25">
      <c r="A377" t="s">
        <v>383</v>
      </c>
      <c r="B377" t="s">
        <v>883</v>
      </c>
      <c r="C377">
        <f t="shared" si="40"/>
        <v>9</v>
      </c>
      <c r="D377" t="str">
        <f t="shared" si="47"/>
        <v>M1375 Movie_375</v>
      </c>
      <c r="E377" t="s">
        <v>1008</v>
      </c>
      <c r="F377" t="str">
        <f>TRIM(Table1[[#This Row],[Genre]])</f>
        <v>Horror</v>
      </c>
      <c r="G377">
        <v>75</v>
      </c>
      <c r="H377">
        <v>4.9000000000000004</v>
      </c>
      <c r="I377" t="str" cm="1">
        <f t="array" ref="I377">_xlfn.IFS(H377&lt;4,"poor",H377&lt;7,"average",H377&lt;9,"good",TRUE,"excellent")</f>
        <v>average</v>
      </c>
      <c r="J377" t="s">
        <v>1016</v>
      </c>
      <c r="K377" t="str">
        <f t="shared" si="41"/>
        <v>Spa</v>
      </c>
      <c r="L377">
        <v>1999</v>
      </c>
      <c r="M377" t="str">
        <f t="shared" si="42"/>
        <v>99</v>
      </c>
      <c r="N377" t="s">
        <v>1020</v>
      </c>
      <c r="O377" s="2">
        <v>45410</v>
      </c>
      <c r="Q377">
        <f t="shared" si="43"/>
        <v>5</v>
      </c>
      <c r="R377">
        <f t="shared" si="44"/>
        <v>16271</v>
      </c>
      <c r="U377" t="str">
        <f t="shared" si="45"/>
        <v>short</v>
      </c>
      <c r="V377" s="4">
        <f t="shared" ca="1" si="46"/>
        <v>45973.174535995371</v>
      </c>
    </row>
    <row r="378" spans="1:22" x14ac:dyDescent="0.25">
      <c r="A378" t="s">
        <v>384</v>
      </c>
      <c r="B378" t="s">
        <v>884</v>
      </c>
      <c r="C378">
        <f t="shared" si="40"/>
        <v>9</v>
      </c>
      <c r="D378" t="str">
        <f t="shared" si="47"/>
        <v>M1376 Movie_376</v>
      </c>
      <c r="E378" t="s">
        <v>1008</v>
      </c>
      <c r="F378" t="str">
        <f>TRIM(Table1[[#This Row],[Genre]])</f>
        <v>Horror</v>
      </c>
      <c r="G378">
        <v>85</v>
      </c>
      <c r="H378">
        <v>3.5</v>
      </c>
      <c r="I378" t="str" cm="1">
        <f t="array" ref="I378">_xlfn.IFS(H378&lt;4,"poor",H378&lt;7,"average",H378&lt;9,"good",TRUE,"excellent")</f>
        <v>poor</v>
      </c>
      <c r="J378" t="s">
        <v>1014</v>
      </c>
      <c r="K378" t="str">
        <f t="shared" si="41"/>
        <v>Jap</v>
      </c>
      <c r="L378">
        <v>1990</v>
      </c>
      <c r="M378" t="str">
        <f t="shared" si="42"/>
        <v>90</v>
      </c>
      <c r="N378" t="s">
        <v>1020</v>
      </c>
      <c r="O378" s="2">
        <v>43891</v>
      </c>
      <c r="Q378">
        <f t="shared" si="43"/>
        <v>5</v>
      </c>
      <c r="R378">
        <f t="shared" si="44"/>
        <v>16196</v>
      </c>
      <c r="U378" t="str">
        <f t="shared" si="45"/>
        <v>short</v>
      </c>
      <c r="V378" s="4">
        <f t="shared" ca="1" si="46"/>
        <v>45973.174535995371</v>
      </c>
    </row>
    <row r="379" spans="1:22" x14ac:dyDescent="0.25">
      <c r="A379" t="s">
        <v>385</v>
      </c>
      <c r="B379" t="s">
        <v>885</v>
      </c>
      <c r="C379">
        <f t="shared" si="40"/>
        <v>9</v>
      </c>
      <c r="D379" t="str">
        <f t="shared" si="47"/>
        <v>M1377 Movie_377</v>
      </c>
      <c r="E379" t="s">
        <v>1010</v>
      </c>
      <c r="F379" t="str">
        <f>TRIM(Table1[[#This Row],[Genre]])</f>
        <v>Drama</v>
      </c>
      <c r="G379">
        <v>113</v>
      </c>
      <c r="H379">
        <v>7.1</v>
      </c>
      <c r="I379" t="str" cm="1">
        <f t="array" ref="I379">_xlfn.IFS(H379&lt;4,"poor",H379&lt;7,"average",H379&lt;9,"good",TRUE,"excellent")</f>
        <v>good</v>
      </c>
      <c r="J379" t="s">
        <v>1019</v>
      </c>
      <c r="K379" t="str">
        <f t="shared" si="41"/>
        <v>Ger</v>
      </c>
      <c r="L379">
        <v>2005</v>
      </c>
      <c r="M379" t="str">
        <f t="shared" si="42"/>
        <v>05</v>
      </c>
      <c r="N379" t="s">
        <v>1021</v>
      </c>
      <c r="O379" s="2">
        <v>44517</v>
      </c>
      <c r="Q379">
        <f t="shared" si="43"/>
        <v>5</v>
      </c>
      <c r="R379">
        <f t="shared" si="44"/>
        <v>16111</v>
      </c>
      <c r="U379" t="str">
        <f t="shared" si="45"/>
        <v>short</v>
      </c>
      <c r="V379" s="4">
        <f t="shared" ca="1" si="46"/>
        <v>45973.174535995371</v>
      </c>
    </row>
    <row r="380" spans="1:22" x14ac:dyDescent="0.25">
      <c r="A380" t="s">
        <v>386</v>
      </c>
      <c r="B380" t="s">
        <v>886</v>
      </c>
      <c r="C380">
        <f t="shared" si="40"/>
        <v>9</v>
      </c>
      <c r="D380" t="str">
        <f t="shared" si="47"/>
        <v>M1378 Movie_378</v>
      </c>
      <c r="E380" t="s">
        <v>1011</v>
      </c>
      <c r="F380" t="str">
        <f>TRIM(Table1[[#This Row],[Genre]])</f>
        <v>Comedy</v>
      </c>
      <c r="G380">
        <v>114</v>
      </c>
      <c r="H380">
        <v>5.4</v>
      </c>
      <c r="I380" t="str" cm="1">
        <f t="array" ref="I380">_xlfn.IFS(H380&lt;4,"poor",H380&lt;7,"average",H380&lt;9,"good",TRUE,"excellent")</f>
        <v>average</v>
      </c>
      <c r="J380" t="s">
        <v>1018</v>
      </c>
      <c r="K380" t="str">
        <f t="shared" si="41"/>
        <v>Eng</v>
      </c>
      <c r="L380">
        <v>2023</v>
      </c>
      <c r="M380" t="str">
        <f t="shared" si="42"/>
        <v>23</v>
      </c>
      <c r="N380" t="s">
        <v>1021</v>
      </c>
      <c r="O380" s="2">
        <v>45483</v>
      </c>
      <c r="Q380">
        <f t="shared" si="43"/>
        <v>5</v>
      </c>
      <c r="R380">
        <f t="shared" si="44"/>
        <v>15998</v>
      </c>
      <c r="U380" t="str">
        <f t="shared" si="45"/>
        <v>short</v>
      </c>
      <c r="V380" s="4">
        <f t="shared" ca="1" si="46"/>
        <v>45973.174535995371</v>
      </c>
    </row>
    <row r="381" spans="1:22" x14ac:dyDescent="0.25">
      <c r="A381" t="s">
        <v>387</v>
      </c>
      <c r="B381" t="s">
        <v>887</v>
      </c>
      <c r="C381">
        <f t="shared" si="40"/>
        <v>9</v>
      </c>
      <c r="D381" t="str">
        <f t="shared" si="47"/>
        <v>M1379 Movie_379</v>
      </c>
      <c r="E381" t="s">
        <v>1010</v>
      </c>
      <c r="F381" t="str">
        <f>TRIM(Table1[[#This Row],[Genre]])</f>
        <v>Drama</v>
      </c>
      <c r="G381">
        <v>127</v>
      </c>
      <c r="H381">
        <v>7</v>
      </c>
      <c r="I381" t="str" cm="1">
        <f t="array" ref="I381">_xlfn.IFS(H381&lt;4,"poor",H381&lt;7,"average",H381&lt;9,"good",TRUE,"excellent")</f>
        <v>good</v>
      </c>
      <c r="J381" t="s">
        <v>1014</v>
      </c>
      <c r="K381" t="str">
        <f t="shared" si="41"/>
        <v>Jap</v>
      </c>
      <c r="L381">
        <v>2012</v>
      </c>
      <c r="M381" t="str">
        <f t="shared" si="42"/>
        <v>12</v>
      </c>
      <c r="N381" t="s">
        <v>1021</v>
      </c>
      <c r="O381" s="2">
        <v>44710</v>
      </c>
      <c r="Q381">
        <f t="shared" si="43"/>
        <v>5</v>
      </c>
      <c r="R381">
        <f t="shared" si="44"/>
        <v>15884</v>
      </c>
      <c r="U381" t="str">
        <f t="shared" si="45"/>
        <v>long</v>
      </c>
      <c r="V381" s="4">
        <f t="shared" ca="1" si="46"/>
        <v>45973.174535995371</v>
      </c>
    </row>
    <row r="382" spans="1:22" x14ac:dyDescent="0.25">
      <c r="A382" t="s">
        <v>388</v>
      </c>
      <c r="B382" t="s">
        <v>888</v>
      </c>
      <c r="C382">
        <f t="shared" si="40"/>
        <v>9</v>
      </c>
      <c r="D382" t="str">
        <f t="shared" si="47"/>
        <v>M1380 Movie_380</v>
      </c>
      <c r="E382" t="s">
        <v>1013</v>
      </c>
      <c r="F382" t="str">
        <f>TRIM(Table1[[#This Row],[Genre]])</f>
        <v>Thriller</v>
      </c>
      <c r="G382">
        <v>80</v>
      </c>
      <c r="H382">
        <v>1.4</v>
      </c>
      <c r="I382" t="str" cm="1">
        <f t="array" ref="I382">_xlfn.IFS(H382&lt;4,"poor",H382&lt;7,"average",H382&lt;9,"good",TRUE,"excellent")</f>
        <v>poor</v>
      </c>
      <c r="J382" t="s">
        <v>1017</v>
      </c>
      <c r="K382" t="str">
        <f t="shared" si="41"/>
        <v>Fre</v>
      </c>
      <c r="L382">
        <v>2025</v>
      </c>
      <c r="M382" t="str">
        <f t="shared" si="42"/>
        <v>25</v>
      </c>
      <c r="N382" t="s">
        <v>1021</v>
      </c>
      <c r="O382" s="2">
        <v>44388</v>
      </c>
      <c r="Q382">
        <f t="shared" si="43"/>
        <v>5</v>
      </c>
      <c r="R382">
        <f t="shared" si="44"/>
        <v>15757</v>
      </c>
      <c r="U382" t="str">
        <f t="shared" si="45"/>
        <v>short</v>
      </c>
      <c r="V382" s="4">
        <f t="shared" ca="1" si="46"/>
        <v>45973.174535995371</v>
      </c>
    </row>
    <row r="383" spans="1:22" x14ac:dyDescent="0.25">
      <c r="A383" t="s">
        <v>389</v>
      </c>
      <c r="B383" t="s">
        <v>889</v>
      </c>
      <c r="C383">
        <f t="shared" si="40"/>
        <v>9</v>
      </c>
      <c r="D383" t="str">
        <f t="shared" si="47"/>
        <v>M1381 Movie_381</v>
      </c>
      <c r="E383" t="s">
        <v>1011</v>
      </c>
      <c r="F383" t="str">
        <f>TRIM(Table1[[#This Row],[Genre]])</f>
        <v>Comedy</v>
      </c>
      <c r="G383">
        <v>100</v>
      </c>
      <c r="H383">
        <v>4.5999999999999996</v>
      </c>
      <c r="I383" t="str" cm="1">
        <f t="array" ref="I383">_xlfn.IFS(H383&lt;4,"poor",H383&lt;7,"average",H383&lt;9,"good",TRUE,"excellent")</f>
        <v>average</v>
      </c>
      <c r="J383" t="s">
        <v>1014</v>
      </c>
      <c r="K383" t="str">
        <f t="shared" si="41"/>
        <v>Jap</v>
      </c>
      <c r="L383">
        <v>1999</v>
      </c>
      <c r="M383" t="str">
        <f t="shared" si="42"/>
        <v>99</v>
      </c>
      <c r="N383" t="s">
        <v>1020</v>
      </c>
      <c r="O383" s="2">
        <v>44903</v>
      </c>
      <c r="Q383">
        <f t="shared" si="43"/>
        <v>5</v>
      </c>
      <c r="R383">
        <f t="shared" si="44"/>
        <v>15677</v>
      </c>
      <c r="U383" t="str">
        <f t="shared" si="45"/>
        <v>short</v>
      </c>
      <c r="V383" s="4">
        <f t="shared" ca="1" si="46"/>
        <v>45973.174535995371</v>
      </c>
    </row>
    <row r="384" spans="1:22" x14ac:dyDescent="0.25">
      <c r="A384" t="s">
        <v>390</v>
      </c>
      <c r="B384" t="s">
        <v>890</v>
      </c>
      <c r="C384">
        <f t="shared" si="40"/>
        <v>9</v>
      </c>
      <c r="D384" t="str">
        <f t="shared" si="47"/>
        <v>M1382 Movie_382</v>
      </c>
      <c r="E384" t="s">
        <v>1008</v>
      </c>
      <c r="F384" t="str">
        <f>TRIM(Table1[[#This Row],[Genre]])</f>
        <v>Horror</v>
      </c>
      <c r="G384">
        <v>121</v>
      </c>
      <c r="H384">
        <v>6.4</v>
      </c>
      <c r="I384" t="str" cm="1">
        <f t="array" ref="I384">_xlfn.IFS(H384&lt;4,"poor",H384&lt;7,"average",H384&lt;9,"good",TRUE,"excellent")</f>
        <v>average</v>
      </c>
      <c r="J384" t="s">
        <v>1017</v>
      </c>
      <c r="K384" t="str">
        <f t="shared" si="41"/>
        <v>Fre</v>
      </c>
      <c r="L384">
        <v>2024</v>
      </c>
      <c r="M384" t="str">
        <f t="shared" si="42"/>
        <v>24</v>
      </c>
      <c r="N384" t="s">
        <v>1021</v>
      </c>
      <c r="O384" s="2">
        <v>43961</v>
      </c>
      <c r="Q384">
        <f t="shared" si="43"/>
        <v>5</v>
      </c>
      <c r="R384">
        <f t="shared" si="44"/>
        <v>15577</v>
      </c>
      <c r="U384" t="str">
        <f t="shared" si="45"/>
        <v>long</v>
      </c>
      <c r="V384" s="4">
        <f t="shared" ca="1" si="46"/>
        <v>45973.174535995371</v>
      </c>
    </row>
    <row r="385" spans="1:22" x14ac:dyDescent="0.25">
      <c r="A385" t="s">
        <v>391</v>
      </c>
      <c r="B385" t="s">
        <v>891</v>
      </c>
      <c r="C385">
        <f t="shared" si="40"/>
        <v>9</v>
      </c>
      <c r="D385" t="str">
        <f t="shared" si="47"/>
        <v>M1383 Movie_383</v>
      </c>
      <c r="E385" t="s">
        <v>1008</v>
      </c>
      <c r="F385" t="str">
        <f>TRIM(Table1[[#This Row],[Genre]])</f>
        <v>Horror</v>
      </c>
      <c r="G385">
        <v>104</v>
      </c>
      <c r="H385">
        <v>1.1000000000000001</v>
      </c>
      <c r="I385" t="str" cm="1">
        <f t="array" ref="I385">_xlfn.IFS(H385&lt;4,"poor",H385&lt;7,"average",H385&lt;9,"good",TRUE,"excellent")</f>
        <v>poor</v>
      </c>
      <c r="J385" t="s">
        <v>1014</v>
      </c>
      <c r="K385" t="str">
        <f t="shared" si="41"/>
        <v>Jap</v>
      </c>
      <c r="L385">
        <v>1987</v>
      </c>
      <c r="M385" t="str">
        <f t="shared" si="42"/>
        <v>87</v>
      </c>
      <c r="N385" t="s">
        <v>1021</v>
      </c>
      <c r="O385" s="2">
        <v>44369</v>
      </c>
      <c r="Q385">
        <f t="shared" si="43"/>
        <v>5</v>
      </c>
      <c r="R385">
        <f t="shared" si="44"/>
        <v>15456</v>
      </c>
      <c r="U385" t="str">
        <f t="shared" si="45"/>
        <v>short</v>
      </c>
      <c r="V385" s="4">
        <f t="shared" ca="1" si="46"/>
        <v>45973.174535995371</v>
      </c>
    </row>
    <row r="386" spans="1:22" x14ac:dyDescent="0.25">
      <c r="A386" t="s">
        <v>392</v>
      </c>
      <c r="B386" t="s">
        <v>892</v>
      </c>
      <c r="C386">
        <f t="shared" ref="C386:C449" si="48">LEN(B386)</f>
        <v>9</v>
      </c>
      <c r="D386" t="str">
        <f t="shared" si="47"/>
        <v>M1384 Movie_384</v>
      </c>
      <c r="E386" t="s">
        <v>1010</v>
      </c>
      <c r="F386" t="str">
        <f>TRIM(Table1[[#This Row],[Genre]])</f>
        <v>Drama</v>
      </c>
      <c r="G386">
        <v>79</v>
      </c>
      <c r="H386">
        <v>3.7</v>
      </c>
      <c r="I386" t="str" cm="1">
        <f t="array" ref="I386">_xlfn.IFS(H386&lt;4,"poor",H386&lt;7,"average",H386&lt;9,"good",TRUE,"excellent")</f>
        <v>poor</v>
      </c>
      <c r="J386" t="s">
        <v>1018</v>
      </c>
      <c r="K386" t="str">
        <f t="shared" ref="K386:K449" si="49">LEFT(J386,3)</f>
        <v>Eng</v>
      </c>
      <c r="L386">
        <v>2020</v>
      </c>
      <c r="M386" t="str">
        <f t="shared" ref="M386:M449" si="50">RIGHT(L386,2)</f>
        <v>20</v>
      </c>
      <c r="N386" t="s">
        <v>1021</v>
      </c>
      <c r="O386" s="2">
        <v>45289</v>
      </c>
      <c r="Q386">
        <f t="shared" ref="Q386:Q449" si="51">COUNT(A386:O386)</f>
        <v>5</v>
      </c>
      <c r="R386">
        <f t="shared" ref="R386:R449" si="52">SUM(G386:G885)</f>
        <v>15352</v>
      </c>
      <c r="U386" t="str">
        <f t="shared" ref="U386:U449" si="53">IF(G386&gt;120,"long","short")</f>
        <v>short</v>
      </c>
      <c r="V386" s="4">
        <f t="shared" ref="V386:V449" ca="1" si="54">NOW()</f>
        <v>45973.174535995371</v>
      </c>
    </row>
    <row r="387" spans="1:22" x14ac:dyDescent="0.25">
      <c r="A387" t="s">
        <v>393</v>
      </c>
      <c r="B387" t="s">
        <v>893</v>
      </c>
      <c r="C387">
        <f t="shared" si="48"/>
        <v>9</v>
      </c>
      <c r="D387" t="str">
        <f t="shared" ref="D387:D450" si="55">CONCATENATE(A387," ",B387)</f>
        <v>M1385 Movie_385</v>
      </c>
      <c r="E387" t="s">
        <v>1013</v>
      </c>
      <c r="F387" t="str">
        <f>TRIM(Table1[[#This Row],[Genre]])</f>
        <v>Thriller</v>
      </c>
      <c r="G387">
        <v>100</v>
      </c>
      <c r="H387">
        <v>2.9</v>
      </c>
      <c r="I387" t="str" cm="1">
        <f t="array" ref="I387">_xlfn.IFS(H387&lt;4,"poor",H387&lt;7,"average",H387&lt;9,"good",TRUE,"excellent")</f>
        <v>poor</v>
      </c>
      <c r="J387" t="s">
        <v>1015</v>
      </c>
      <c r="K387" t="str">
        <f t="shared" si="49"/>
        <v>Hin</v>
      </c>
      <c r="L387">
        <v>1998</v>
      </c>
      <c r="M387" t="str">
        <f t="shared" si="50"/>
        <v>98</v>
      </c>
      <c r="N387" t="s">
        <v>1020</v>
      </c>
      <c r="O387" s="2">
        <v>45011</v>
      </c>
      <c r="Q387">
        <f t="shared" si="51"/>
        <v>5</v>
      </c>
      <c r="R387">
        <f t="shared" si="52"/>
        <v>15273</v>
      </c>
      <c r="U387" t="str">
        <f t="shared" si="53"/>
        <v>short</v>
      </c>
      <c r="V387" s="4">
        <f t="shared" ca="1" si="54"/>
        <v>45973.174535995371</v>
      </c>
    </row>
    <row r="388" spans="1:22" x14ac:dyDescent="0.25">
      <c r="A388" t="s">
        <v>394</v>
      </c>
      <c r="B388" t="s">
        <v>894</v>
      </c>
      <c r="C388">
        <f t="shared" si="48"/>
        <v>9</v>
      </c>
      <c r="D388" t="str">
        <f t="shared" si="55"/>
        <v>M1386 Movie_386</v>
      </c>
      <c r="E388" t="s">
        <v>1010</v>
      </c>
      <c r="F388" t="str">
        <f>TRIM(Table1[[#This Row],[Genre]])</f>
        <v>Drama</v>
      </c>
      <c r="G388">
        <v>60</v>
      </c>
      <c r="H388">
        <v>2.2000000000000002</v>
      </c>
      <c r="I388" t="str" cm="1">
        <f t="array" ref="I388">_xlfn.IFS(H388&lt;4,"poor",H388&lt;7,"average",H388&lt;9,"good",TRUE,"excellent")</f>
        <v>poor</v>
      </c>
      <c r="J388" t="s">
        <v>1015</v>
      </c>
      <c r="K388" t="str">
        <f t="shared" si="49"/>
        <v>Hin</v>
      </c>
      <c r="L388">
        <v>2003</v>
      </c>
      <c r="M388" t="str">
        <f t="shared" si="50"/>
        <v>03</v>
      </c>
      <c r="N388" t="s">
        <v>1021</v>
      </c>
      <c r="O388" s="2">
        <v>45116</v>
      </c>
      <c r="Q388">
        <f t="shared" si="51"/>
        <v>5</v>
      </c>
      <c r="R388">
        <f t="shared" si="52"/>
        <v>15173</v>
      </c>
      <c r="U388" t="str">
        <f t="shared" si="53"/>
        <v>short</v>
      </c>
      <c r="V388" s="4">
        <f t="shared" ca="1" si="54"/>
        <v>45973.174535995371</v>
      </c>
    </row>
    <row r="389" spans="1:22" x14ac:dyDescent="0.25">
      <c r="A389" t="s">
        <v>395</v>
      </c>
      <c r="B389" t="s">
        <v>895</v>
      </c>
      <c r="C389">
        <f t="shared" si="48"/>
        <v>9</v>
      </c>
      <c r="D389" t="str">
        <f t="shared" si="55"/>
        <v>M1387 Movie_387</v>
      </c>
      <c r="E389" t="s">
        <v>1009</v>
      </c>
      <c r="F389" t="str">
        <f>TRIM(Table1[[#This Row],[Genre]])</f>
        <v>Action</v>
      </c>
      <c r="G389">
        <v>164</v>
      </c>
      <c r="H389">
        <v>3.3</v>
      </c>
      <c r="I389" t="str" cm="1">
        <f t="array" ref="I389">_xlfn.IFS(H389&lt;4,"poor",H389&lt;7,"average",H389&lt;9,"good",TRUE,"excellent")</f>
        <v>poor</v>
      </c>
      <c r="J389" t="s">
        <v>1017</v>
      </c>
      <c r="K389" t="str">
        <f t="shared" si="49"/>
        <v>Fre</v>
      </c>
      <c r="L389">
        <v>2019</v>
      </c>
      <c r="M389" t="str">
        <f t="shared" si="50"/>
        <v>19</v>
      </c>
      <c r="N389" t="s">
        <v>1021</v>
      </c>
      <c r="O389" s="2">
        <v>43988</v>
      </c>
      <c r="Q389">
        <f t="shared" si="51"/>
        <v>5</v>
      </c>
      <c r="R389">
        <f t="shared" si="52"/>
        <v>15113</v>
      </c>
      <c r="U389" t="str">
        <f t="shared" si="53"/>
        <v>long</v>
      </c>
      <c r="V389" s="4">
        <f t="shared" ca="1" si="54"/>
        <v>45973.174535995371</v>
      </c>
    </row>
    <row r="390" spans="1:22" x14ac:dyDescent="0.25">
      <c r="A390" t="s">
        <v>396</v>
      </c>
      <c r="B390" t="s">
        <v>896</v>
      </c>
      <c r="C390">
        <f t="shared" si="48"/>
        <v>9</v>
      </c>
      <c r="D390" t="str">
        <f t="shared" si="55"/>
        <v>M1388 Movie_388</v>
      </c>
      <c r="E390" t="s">
        <v>1009</v>
      </c>
      <c r="F390" t="str">
        <f>TRIM(Table1[[#This Row],[Genre]])</f>
        <v>Action</v>
      </c>
      <c r="G390">
        <v>175</v>
      </c>
      <c r="H390">
        <v>4</v>
      </c>
      <c r="I390" t="str" cm="1">
        <f t="array" ref="I390">_xlfn.IFS(H390&lt;4,"poor",H390&lt;7,"average",H390&lt;9,"good",TRUE,"excellent")</f>
        <v>average</v>
      </c>
      <c r="J390" t="s">
        <v>1017</v>
      </c>
      <c r="K390" t="str">
        <f t="shared" si="49"/>
        <v>Fre</v>
      </c>
      <c r="L390">
        <v>1994</v>
      </c>
      <c r="M390" t="str">
        <f t="shared" si="50"/>
        <v>94</v>
      </c>
      <c r="N390" t="s">
        <v>1021</v>
      </c>
      <c r="O390" s="2">
        <v>44847</v>
      </c>
      <c r="Q390">
        <f t="shared" si="51"/>
        <v>5</v>
      </c>
      <c r="R390">
        <f t="shared" si="52"/>
        <v>14949</v>
      </c>
      <c r="U390" t="str">
        <f t="shared" si="53"/>
        <v>long</v>
      </c>
      <c r="V390" s="4">
        <f t="shared" ca="1" si="54"/>
        <v>45973.174535995371</v>
      </c>
    </row>
    <row r="391" spans="1:22" x14ac:dyDescent="0.25">
      <c r="A391" t="s">
        <v>397</v>
      </c>
      <c r="B391" t="s">
        <v>897</v>
      </c>
      <c r="C391">
        <f t="shared" si="48"/>
        <v>9</v>
      </c>
      <c r="D391" t="str">
        <f t="shared" si="55"/>
        <v>M1389 Movie_389</v>
      </c>
      <c r="E391" t="s">
        <v>1013</v>
      </c>
      <c r="F391" t="str">
        <f>TRIM(Table1[[#This Row],[Genre]])</f>
        <v>Thriller</v>
      </c>
      <c r="G391">
        <v>180</v>
      </c>
      <c r="H391">
        <v>1.1000000000000001</v>
      </c>
      <c r="I391" t="str" cm="1">
        <f t="array" ref="I391">_xlfn.IFS(H391&lt;4,"poor",H391&lt;7,"average",H391&lt;9,"good",TRUE,"excellent")</f>
        <v>poor</v>
      </c>
      <c r="J391" t="s">
        <v>1016</v>
      </c>
      <c r="K391" t="str">
        <f t="shared" si="49"/>
        <v>Spa</v>
      </c>
      <c r="L391">
        <v>1994</v>
      </c>
      <c r="M391" t="str">
        <f t="shared" si="50"/>
        <v>94</v>
      </c>
      <c r="N391" t="s">
        <v>1020</v>
      </c>
      <c r="O391" s="2">
        <v>44763</v>
      </c>
      <c r="Q391">
        <f t="shared" si="51"/>
        <v>5</v>
      </c>
      <c r="R391">
        <f t="shared" si="52"/>
        <v>14774</v>
      </c>
      <c r="U391" t="str">
        <f t="shared" si="53"/>
        <v>long</v>
      </c>
      <c r="V391" s="4">
        <f t="shared" ca="1" si="54"/>
        <v>45973.174535995371</v>
      </c>
    </row>
    <row r="392" spans="1:22" x14ac:dyDescent="0.25">
      <c r="A392" t="s">
        <v>398</v>
      </c>
      <c r="B392" t="s">
        <v>898</v>
      </c>
      <c r="C392">
        <f t="shared" si="48"/>
        <v>9</v>
      </c>
      <c r="D392" t="str">
        <f t="shared" si="55"/>
        <v>M1390 Movie_390</v>
      </c>
      <c r="E392" t="s">
        <v>1012</v>
      </c>
      <c r="F392" t="str">
        <f>TRIM(Table1[[#This Row],[Genre]])</f>
        <v>Sci-Fi</v>
      </c>
      <c r="G392">
        <v>134</v>
      </c>
      <c r="H392">
        <v>7.7</v>
      </c>
      <c r="I392" t="str" cm="1">
        <f t="array" ref="I392">_xlfn.IFS(H392&lt;4,"poor",H392&lt;7,"average",H392&lt;9,"good",TRUE,"excellent")</f>
        <v>good</v>
      </c>
      <c r="J392" t="s">
        <v>1014</v>
      </c>
      <c r="K392" t="str">
        <f t="shared" si="49"/>
        <v>Jap</v>
      </c>
      <c r="L392">
        <v>1988</v>
      </c>
      <c r="M392" t="str">
        <f t="shared" si="50"/>
        <v>88</v>
      </c>
      <c r="N392" t="s">
        <v>1021</v>
      </c>
      <c r="O392" s="2">
        <v>44877</v>
      </c>
      <c r="Q392">
        <f t="shared" si="51"/>
        <v>5</v>
      </c>
      <c r="R392">
        <f t="shared" si="52"/>
        <v>14594</v>
      </c>
      <c r="U392" t="str">
        <f t="shared" si="53"/>
        <v>long</v>
      </c>
      <c r="V392" s="4">
        <f t="shared" ca="1" si="54"/>
        <v>45973.174535995371</v>
      </c>
    </row>
    <row r="393" spans="1:22" x14ac:dyDescent="0.25">
      <c r="A393" t="s">
        <v>399</v>
      </c>
      <c r="B393" t="s">
        <v>899</v>
      </c>
      <c r="C393">
        <f t="shared" si="48"/>
        <v>9</v>
      </c>
      <c r="D393" t="str">
        <f t="shared" si="55"/>
        <v>M1391 Movie_391</v>
      </c>
      <c r="E393" t="s">
        <v>1012</v>
      </c>
      <c r="F393" t="str">
        <f>TRIM(Table1[[#This Row],[Genre]])</f>
        <v>Sci-Fi</v>
      </c>
      <c r="G393">
        <v>68</v>
      </c>
      <c r="H393">
        <v>2.6</v>
      </c>
      <c r="I393" t="str" cm="1">
        <f t="array" ref="I393">_xlfn.IFS(H393&lt;4,"poor",H393&lt;7,"average",H393&lt;9,"good",TRUE,"excellent")</f>
        <v>poor</v>
      </c>
      <c r="J393" t="s">
        <v>1014</v>
      </c>
      <c r="K393" t="str">
        <f t="shared" si="49"/>
        <v>Jap</v>
      </c>
      <c r="L393">
        <v>2010</v>
      </c>
      <c r="M393" t="str">
        <f t="shared" si="50"/>
        <v>10</v>
      </c>
      <c r="N393" t="s">
        <v>1020</v>
      </c>
      <c r="O393" s="2">
        <v>44568</v>
      </c>
      <c r="Q393">
        <f t="shared" si="51"/>
        <v>5</v>
      </c>
      <c r="R393">
        <f t="shared" si="52"/>
        <v>14460</v>
      </c>
      <c r="U393" t="str">
        <f t="shared" si="53"/>
        <v>short</v>
      </c>
      <c r="V393" s="4">
        <f t="shared" ca="1" si="54"/>
        <v>45973.174535995371</v>
      </c>
    </row>
    <row r="394" spans="1:22" x14ac:dyDescent="0.25">
      <c r="A394" t="s">
        <v>400</v>
      </c>
      <c r="B394" t="s">
        <v>900</v>
      </c>
      <c r="C394">
        <f t="shared" si="48"/>
        <v>9</v>
      </c>
      <c r="D394" t="str">
        <f t="shared" si="55"/>
        <v>M1392 Movie_392</v>
      </c>
      <c r="E394" t="s">
        <v>1009</v>
      </c>
      <c r="F394" t="str">
        <f>TRIM(Table1[[#This Row],[Genre]])</f>
        <v>Action</v>
      </c>
      <c r="G394">
        <v>119</v>
      </c>
      <c r="H394">
        <v>4.4000000000000004</v>
      </c>
      <c r="I394" t="str" cm="1">
        <f t="array" ref="I394">_xlfn.IFS(H394&lt;4,"poor",H394&lt;7,"average",H394&lt;9,"good",TRUE,"excellent")</f>
        <v>average</v>
      </c>
      <c r="J394" t="s">
        <v>1014</v>
      </c>
      <c r="K394" t="str">
        <f t="shared" si="49"/>
        <v>Jap</v>
      </c>
      <c r="L394">
        <v>1989</v>
      </c>
      <c r="M394" t="str">
        <f t="shared" si="50"/>
        <v>89</v>
      </c>
      <c r="N394" t="s">
        <v>1020</v>
      </c>
      <c r="O394" s="2">
        <v>43944</v>
      </c>
      <c r="Q394">
        <f t="shared" si="51"/>
        <v>5</v>
      </c>
      <c r="R394">
        <f t="shared" si="52"/>
        <v>14392</v>
      </c>
      <c r="U394" t="str">
        <f t="shared" si="53"/>
        <v>short</v>
      </c>
      <c r="V394" s="4">
        <f t="shared" ca="1" si="54"/>
        <v>45973.174535995371</v>
      </c>
    </row>
    <row r="395" spans="1:22" x14ac:dyDescent="0.25">
      <c r="A395" t="s">
        <v>401</v>
      </c>
      <c r="B395" t="s">
        <v>901</v>
      </c>
      <c r="C395">
        <f t="shared" si="48"/>
        <v>9</v>
      </c>
      <c r="D395" t="str">
        <f t="shared" si="55"/>
        <v>M1393 Movie_393</v>
      </c>
      <c r="E395" t="s">
        <v>1009</v>
      </c>
      <c r="F395" t="str">
        <f>TRIM(Table1[[#This Row],[Genre]])</f>
        <v>Action</v>
      </c>
      <c r="G395">
        <v>133</v>
      </c>
      <c r="H395">
        <v>7.3</v>
      </c>
      <c r="I395" t="str" cm="1">
        <f t="array" ref="I395">_xlfn.IFS(H395&lt;4,"poor",H395&lt;7,"average",H395&lt;9,"good",TRUE,"excellent")</f>
        <v>good</v>
      </c>
      <c r="J395" t="s">
        <v>1014</v>
      </c>
      <c r="K395" t="str">
        <f t="shared" si="49"/>
        <v>Jap</v>
      </c>
      <c r="L395">
        <v>2009</v>
      </c>
      <c r="M395" t="str">
        <f t="shared" si="50"/>
        <v>09</v>
      </c>
      <c r="N395" t="s">
        <v>1020</v>
      </c>
      <c r="O395" s="2">
        <v>44854</v>
      </c>
      <c r="Q395">
        <f t="shared" si="51"/>
        <v>5</v>
      </c>
      <c r="R395">
        <f t="shared" si="52"/>
        <v>14273</v>
      </c>
      <c r="U395" t="str">
        <f t="shared" si="53"/>
        <v>long</v>
      </c>
      <c r="V395" s="4">
        <f t="shared" ca="1" si="54"/>
        <v>45973.174535995371</v>
      </c>
    </row>
    <row r="396" spans="1:22" x14ac:dyDescent="0.25">
      <c r="A396" t="s">
        <v>402</v>
      </c>
      <c r="B396" t="s">
        <v>902</v>
      </c>
      <c r="C396">
        <f t="shared" si="48"/>
        <v>9</v>
      </c>
      <c r="D396" t="str">
        <f t="shared" si="55"/>
        <v>M1394 Movie_394</v>
      </c>
      <c r="E396" t="s">
        <v>1012</v>
      </c>
      <c r="F396" t="str">
        <f>TRIM(Table1[[#This Row],[Genre]])</f>
        <v>Sci-Fi</v>
      </c>
      <c r="G396">
        <v>132</v>
      </c>
      <c r="H396">
        <v>5.5</v>
      </c>
      <c r="I396" t="str" cm="1">
        <f t="array" ref="I396">_xlfn.IFS(H396&lt;4,"poor",H396&lt;7,"average",H396&lt;9,"good",TRUE,"excellent")</f>
        <v>average</v>
      </c>
      <c r="J396" t="s">
        <v>1016</v>
      </c>
      <c r="K396" t="str">
        <f t="shared" si="49"/>
        <v>Spa</v>
      </c>
      <c r="L396">
        <v>2018</v>
      </c>
      <c r="M396" t="str">
        <f t="shared" si="50"/>
        <v>18</v>
      </c>
      <c r="N396" t="s">
        <v>1021</v>
      </c>
      <c r="O396" s="2">
        <v>44991</v>
      </c>
      <c r="Q396">
        <f t="shared" si="51"/>
        <v>5</v>
      </c>
      <c r="R396">
        <f t="shared" si="52"/>
        <v>14140</v>
      </c>
      <c r="U396" t="str">
        <f t="shared" si="53"/>
        <v>long</v>
      </c>
      <c r="V396" s="4">
        <f t="shared" ca="1" si="54"/>
        <v>45973.174535995371</v>
      </c>
    </row>
    <row r="397" spans="1:22" x14ac:dyDescent="0.25">
      <c r="A397" t="s">
        <v>403</v>
      </c>
      <c r="B397" t="s">
        <v>903</v>
      </c>
      <c r="C397">
        <f t="shared" si="48"/>
        <v>9</v>
      </c>
      <c r="D397" t="str">
        <f t="shared" si="55"/>
        <v>M1395 Movie_395</v>
      </c>
      <c r="E397" t="s">
        <v>1011</v>
      </c>
      <c r="F397" t="str">
        <f>TRIM(Table1[[#This Row],[Genre]])</f>
        <v>Comedy</v>
      </c>
      <c r="G397">
        <v>176</v>
      </c>
      <c r="H397">
        <v>8.5</v>
      </c>
      <c r="I397" t="str" cm="1">
        <f t="array" ref="I397">_xlfn.IFS(H397&lt;4,"poor",H397&lt;7,"average",H397&lt;9,"good",TRUE,"excellent")</f>
        <v>good</v>
      </c>
      <c r="J397" t="s">
        <v>1017</v>
      </c>
      <c r="K397" t="str">
        <f t="shared" si="49"/>
        <v>Fre</v>
      </c>
      <c r="L397">
        <v>2003</v>
      </c>
      <c r="M397" t="str">
        <f t="shared" si="50"/>
        <v>03</v>
      </c>
      <c r="N397" t="s">
        <v>1020</v>
      </c>
      <c r="O397" s="2">
        <v>44172</v>
      </c>
      <c r="Q397">
        <f t="shared" si="51"/>
        <v>5</v>
      </c>
      <c r="R397">
        <f t="shared" si="52"/>
        <v>14008</v>
      </c>
      <c r="U397" t="str">
        <f t="shared" si="53"/>
        <v>long</v>
      </c>
      <c r="V397" s="4">
        <f t="shared" ca="1" si="54"/>
        <v>45973.174535995371</v>
      </c>
    </row>
    <row r="398" spans="1:22" x14ac:dyDescent="0.25">
      <c r="A398" t="s">
        <v>404</v>
      </c>
      <c r="B398" t="s">
        <v>904</v>
      </c>
      <c r="C398">
        <f t="shared" si="48"/>
        <v>9</v>
      </c>
      <c r="D398" t="str">
        <f t="shared" si="55"/>
        <v>M1396 Movie_396</v>
      </c>
      <c r="E398" t="s">
        <v>1012</v>
      </c>
      <c r="F398" t="str">
        <f>TRIM(Table1[[#This Row],[Genre]])</f>
        <v>Sci-Fi</v>
      </c>
      <c r="G398">
        <v>78</v>
      </c>
      <c r="H398">
        <v>8.3000000000000007</v>
      </c>
      <c r="I398" t="str" cm="1">
        <f t="array" ref="I398">_xlfn.IFS(H398&lt;4,"poor",H398&lt;7,"average",H398&lt;9,"good",TRUE,"excellent")</f>
        <v>good</v>
      </c>
      <c r="J398" t="s">
        <v>1015</v>
      </c>
      <c r="K398" t="str">
        <f t="shared" si="49"/>
        <v>Hin</v>
      </c>
      <c r="L398">
        <v>2006</v>
      </c>
      <c r="M398" t="str">
        <f t="shared" si="50"/>
        <v>06</v>
      </c>
      <c r="N398" t="s">
        <v>1020</v>
      </c>
      <c r="O398" s="2">
        <v>44584</v>
      </c>
      <c r="Q398">
        <f t="shared" si="51"/>
        <v>5</v>
      </c>
      <c r="R398">
        <f t="shared" si="52"/>
        <v>13832</v>
      </c>
      <c r="U398" t="str">
        <f t="shared" si="53"/>
        <v>short</v>
      </c>
      <c r="V398" s="4">
        <f t="shared" ca="1" si="54"/>
        <v>45973.174535995371</v>
      </c>
    </row>
    <row r="399" spans="1:22" x14ac:dyDescent="0.25">
      <c r="A399" t="s">
        <v>405</v>
      </c>
      <c r="B399" t="s">
        <v>905</v>
      </c>
      <c r="C399">
        <f t="shared" si="48"/>
        <v>9</v>
      </c>
      <c r="D399" t="str">
        <f t="shared" si="55"/>
        <v>M1397 Movie_397</v>
      </c>
      <c r="E399" t="s">
        <v>1010</v>
      </c>
      <c r="F399" t="str">
        <f>TRIM(Table1[[#This Row],[Genre]])</f>
        <v>Drama</v>
      </c>
      <c r="G399">
        <v>119</v>
      </c>
      <c r="H399">
        <v>1.6</v>
      </c>
      <c r="I399" t="str" cm="1">
        <f t="array" ref="I399">_xlfn.IFS(H399&lt;4,"poor",H399&lt;7,"average",H399&lt;9,"good",TRUE,"excellent")</f>
        <v>poor</v>
      </c>
      <c r="J399" t="s">
        <v>1016</v>
      </c>
      <c r="K399" t="str">
        <f t="shared" si="49"/>
        <v>Spa</v>
      </c>
      <c r="L399">
        <v>2024</v>
      </c>
      <c r="M399" t="str">
        <f t="shared" si="50"/>
        <v>24</v>
      </c>
      <c r="N399" t="s">
        <v>1020</v>
      </c>
      <c r="O399" s="2">
        <v>44153</v>
      </c>
      <c r="Q399">
        <f t="shared" si="51"/>
        <v>5</v>
      </c>
      <c r="R399">
        <f t="shared" si="52"/>
        <v>13754</v>
      </c>
      <c r="U399" t="str">
        <f t="shared" si="53"/>
        <v>short</v>
      </c>
      <c r="V399" s="4">
        <f t="shared" ca="1" si="54"/>
        <v>45973.174535995371</v>
      </c>
    </row>
    <row r="400" spans="1:22" x14ac:dyDescent="0.25">
      <c r="A400" t="s">
        <v>406</v>
      </c>
      <c r="B400" t="s">
        <v>906</v>
      </c>
      <c r="C400">
        <f t="shared" si="48"/>
        <v>9</v>
      </c>
      <c r="D400" t="str">
        <f t="shared" si="55"/>
        <v>M1398 Movie_398</v>
      </c>
      <c r="E400" t="s">
        <v>1011</v>
      </c>
      <c r="F400" t="str">
        <f>TRIM(Table1[[#This Row],[Genre]])</f>
        <v>Comedy</v>
      </c>
      <c r="G400">
        <v>127</v>
      </c>
      <c r="H400">
        <v>8.8000000000000007</v>
      </c>
      <c r="I400" t="str" cm="1">
        <f t="array" ref="I400">_xlfn.IFS(H400&lt;4,"poor",H400&lt;7,"average",H400&lt;9,"good",TRUE,"excellent")</f>
        <v>good</v>
      </c>
      <c r="J400" t="s">
        <v>1018</v>
      </c>
      <c r="K400" t="str">
        <f t="shared" si="49"/>
        <v>Eng</v>
      </c>
      <c r="L400">
        <v>2015</v>
      </c>
      <c r="M400" t="str">
        <f t="shared" si="50"/>
        <v>15</v>
      </c>
      <c r="N400" t="s">
        <v>1020</v>
      </c>
      <c r="O400" s="2">
        <v>44353</v>
      </c>
      <c r="Q400">
        <f t="shared" si="51"/>
        <v>5</v>
      </c>
      <c r="R400">
        <f t="shared" si="52"/>
        <v>13635</v>
      </c>
      <c r="U400" t="str">
        <f t="shared" si="53"/>
        <v>long</v>
      </c>
      <c r="V400" s="4">
        <f t="shared" ca="1" si="54"/>
        <v>45973.174535995371</v>
      </c>
    </row>
    <row r="401" spans="1:22" x14ac:dyDescent="0.25">
      <c r="A401" t="s">
        <v>407</v>
      </c>
      <c r="B401" t="s">
        <v>907</v>
      </c>
      <c r="C401">
        <f t="shared" si="48"/>
        <v>9</v>
      </c>
      <c r="D401" t="str">
        <f t="shared" si="55"/>
        <v>M1399 Movie_399</v>
      </c>
      <c r="E401" t="s">
        <v>1010</v>
      </c>
      <c r="F401" t="str">
        <f>TRIM(Table1[[#This Row],[Genre]])</f>
        <v>Drama</v>
      </c>
      <c r="G401">
        <v>110</v>
      </c>
      <c r="H401">
        <v>1.4</v>
      </c>
      <c r="I401" t="str" cm="1">
        <f t="array" ref="I401">_xlfn.IFS(H401&lt;4,"poor",H401&lt;7,"average",H401&lt;9,"good",TRUE,"excellent")</f>
        <v>poor</v>
      </c>
      <c r="J401" t="s">
        <v>1016</v>
      </c>
      <c r="K401" t="str">
        <f t="shared" si="49"/>
        <v>Spa</v>
      </c>
      <c r="L401">
        <v>2010</v>
      </c>
      <c r="M401" t="str">
        <f t="shared" si="50"/>
        <v>10</v>
      </c>
      <c r="N401" t="s">
        <v>1020</v>
      </c>
      <c r="O401" s="2">
        <v>45414</v>
      </c>
      <c r="Q401">
        <f t="shared" si="51"/>
        <v>5</v>
      </c>
      <c r="R401">
        <f t="shared" si="52"/>
        <v>13508</v>
      </c>
      <c r="U401" t="str">
        <f t="shared" si="53"/>
        <v>short</v>
      </c>
      <c r="V401" s="4">
        <f t="shared" ca="1" si="54"/>
        <v>45973.174535995371</v>
      </c>
    </row>
    <row r="402" spans="1:22" x14ac:dyDescent="0.25">
      <c r="A402" t="s">
        <v>408</v>
      </c>
      <c r="B402" t="s">
        <v>908</v>
      </c>
      <c r="C402">
        <f t="shared" si="48"/>
        <v>9</v>
      </c>
      <c r="D402" t="str">
        <f t="shared" si="55"/>
        <v>M1400 Movie_400</v>
      </c>
      <c r="E402" t="s">
        <v>1009</v>
      </c>
      <c r="F402" t="str">
        <f>TRIM(Table1[[#This Row],[Genre]])</f>
        <v>Action</v>
      </c>
      <c r="G402">
        <v>168</v>
      </c>
      <c r="H402">
        <v>1.2</v>
      </c>
      <c r="I402" t="str" cm="1">
        <f t="array" ref="I402">_xlfn.IFS(H402&lt;4,"poor",H402&lt;7,"average",H402&lt;9,"good",TRUE,"excellent")</f>
        <v>poor</v>
      </c>
      <c r="J402" t="s">
        <v>1016</v>
      </c>
      <c r="K402" t="str">
        <f t="shared" si="49"/>
        <v>Spa</v>
      </c>
      <c r="L402">
        <v>2014</v>
      </c>
      <c r="M402" t="str">
        <f t="shared" si="50"/>
        <v>14</v>
      </c>
      <c r="N402" t="s">
        <v>1021</v>
      </c>
      <c r="O402" s="2">
        <v>44041</v>
      </c>
      <c r="Q402">
        <f t="shared" si="51"/>
        <v>5</v>
      </c>
      <c r="R402">
        <f t="shared" si="52"/>
        <v>13398</v>
      </c>
      <c r="U402" t="str">
        <f t="shared" si="53"/>
        <v>long</v>
      </c>
      <c r="V402" s="4">
        <f t="shared" ca="1" si="54"/>
        <v>45973.174535995371</v>
      </c>
    </row>
    <row r="403" spans="1:22" x14ac:dyDescent="0.25">
      <c r="A403" t="s">
        <v>409</v>
      </c>
      <c r="B403" t="s">
        <v>909</v>
      </c>
      <c r="C403">
        <f t="shared" si="48"/>
        <v>9</v>
      </c>
      <c r="D403" t="str">
        <f t="shared" si="55"/>
        <v>M1401 Movie_401</v>
      </c>
      <c r="E403" t="s">
        <v>1011</v>
      </c>
      <c r="F403" t="str">
        <f>TRIM(Table1[[#This Row],[Genre]])</f>
        <v>Comedy</v>
      </c>
      <c r="G403">
        <v>89</v>
      </c>
      <c r="H403">
        <v>9.3000000000000007</v>
      </c>
      <c r="I403" t="str" cm="1">
        <f t="array" ref="I403">_xlfn.IFS(H403&lt;4,"poor",H403&lt;7,"average",H403&lt;9,"good",TRUE,"excellent")</f>
        <v>excellent</v>
      </c>
      <c r="J403" t="s">
        <v>1016</v>
      </c>
      <c r="K403" t="str">
        <f t="shared" si="49"/>
        <v>Spa</v>
      </c>
      <c r="L403">
        <v>2022</v>
      </c>
      <c r="M403" t="str">
        <f t="shared" si="50"/>
        <v>22</v>
      </c>
      <c r="N403" t="s">
        <v>1021</v>
      </c>
      <c r="O403" s="2">
        <v>45006</v>
      </c>
      <c r="Q403">
        <f t="shared" si="51"/>
        <v>5</v>
      </c>
      <c r="R403">
        <f t="shared" si="52"/>
        <v>13230</v>
      </c>
      <c r="U403" t="str">
        <f t="shared" si="53"/>
        <v>short</v>
      </c>
      <c r="V403" s="4">
        <f t="shared" ca="1" si="54"/>
        <v>45973.174535995371</v>
      </c>
    </row>
    <row r="404" spans="1:22" x14ac:dyDescent="0.25">
      <c r="A404" t="s">
        <v>410</v>
      </c>
      <c r="B404" t="s">
        <v>910</v>
      </c>
      <c r="C404">
        <f t="shared" si="48"/>
        <v>9</v>
      </c>
      <c r="D404" t="str">
        <f t="shared" si="55"/>
        <v>M1402 Movie_402</v>
      </c>
      <c r="E404" t="s">
        <v>1010</v>
      </c>
      <c r="F404" t="str">
        <f>TRIM(Table1[[#This Row],[Genre]])</f>
        <v>Drama</v>
      </c>
      <c r="G404">
        <v>199</v>
      </c>
      <c r="H404">
        <v>8.8000000000000007</v>
      </c>
      <c r="I404" t="str" cm="1">
        <f t="array" ref="I404">_xlfn.IFS(H404&lt;4,"poor",H404&lt;7,"average",H404&lt;9,"good",TRUE,"excellent")</f>
        <v>good</v>
      </c>
      <c r="J404" t="s">
        <v>1019</v>
      </c>
      <c r="K404" t="str">
        <f t="shared" si="49"/>
        <v>Ger</v>
      </c>
      <c r="L404">
        <v>1993</v>
      </c>
      <c r="M404" t="str">
        <f t="shared" si="50"/>
        <v>93</v>
      </c>
      <c r="N404" t="s">
        <v>1021</v>
      </c>
      <c r="O404" s="2">
        <v>45211</v>
      </c>
      <c r="Q404">
        <f t="shared" si="51"/>
        <v>5</v>
      </c>
      <c r="R404">
        <f t="shared" si="52"/>
        <v>13141</v>
      </c>
      <c r="U404" t="str">
        <f t="shared" si="53"/>
        <v>long</v>
      </c>
      <c r="V404" s="4">
        <f t="shared" ca="1" si="54"/>
        <v>45973.174535995371</v>
      </c>
    </row>
    <row r="405" spans="1:22" x14ac:dyDescent="0.25">
      <c r="A405" t="s">
        <v>411</v>
      </c>
      <c r="B405" t="s">
        <v>911</v>
      </c>
      <c r="C405">
        <f t="shared" si="48"/>
        <v>9</v>
      </c>
      <c r="D405" t="str">
        <f t="shared" si="55"/>
        <v>M1403 Movie_403</v>
      </c>
      <c r="E405" t="s">
        <v>1010</v>
      </c>
      <c r="F405" t="str">
        <f>TRIM(Table1[[#This Row],[Genre]])</f>
        <v>Drama</v>
      </c>
      <c r="G405">
        <v>117</v>
      </c>
      <c r="H405">
        <v>6.2</v>
      </c>
      <c r="I405" t="str" cm="1">
        <f t="array" ref="I405">_xlfn.IFS(H405&lt;4,"poor",H405&lt;7,"average",H405&lt;9,"good",TRUE,"excellent")</f>
        <v>average</v>
      </c>
      <c r="J405" t="s">
        <v>1018</v>
      </c>
      <c r="K405" t="str">
        <f t="shared" si="49"/>
        <v>Eng</v>
      </c>
      <c r="L405">
        <v>1995</v>
      </c>
      <c r="M405" t="str">
        <f t="shared" si="50"/>
        <v>95</v>
      </c>
      <c r="N405" t="s">
        <v>1020</v>
      </c>
      <c r="O405" s="2">
        <v>45311</v>
      </c>
      <c r="Q405">
        <f t="shared" si="51"/>
        <v>5</v>
      </c>
      <c r="R405">
        <f t="shared" si="52"/>
        <v>12942</v>
      </c>
      <c r="U405" t="str">
        <f t="shared" si="53"/>
        <v>short</v>
      </c>
      <c r="V405" s="4">
        <f t="shared" ca="1" si="54"/>
        <v>45973.174535995371</v>
      </c>
    </row>
    <row r="406" spans="1:22" x14ac:dyDescent="0.25">
      <c r="A406" t="s">
        <v>412</v>
      </c>
      <c r="B406" t="s">
        <v>912</v>
      </c>
      <c r="C406">
        <f t="shared" si="48"/>
        <v>9</v>
      </c>
      <c r="D406" t="str">
        <f t="shared" si="55"/>
        <v>M1404 Movie_404</v>
      </c>
      <c r="E406" t="s">
        <v>1011</v>
      </c>
      <c r="F406" t="str">
        <f>TRIM(Table1[[#This Row],[Genre]])</f>
        <v>Comedy</v>
      </c>
      <c r="G406">
        <v>98</v>
      </c>
      <c r="H406">
        <v>6.2</v>
      </c>
      <c r="I406" t="str" cm="1">
        <f t="array" ref="I406">_xlfn.IFS(H406&lt;4,"poor",H406&lt;7,"average",H406&lt;9,"good",TRUE,"excellent")</f>
        <v>average</v>
      </c>
      <c r="J406" t="s">
        <v>1017</v>
      </c>
      <c r="K406" t="str">
        <f t="shared" si="49"/>
        <v>Fre</v>
      </c>
      <c r="L406">
        <v>2023</v>
      </c>
      <c r="M406" t="str">
        <f t="shared" si="50"/>
        <v>23</v>
      </c>
      <c r="N406" t="s">
        <v>1021</v>
      </c>
      <c r="O406" s="2">
        <v>44067</v>
      </c>
      <c r="Q406">
        <f t="shared" si="51"/>
        <v>5</v>
      </c>
      <c r="R406">
        <f t="shared" si="52"/>
        <v>12825</v>
      </c>
      <c r="U406" t="str">
        <f t="shared" si="53"/>
        <v>short</v>
      </c>
      <c r="V406" s="4">
        <f t="shared" ca="1" si="54"/>
        <v>45973.174535995371</v>
      </c>
    </row>
    <row r="407" spans="1:22" x14ac:dyDescent="0.25">
      <c r="A407" t="s">
        <v>413</v>
      </c>
      <c r="B407" t="s">
        <v>913</v>
      </c>
      <c r="C407">
        <f t="shared" si="48"/>
        <v>9</v>
      </c>
      <c r="D407" t="str">
        <f t="shared" si="55"/>
        <v>M1405 Movie_405</v>
      </c>
      <c r="E407" t="s">
        <v>1013</v>
      </c>
      <c r="F407" t="str">
        <f>TRIM(Table1[[#This Row],[Genre]])</f>
        <v>Thriller</v>
      </c>
      <c r="G407">
        <v>128</v>
      </c>
      <c r="H407">
        <v>7.4</v>
      </c>
      <c r="I407" t="str" cm="1">
        <f t="array" ref="I407">_xlfn.IFS(H407&lt;4,"poor",H407&lt;7,"average",H407&lt;9,"good",TRUE,"excellent")</f>
        <v>good</v>
      </c>
      <c r="J407" t="s">
        <v>1015</v>
      </c>
      <c r="K407" t="str">
        <f t="shared" si="49"/>
        <v>Hin</v>
      </c>
      <c r="L407">
        <v>2018</v>
      </c>
      <c r="M407" t="str">
        <f t="shared" si="50"/>
        <v>18</v>
      </c>
      <c r="N407" t="s">
        <v>1020</v>
      </c>
      <c r="O407" s="2">
        <v>44298</v>
      </c>
      <c r="Q407">
        <f t="shared" si="51"/>
        <v>5</v>
      </c>
      <c r="R407">
        <f t="shared" si="52"/>
        <v>12727</v>
      </c>
      <c r="U407" t="str">
        <f t="shared" si="53"/>
        <v>long</v>
      </c>
      <c r="V407" s="4">
        <f t="shared" ca="1" si="54"/>
        <v>45973.174535995371</v>
      </c>
    </row>
    <row r="408" spans="1:22" x14ac:dyDescent="0.25">
      <c r="A408" t="s">
        <v>414</v>
      </c>
      <c r="B408" t="s">
        <v>914</v>
      </c>
      <c r="C408">
        <f t="shared" si="48"/>
        <v>9</v>
      </c>
      <c r="D408" t="str">
        <f t="shared" si="55"/>
        <v>M1406 Movie_406</v>
      </c>
      <c r="E408" t="s">
        <v>1012</v>
      </c>
      <c r="F408" t="str">
        <f>TRIM(Table1[[#This Row],[Genre]])</f>
        <v>Sci-Fi</v>
      </c>
      <c r="G408">
        <v>96</v>
      </c>
      <c r="H408">
        <v>4.8</v>
      </c>
      <c r="I408" t="str" cm="1">
        <f t="array" ref="I408">_xlfn.IFS(H408&lt;4,"poor",H408&lt;7,"average",H408&lt;9,"good",TRUE,"excellent")</f>
        <v>average</v>
      </c>
      <c r="J408" t="s">
        <v>1015</v>
      </c>
      <c r="K408" t="str">
        <f t="shared" si="49"/>
        <v>Hin</v>
      </c>
      <c r="L408">
        <v>1985</v>
      </c>
      <c r="M408" t="str">
        <f t="shared" si="50"/>
        <v>85</v>
      </c>
      <c r="N408" t="s">
        <v>1020</v>
      </c>
      <c r="O408" s="2">
        <v>45348</v>
      </c>
      <c r="Q408">
        <f t="shared" si="51"/>
        <v>5</v>
      </c>
      <c r="R408">
        <f t="shared" si="52"/>
        <v>12599</v>
      </c>
      <c r="U408" t="str">
        <f t="shared" si="53"/>
        <v>short</v>
      </c>
      <c r="V408" s="4">
        <f t="shared" ca="1" si="54"/>
        <v>45973.174535995371</v>
      </c>
    </row>
    <row r="409" spans="1:22" x14ac:dyDescent="0.25">
      <c r="A409" t="s">
        <v>415</v>
      </c>
      <c r="B409" t="s">
        <v>915</v>
      </c>
      <c r="C409">
        <f t="shared" si="48"/>
        <v>9</v>
      </c>
      <c r="D409" t="str">
        <f t="shared" si="55"/>
        <v>M1407 Movie_407</v>
      </c>
      <c r="E409" t="s">
        <v>1008</v>
      </c>
      <c r="F409" t="str">
        <f>TRIM(Table1[[#This Row],[Genre]])</f>
        <v>Horror</v>
      </c>
      <c r="G409">
        <v>78</v>
      </c>
      <c r="H409">
        <v>2</v>
      </c>
      <c r="I409" t="str" cm="1">
        <f t="array" ref="I409">_xlfn.IFS(H409&lt;4,"poor",H409&lt;7,"average",H409&lt;9,"good",TRUE,"excellent")</f>
        <v>poor</v>
      </c>
      <c r="J409" t="s">
        <v>1017</v>
      </c>
      <c r="K409" t="str">
        <f t="shared" si="49"/>
        <v>Fre</v>
      </c>
      <c r="L409">
        <v>2013</v>
      </c>
      <c r="M409" t="str">
        <f t="shared" si="50"/>
        <v>13</v>
      </c>
      <c r="N409" t="s">
        <v>1021</v>
      </c>
      <c r="O409" s="2">
        <v>44873</v>
      </c>
      <c r="Q409">
        <f t="shared" si="51"/>
        <v>5</v>
      </c>
      <c r="R409">
        <f t="shared" si="52"/>
        <v>12503</v>
      </c>
      <c r="U409" t="str">
        <f t="shared" si="53"/>
        <v>short</v>
      </c>
      <c r="V409" s="4">
        <f t="shared" ca="1" si="54"/>
        <v>45973.174535995371</v>
      </c>
    </row>
    <row r="410" spans="1:22" x14ac:dyDescent="0.25">
      <c r="A410" t="s">
        <v>416</v>
      </c>
      <c r="B410" t="s">
        <v>916</v>
      </c>
      <c r="C410">
        <f t="shared" si="48"/>
        <v>9</v>
      </c>
      <c r="D410" t="str">
        <f t="shared" si="55"/>
        <v>M1408 Movie_408</v>
      </c>
      <c r="E410" t="s">
        <v>1010</v>
      </c>
      <c r="F410" t="str">
        <f>TRIM(Table1[[#This Row],[Genre]])</f>
        <v>Drama</v>
      </c>
      <c r="G410">
        <v>75</v>
      </c>
      <c r="H410">
        <v>1.2</v>
      </c>
      <c r="I410" t="str" cm="1">
        <f t="array" ref="I410">_xlfn.IFS(H410&lt;4,"poor",H410&lt;7,"average",H410&lt;9,"good",TRUE,"excellent")</f>
        <v>poor</v>
      </c>
      <c r="J410" t="s">
        <v>1019</v>
      </c>
      <c r="K410" t="str">
        <f t="shared" si="49"/>
        <v>Ger</v>
      </c>
      <c r="L410">
        <v>2008</v>
      </c>
      <c r="M410" t="str">
        <f t="shared" si="50"/>
        <v>08</v>
      </c>
      <c r="N410" t="s">
        <v>1021</v>
      </c>
      <c r="O410" s="2">
        <v>43836</v>
      </c>
      <c r="Q410">
        <f t="shared" si="51"/>
        <v>5</v>
      </c>
      <c r="R410">
        <f t="shared" si="52"/>
        <v>12425</v>
      </c>
      <c r="U410" t="str">
        <f t="shared" si="53"/>
        <v>short</v>
      </c>
      <c r="V410" s="4">
        <f t="shared" ca="1" si="54"/>
        <v>45973.174535995371</v>
      </c>
    </row>
    <row r="411" spans="1:22" x14ac:dyDescent="0.25">
      <c r="A411" t="s">
        <v>417</v>
      </c>
      <c r="B411" t="s">
        <v>917</v>
      </c>
      <c r="C411">
        <f t="shared" si="48"/>
        <v>9</v>
      </c>
      <c r="D411" t="str">
        <f t="shared" si="55"/>
        <v>M1409 Movie_409</v>
      </c>
      <c r="E411" t="s">
        <v>1012</v>
      </c>
      <c r="F411" t="str">
        <f>TRIM(Table1[[#This Row],[Genre]])</f>
        <v>Sci-Fi</v>
      </c>
      <c r="G411">
        <v>102</v>
      </c>
      <c r="H411">
        <v>3.9</v>
      </c>
      <c r="I411" t="str" cm="1">
        <f t="array" ref="I411">_xlfn.IFS(H411&lt;4,"poor",H411&lt;7,"average",H411&lt;9,"good",TRUE,"excellent")</f>
        <v>poor</v>
      </c>
      <c r="J411" t="s">
        <v>1015</v>
      </c>
      <c r="K411" t="str">
        <f t="shared" si="49"/>
        <v>Hin</v>
      </c>
      <c r="L411">
        <v>2013</v>
      </c>
      <c r="M411" t="str">
        <f t="shared" si="50"/>
        <v>13</v>
      </c>
      <c r="N411" t="s">
        <v>1020</v>
      </c>
      <c r="O411" s="2">
        <v>43921</v>
      </c>
      <c r="Q411">
        <f t="shared" si="51"/>
        <v>5</v>
      </c>
      <c r="R411">
        <f t="shared" si="52"/>
        <v>12350</v>
      </c>
      <c r="U411" t="str">
        <f t="shared" si="53"/>
        <v>short</v>
      </c>
      <c r="V411" s="4">
        <f t="shared" ca="1" si="54"/>
        <v>45973.174535995371</v>
      </c>
    </row>
    <row r="412" spans="1:22" x14ac:dyDescent="0.25">
      <c r="A412" t="s">
        <v>418</v>
      </c>
      <c r="B412" t="s">
        <v>918</v>
      </c>
      <c r="C412">
        <f t="shared" si="48"/>
        <v>9</v>
      </c>
      <c r="D412" t="str">
        <f t="shared" si="55"/>
        <v>M1410 Movie_410</v>
      </c>
      <c r="E412" t="s">
        <v>1008</v>
      </c>
      <c r="F412" t="str">
        <f>TRIM(Table1[[#This Row],[Genre]])</f>
        <v>Horror</v>
      </c>
      <c r="G412">
        <v>138</v>
      </c>
      <c r="H412">
        <v>8.1999999999999993</v>
      </c>
      <c r="I412" t="str" cm="1">
        <f t="array" ref="I412">_xlfn.IFS(H412&lt;4,"poor",H412&lt;7,"average",H412&lt;9,"good",TRUE,"excellent")</f>
        <v>good</v>
      </c>
      <c r="J412" t="s">
        <v>1016</v>
      </c>
      <c r="K412" t="str">
        <f t="shared" si="49"/>
        <v>Spa</v>
      </c>
      <c r="L412">
        <v>2025</v>
      </c>
      <c r="M412" t="str">
        <f t="shared" si="50"/>
        <v>25</v>
      </c>
      <c r="N412" t="s">
        <v>1020</v>
      </c>
      <c r="O412" s="2">
        <v>43856</v>
      </c>
      <c r="Q412">
        <f t="shared" si="51"/>
        <v>5</v>
      </c>
      <c r="R412">
        <f t="shared" si="52"/>
        <v>12248</v>
      </c>
      <c r="U412" t="str">
        <f t="shared" si="53"/>
        <v>long</v>
      </c>
      <c r="V412" s="4">
        <f t="shared" ca="1" si="54"/>
        <v>45973.174535995371</v>
      </c>
    </row>
    <row r="413" spans="1:22" x14ac:dyDescent="0.25">
      <c r="A413" t="s">
        <v>419</v>
      </c>
      <c r="B413" t="s">
        <v>919</v>
      </c>
      <c r="C413">
        <f t="shared" si="48"/>
        <v>9</v>
      </c>
      <c r="D413" t="str">
        <f t="shared" si="55"/>
        <v>M1411 Movie_411</v>
      </c>
      <c r="E413" t="s">
        <v>1012</v>
      </c>
      <c r="F413" t="str">
        <f>TRIM(Table1[[#This Row],[Genre]])</f>
        <v>Sci-Fi</v>
      </c>
      <c r="G413">
        <v>133</v>
      </c>
      <c r="H413">
        <v>6.6</v>
      </c>
      <c r="I413" t="str" cm="1">
        <f t="array" ref="I413">_xlfn.IFS(H413&lt;4,"poor",H413&lt;7,"average",H413&lt;9,"good",TRUE,"excellent")</f>
        <v>average</v>
      </c>
      <c r="J413" t="s">
        <v>1015</v>
      </c>
      <c r="K413" t="str">
        <f t="shared" si="49"/>
        <v>Hin</v>
      </c>
      <c r="L413">
        <v>2003</v>
      </c>
      <c r="M413" t="str">
        <f t="shared" si="50"/>
        <v>03</v>
      </c>
      <c r="N413" t="s">
        <v>1021</v>
      </c>
      <c r="O413" s="2">
        <v>44331</v>
      </c>
      <c r="Q413">
        <f t="shared" si="51"/>
        <v>5</v>
      </c>
      <c r="R413">
        <f t="shared" si="52"/>
        <v>12110</v>
      </c>
      <c r="U413" t="str">
        <f t="shared" si="53"/>
        <v>long</v>
      </c>
      <c r="V413" s="4">
        <f t="shared" ca="1" si="54"/>
        <v>45973.174535995371</v>
      </c>
    </row>
    <row r="414" spans="1:22" x14ac:dyDescent="0.25">
      <c r="A414" t="s">
        <v>420</v>
      </c>
      <c r="B414" t="s">
        <v>920</v>
      </c>
      <c r="C414">
        <f t="shared" si="48"/>
        <v>9</v>
      </c>
      <c r="D414" t="str">
        <f t="shared" si="55"/>
        <v>M1412 Movie_412</v>
      </c>
      <c r="E414" t="s">
        <v>1009</v>
      </c>
      <c r="F414" t="str">
        <f>TRIM(Table1[[#This Row],[Genre]])</f>
        <v>Action</v>
      </c>
      <c r="G414">
        <v>172</v>
      </c>
      <c r="H414">
        <v>8.5</v>
      </c>
      <c r="I414" t="str" cm="1">
        <f t="array" ref="I414">_xlfn.IFS(H414&lt;4,"poor",H414&lt;7,"average",H414&lt;9,"good",TRUE,"excellent")</f>
        <v>good</v>
      </c>
      <c r="J414" t="s">
        <v>1018</v>
      </c>
      <c r="K414" t="str">
        <f t="shared" si="49"/>
        <v>Eng</v>
      </c>
      <c r="L414">
        <v>1984</v>
      </c>
      <c r="M414" t="str">
        <f t="shared" si="50"/>
        <v>84</v>
      </c>
      <c r="N414" t="s">
        <v>1021</v>
      </c>
      <c r="O414" s="2">
        <v>43925</v>
      </c>
      <c r="Q414">
        <f t="shared" si="51"/>
        <v>5</v>
      </c>
      <c r="R414">
        <f t="shared" si="52"/>
        <v>11977</v>
      </c>
      <c r="U414" t="str">
        <f t="shared" si="53"/>
        <v>long</v>
      </c>
      <c r="V414" s="4">
        <f t="shared" ca="1" si="54"/>
        <v>45973.174535995371</v>
      </c>
    </row>
    <row r="415" spans="1:22" x14ac:dyDescent="0.25">
      <c r="A415" t="s">
        <v>421</v>
      </c>
      <c r="B415" t="s">
        <v>921</v>
      </c>
      <c r="C415">
        <f t="shared" si="48"/>
        <v>9</v>
      </c>
      <c r="D415" t="str">
        <f t="shared" si="55"/>
        <v>M1413 Movie_413</v>
      </c>
      <c r="E415" t="s">
        <v>1008</v>
      </c>
      <c r="F415" t="str">
        <f>TRIM(Table1[[#This Row],[Genre]])</f>
        <v>Horror</v>
      </c>
      <c r="G415">
        <v>91</v>
      </c>
      <c r="H415">
        <v>9.3000000000000007</v>
      </c>
      <c r="I415" t="str" cm="1">
        <f t="array" ref="I415">_xlfn.IFS(H415&lt;4,"poor",H415&lt;7,"average",H415&lt;9,"good",TRUE,"excellent")</f>
        <v>excellent</v>
      </c>
      <c r="J415" t="s">
        <v>1018</v>
      </c>
      <c r="K415" t="str">
        <f t="shared" si="49"/>
        <v>Eng</v>
      </c>
      <c r="L415">
        <v>2016</v>
      </c>
      <c r="M415" t="str">
        <f t="shared" si="50"/>
        <v>16</v>
      </c>
      <c r="N415" t="s">
        <v>1021</v>
      </c>
      <c r="O415" s="2">
        <v>44797</v>
      </c>
      <c r="Q415">
        <f t="shared" si="51"/>
        <v>5</v>
      </c>
      <c r="R415">
        <f t="shared" si="52"/>
        <v>11805</v>
      </c>
      <c r="U415" t="str">
        <f t="shared" si="53"/>
        <v>short</v>
      </c>
      <c r="V415" s="4">
        <f t="shared" ca="1" si="54"/>
        <v>45973.174535995371</v>
      </c>
    </row>
    <row r="416" spans="1:22" x14ac:dyDescent="0.25">
      <c r="A416" t="s">
        <v>422</v>
      </c>
      <c r="B416" t="s">
        <v>922</v>
      </c>
      <c r="C416">
        <f t="shared" si="48"/>
        <v>9</v>
      </c>
      <c r="D416" t="str">
        <f t="shared" si="55"/>
        <v>M1414 Movie_414</v>
      </c>
      <c r="E416" t="s">
        <v>1012</v>
      </c>
      <c r="F416" t="str">
        <f>TRIM(Table1[[#This Row],[Genre]])</f>
        <v>Sci-Fi</v>
      </c>
      <c r="G416">
        <v>179</v>
      </c>
      <c r="H416">
        <v>1.8</v>
      </c>
      <c r="I416" t="str" cm="1">
        <f t="array" ref="I416">_xlfn.IFS(H416&lt;4,"poor",H416&lt;7,"average",H416&lt;9,"good",TRUE,"excellent")</f>
        <v>poor</v>
      </c>
      <c r="J416" t="s">
        <v>1017</v>
      </c>
      <c r="K416" t="str">
        <f t="shared" si="49"/>
        <v>Fre</v>
      </c>
      <c r="L416">
        <v>1987</v>
      </c>
      <c r="M416" t="str">
        <f t="shared" si="50"/>
        <v>87</v>
      </c>
      <c r="N416" t="s">
        <v>1020</v>
      </c>
      <c r="O416" s="2">
        <v>44576</v>
      </c>
      <c r="Q416">
        <f t="shared" si="51"/>
        <v>5</v>
      </c>
      <c r="R416">
        <f t="shared" si="52"/>
        <v>11714</v>
      </c>
      <c r="U416" t="str">
        <f t="shared" si="53"/>
        <v>long</v>
      </c>
      <c r="V416" s="4">
        <f t="shared" ca="1" si="54"/>
        <v>45973.174535995371</v>
      </c>
    </row>
    <row r="417" spans="1:22" x14ac:dyDescent="0.25">
      <c r="A417" t="s">
        <v>423</v>
      </c>
      <c r="B417" t="s">
        <v>923</v>
      </c>
      <c r="C417">
        <f t="shared" si="48"/>
        <v>9</v>
      </c>
      <c r="D417" t="str">
        <f t="shared" si="55"/>
        <v>M1415 Movie_415</v>
      </c>
      <c r="E417" t="s">
        <v>1010</v>
      </c>
      <c r="F417" t="str">
        <f>TRIM(Table1[[#This Row],[Genre]])</f>
        <v>Drama</v>
      </c>
      <c r="G417">
        <v>137</v>
      </c>
      <c r="H417">
        <v>8.6</v>
      </c>
      <c r="I417" t="str" cm="1">
        <f t="array" ref="I417">_xlfn.IFS(H417&lt;4,"poor",H417&lt;7,"average",H417&lt;9,"good",TRUE,"excellent")</f>
        <v>good</v>
      </c>
      <c r="J417" t="s">
        <v>1019</v>
      </c>
      <c r="K417" t="str">
        <f t="shared" si="49"/>
        <v>Ger</v>
      </c>
      <c r="L417">
        <v>1983</v>
      </c>
      <c r="M417" t="str">
        <f t="shared" si="50"/>
        <v>83</v>
      </c>
      <c r="N417" t="s">
        <v>1020</v>
      </c>
      <c r="O417" s="2">
        <v>44615</v>
      </c>
      <c r="Q417">
        <f t="shared" si="51"/>
        <v>5</v>
      </c>
      <c r="R417">
        <f t="shared" si="52"/>
        <v>11535</v>
      </c>
      <c r="U417" t="str">
        <f t="shared" si="53"/>
        <v>long</v>
      </c>
      <c r="V417" s="4">
        <f t="shared" ca="1" si="54"/>
        <v>45973.174535995371</v>
      </c>
    </row>
    <row r="418" spans="1:22" x14ac:dyDescent="0.25">
      <c r="A418" t="s">
        <v>424</v>
      </c>
      <c r="B418" t="s">
        <v>924</v>
      </c>
      <c r="C418">
        <f t="shared" si="48"/>
        <v>9</v>
      </c>
      <c r="D418" t="str">
        <f t="shared" si="55"/>
        <v>M1416 Movie_416</v>
      </c>
      <c r="E418" t="s">
        <v>1008</v>
      </c>
      <c r="F418" t="str">
        <f>TRIM(Table1[[#This Row],[Genre]])</f>
        <v>Horror</v>
      </c>
      <c r="G418">
        <v>163</v>
      </c>
      <c r="H418">
        <v>3.2</v>
      </c>
      <c r="I418" t="str" cm="1">
        <f t="array" ref="I418">_xlfn.IFS(H418&lt;4,"poor",H418&lt;7,"average",H418&lt;9,"good",TRUE,"excellent")</f>
        <v>poor</v>
      </c>
      <c r="J418" t="s">
        <v>1014</v>
      </c>
      <c r="K418" t="str">
        <f t="shared" si="49"/>
        <v>Jap</v>
      </c>
      <c r="L418">
        <v>2015</v>
      </c>
      <c r="M418" t="str">
        <f t="shared" si="50"/>
        <v>15</v>
      </c>
      <c r="N418" t="s">
        <v>1020</v>
      </c>
      <c r="O418" s="2">
        <v>44138</v>
      </c>
      <c r="Q418">
        <f t="shared" si="51"/>
        <v>5</v>
      </c>
      <c r="R418">
        <f t="shared" si="52"/>
        <v>11398</v>
      </c>
      <c r="U418" t="str">
        <f t="shared" si="53"/>
        <v>long</v>
      </c>
      <c r="V418" s="4">
        <f t="shared" ca="1" si="54"/>
        <v>45973.174535995371</v>
      </c>
    </row>
    <row r="419" spans="1:22" x14ac:dyDescent="0.25">
      <c r="A419" t="s">
        <v>425</v>
      </c>
      <c r="B419" t="s">
        <v>925</v>
      </c>
      <c r="C419">
        <f t="shared" si="48"/>
        <v>9</v>
      </c>
      <c r="D419" t="str">
        <f t="shared" si="55"/>
        <v>M1417 Movie_417</v>
      </c>
      <c r="E419" t="s">
        <v>1009</v>
      </c>
      <c r="F419" t="str">
        <f>TRIM(Table1[[#This Row],[Genre]])</f>
        <v>Action</v>
      </c>
      <c r="G419">
        <v>129</v>
      </c>
      <c r="H419">
        <v>6.3</v>
      </c>
      <c r="I419" t="str" cm="1">
        <f t="array" ref="I419">_xlfn.IFS(H419&lt;4,"poor",H419&lt;7,"average",H419&lt;9,"good",TRUE,"excellent")</f>
        <v>average</v>
      </c>
      <c r="J419" t="s">
        <v>1014</v>
      </c>
      <c r="K419" t="str">
        <f t="shared" si="49"/>
        <v>Jap</v>
      </c>
      <c r="L419">
        <v>2012</v>
      </c>
      <c r="M419" t="str">
        <f t="shared" si="50"/>
        <v>12</v>
      </c>
      <c r="N419" t="s">
        <v>1021</v>
      </c>
      <c r="O419" s="2">
        <v>44197</v>
      </c>
      <c r="Q419">
        <f t="shared" si="51"/>
        <v>5</v>
      </c>
      <c r="R419">
        <f t="shared" si="52"/>
        <v>11235</v>
      </c>
      <c r="U419" t="str">
        <f t="shared" si="53"/>
        <v>long</v>
      </c>
      <c r="V419" s="4">
        <f t="shared" ca="1" si="54"/>
        <v>45973.174535995371</v>
      </c>
    </row>
    <row r="420" spans="1:22" x14ac:dyDescent="0.25">
      <c r="A420" t="s">
        <v>426</v>
      </c>
      <c r="B420" t="s">
        <v>926</v>
      </c>
      <c r="C420">
        <f t="shared" si="48"/>
        <v>9</v>
      </c>
      <c r="D420" t="str">
        <f t="shared" si="55"/>
        <v>M1418 Movie_418</v>
      </c>
      <c r="E420" t="s">
        <v>1011</v>
      </c>
      <c r="F420" t="str">
        <f>TRIM(Table1[[#This Row],[Genre]])</f>
        <v>Comedy</v>
      </c>
      <c r="G420">
        <v>188</v>
      </c>
      <c r="H420">
        <v>5.7</v>
      </c>
      <c r="I420" t="str" cm="1">
        <f t="array" ref="I420">_xlfn.IFS(H420&lt;4,"poor",H420&lt;7,"average",H420&lt;9,"good",TRUE,"excellent")</f>
        <v>average</v>
      </c>
      <c r="J420" t="s">
        <v>1019</v>
      </c>
      <c r="K420" t="str">
        <f t="shared" si="49"/>
        <v>Ger</v>
      </c>
      <c r="L420">
        <v>1992</v>
      </c>
      <c r="M420" t="str">
        <f t="shared" si="50"/>
        <v>92</v>
      </c>
      <c r="N420" t="s">
        <v>1020</v>
      </c>
      <c r="O420" s="2">
        <v>43903</v>
      </c>
      <c r="Q420">
        <f t="shared" si="51"/>
        <v>5</v>
      </c>
      <c r="R420">
        <f t="shared" si="52"/>
        <v>11106</v>
      </c>
      <c r="U420" t="str">
        <f t="shared" si="53"/>
        <v>long</v>
      </c>
      <c r="V420" s="4">
        <f t="shared" ca="1" si="54"/>
        <v>45973.174535995371</v>
      </c>
    </row>
    <row r="421" spans="1:22" x14ac:dyDescent="0.25">
      <c r="A421" t="s">
        <v>427</v>
      </c>
      <c r="B421" t="s">
        <v>927</v>
      </c>
      <c r="C421">
        <f t="shared" si="48"/>
        <v>9</v>
      </c>
      <c r="D421" t="str">
        <f t="shared" si="55"/>
        <v>M1419 Movie_419</v>
      </c>
      <c r="E421" t="s">
        <v>1010</v>
      </c>
      <c r="F421" t="str">
        <f>TRIM(Table1[[#This Row],[Genre]])</f>
        <v>Drama</v>
      </c>
      <c r="G421">
        <v>198</v>
      </c>
      <c r="H421">
        <v>4.5999999999999996</v>
      </c>
      <c r="I421" t="str" cm="1">
        <f t="array" ref="I421">_xlfn.IFS(H421&lt;4,"poor",H421&lt;7,"average",H421&lt;9,"good",TRUE,"excellent")</f>
        <v>average</v>
      </c>
      <c r="J421" t="s">
        <v>1015</v>
      </c>
      <c r="K421" t="str">
        <f t="shared" si="49"/>
        <v>Hin</v>
      </c>
      <c r="L421">
        <v>2016</v>
      </c>
      <c r="M421" t="str">
        <f t="shared" si="50"/>
        <v>16</v>
      </c>
      <c r="N421" t="s">
        <v>1020</v>
      </c>
      <c r="O421" s="2">
        <v>44963</v>
      </c>
      <c r="Q421">
        <f t="shared" si="51"/>
        <v>5</v>
      </c>
      <c r="R421">
        <f t="shared" si="52"/>
        <v>10918</v>
      </c>
      <c r="U421" t="str">
        <f t="shared" si="53"/>
        <v>long</v>
      </c>
      <c r="V421" s="4">
        <f t="shared" ca="1" si="54"/>
        <v>45973.174535995371</v>
      </c>
    </row>
    <row r="422" spans="1:22" x14ac:dyDescent="0.25">
      <c r="A422" t="s">
        <v>428</v>
      </c>
      <c r="B422" t="s">
        <v>928</v>
      </c>
      <c r="C422">
        <f t="shared" si="48"/>
        <v>9</v>
      </c>
      <c r="D422" t="str">
        <f t="shared" si="55"/>
        <v>M1420 Movie_420</v>
      </c>
      <c r="E422" t="s">
        <v>1009</v>
      </c>
      <c r="F422" t="str">
        <f>TRIM(Table1[[#This Row],[Genre]])</f>
        <v>Action</v>
      </c>
      <c r="G422">
        <v>186</v>
      </c>
      <c r="H422">
        <v>3.8</v>
      </c>
      <c r="I422" t="str" cm="1">
        <f t="array" ref="I422">_xlfn.IFS(H422&lt;4,"poor",H422&lt;7,"average",H422&lt;9,"good",TRUE,"excellent")</f>
        <v>poor</v>
      </c>
      <c r="J422" t="s">
        <v>1019</v>
      </c>
      <c r="K422" t="str">
        <f t="shared" si="49"/>
        <v>Ger</v>
      </c>
      <c r="L422">
        <v>2014</v>
      </c>
      <c r="M422" t="str">
        <f t="shared" si="50"/>
        <v>14</v>
      </c>
      <c r="N422" t="s">
        <v>1020</v>
      </c>
      <c r="O422" s="2">
        <v>45475</v>
      </c>
      <c r="Q422">
        <f t="shared" si="51"/>
        <v>5</v>
      </c>
      <c r="R422">
        <f t="shared" si="52"/>
        <v>10720</v>
      </c>
      <c r="U422" t="str">
        <f t="shared" si="53"/>
        <v>long</v>
      </c>
      <c r="V422" s="4">
        <f t="shared" ca="1" si="54"/>
        <v>45973.174535995371</v>
      </c>
    </row>
    <row r="423" spans="1:22" x14ac:dyDescent="0.25">
      <c r="A423" t="s">
        <v>429</v>
      </c>
      <c r="B423" t="s">
        <v>929</v>
      </c>
      <c r="C423">
        <f t="shared" si="48"/>
        <v>9</v>
      </c>
      <c r="D423" t="str">
        <f t="shared" si="55"/>
        <v>M1421 Movie_421</v>
      </c>
      <c r="E423" t="s">
        <v>1009</v>
      </c>
      <c r="F423" t="str">
        <f>TRIM(Table1[[#This Row],[Genre]])</f>
        <v>Action</v>
      </c>
      <c r="G423">
        <v>172</v>
      </c>
      <c r="H423">
        <v>4.0999999999999996</v>
      </c>
      <c r="I423" t="str" cm="1">
        <f t="array" ref="I423">_xlfn.IFS(H423&lt;4,"poor",H423&lt;7,"average",H423&lt;9,"good",TRUE,"excellent")</f>
        <v>average</v>
      </c>
      <c r="J423" t="s">
        <v>1019</v>
      </c>
      <c r="K423" t="str">
        <f t="shared" si="49"/>
        <v>Ger</v>
      </c>
      <c r="L423">
        <v>1989</v>
      </c>
      <c r="M423" t="str">
        <f t="shared" si="50"/>
        <v>89</v>
      </c>
      <c r="N423" t="s">
        <v>1021</v>
      </c>
      <c r="O423" s="2">
        <v>45293</v>
      </c>
      <c r="Q423">
        <f t="shared" si="51"/>
        <v>5</v>
      </c>
      <c r="R423">
        <f t="shared" si="52"/>
        <v>10534</v>
      </c>
      <c r="U423" t="str">
        <f t="shared" si="53"/>
        <v>long</v>
      </c>
      <c r="V423" s="4">
        <f t="shared" ca="1" si="54"/>
        <v>45973.174535995371</v>
      </c>
    </row>
    <row r="424" spans="1:22" x14ac:dyDescent="0.25">
      <c r="A424" t="s">
        <v>430</v>
      </c>
      <c r="B424" t="s">
        <v>930</v>
      </c>
      <c r="C424">
        <f t="shared" si="48"/>
        <v>9</v>
      </c>
      <c r="D424" t="str">
        <f t="shared" si="55"/>
        <v>M1422 Movie_422</v>
      </c>
      <c r="E424" t="s">
        <v>1008</v>
      </c>
      <c r="F424" t="str">
        <f>TRIM(Table1[[#This Row],[Genre]])</f>
        <v>Horror</v>
      </c>
      <c r="G424">
        <v>80</v>
      </c>
      <c r="H424">
        <v>4</v>
      </c>
      <c r="I424" t="str" cm="1">
        <f t="array" ref="I424">_xlfn.IFS(H424&lt;4,"poor",H424&lt;7,"average",H424&lt;9,"good",TRUE,"excellent")</f>
        <v>average</v>
      </c>
      <c r="J424" t="s">
        <v>1015</v>
      </c>
      <c r="K424" t="str">
        <f t="shared" si="49"/>
        <v>Hin</v>
      </c>
      <c r="L424">
        <v>1990</v>
      </c>
      <c r="M424" t="str">
        <f t="shared" si="50"/>
        <v>90</v>
      </c>
      <c r="N424" t="s">
        <v>1021</v>
      </c>
      <c r="O424" s="2">
        <v>45347</v>
      </c>
      <c r="Q424">
        <f t="shared" si="51"/>
        <v>5</v>
      </c>
      <c r="R424">
        <f t="shared" si="52"/>
        <v>10362</v>
      </c>
      <c r="U424" t="str">
        <f t="shared" si="53"/>
        <v>short</v>
      </c>
      <c r="V424" s="4">
        <f t="shared" ca="1" si="54"/>
        <v>45973.174535995371</v>
      </c>
    </row>
    <row r="425" spans="1:22" x14ac:dyDescent="0.25">
      <c r="A425" t="s">
        <v>431</v>
      </c>
      <c r="B425" t="s">
        <v>931</v>
      </c>
      <c r="C425">
        <f t="shared" si="48"/>
        <v>9</v>
      </c>
      <c r="D425" t="str">
        <f t="shared" si="55"/>
        <v>M1423 Movie_423</v>
      </c>
      <c r="E425" t="s">
        <v>1012</v>
      </c>
      <c r="F425" t="str">
        <f>TRIM(Table1[[#This Row],[Genre]])</f>
        <v>Sci-Fi</v>
      </c>
      <c r="G425">
        <v>70</v>
      </c>
      <c r="H425">
        <v>2.5</v>
      </c>
      <c r="I425" t="str" cm="1">
        <f t="array" ref="I425">_xlfn.IFS(H425&lt;4,"poor",H425&lt;7,"average",H425&lt;9,"good",TRUE,"excellent")</f>
        <v>poor</v>
      </c>
      <c r="J425" t="s">
        <v>1018</v>
      </c>
      <c r="K425" t="str">
        <f t="shared" si="49"/>
        <v>Eng</v>
      </c>
      <c r="L425">
        <v>2000</v>
      </c>
      <c r="M425" t="str">
        <f t="shared" si="50"/>
        <v>00</v>
      </c>
      <c r="N425" t="s">
        <v>1020</v>
      </c>
      <c r="O425" s="2">
        <v>45173</v>
      </c>
      <c r="Q425">
        <f t="shared" si="51"/>
        <v>5</v>
      </c>
      <c r="R425">
        <f t="shared" si="52"/>
        <v>10282</v>
      </c>
      <c r="U425" t="str">
        <f t="shared" si="53"/>
        <v>short</v>
      </c>
      <c r="V425" s="4">
        <f t="shared" ca="1" si="54"/>
        <v>45973.174535995371</v>
      </c>
    </row>
    <row r="426" spans="1:22" x14ac:dyDescent="0.25">
      <c r="A426" t="s">
        <v>432</v>
      </c>
      <c r="B426" t="s">
        <v>932</v>
      </c>
      <c r="C426">
        <f t="shared" si="48"/>
        <v>9</v>
      </c>
      <c r="D426" t="str">
        <f t="shared" si="55"/>
        <v>M1424 Movie_424</v>
      </c>
      <c r="E426" t="s">
        <v>1011</v>
      </c>
      <c r="F426" t="str">
        <f>TRIM(Table1[[#This Row],[Genre]])</f>
        <v>Comedy</v>
      </c>
      <c r="G426">
        <v>170</v>
      </c>
      <c r="H426">
        <v>5.6</v>
      </c>
      <c r="I426" t="str" cm="1">
        <f t="array" ref="I426">_xlfn.IFS(H426&lt;4,"poor",H426&lt;7,"average",H426&lt;9,"good",TRUE,"excellent")</f>
        <v>average</v>
      </c>
      <c r="J426" t="s">
        <v>1016</v>
      </c>
      <c r="K426" t="str">
        <f t="shared" si="49"/>
        <v>Spa</v>
      </c>
      <c r="L426">
        <v>2013</v>
      </c>
      <c r="M426" t="str">
        <f t="shared" si="50"/>
        <v>13</v>
      </c>
      <c r="N426" t="s">
        <v>1021</v>
      </c>
      <c r="O426" s="2">
        <v>44689</v>
      </c>
      <c r="Q426">
        <f t="shared" si="51"/>
        <v>5</v>
      </c>
      <c r="R426">
        <f t="shared" si="52"/>
        <v>10212</v>
      </c>
      <c r="U426" t="str">
        <f t="shared" si="53"/>
        <v>long</v>
      </c>
      <c r="V426" s="4">
        <f t="shared" ca="1" si="54"/>
        <v>45973.174535995371</v>
      </c>
    </row>
    <row r="427" spans="1:22" x14ac:dyDescent="0.25">
      <c r="A427" t="s">
        <v>433</v>
      </c>
      <c r="B427" t="s">
        <v>933</v>
      </c>
      <c r="C427">
        <f t="shared" si="48"/>
        <v>9</v>
      </c>
      <c r="D427" t="str">
        <f t="shared" si="55"/>
        <v>M1425 Movie_425</v>
      </c>
      <c r="E427" t="s">
        <v>1010</v>
      </c>
      <c r="F427" t="str">
        <f>TRIM(Table1[[#This Row],[Genre]])</f>
        <v>Drama</v>
      </c>
      <c r="G427">
        <v>142</v>
      </c>
      <c r="H427">
        <v>2</v>
      </c>
      <c r="I427" t="str" cm="1">
        <f t="array" ref="I427">_xlfn.IFS(H427&lt;4,"poor",H427&lt;7,"average",H427&lt;9,"good",TRUE,"excellent")</f>
        <v>poor</v>
      </c>
      <c r="J427" t="s">
        <v>1017</v>
      </c>
      <c r="K427" t="str">
        <f t="shared" si="49"/>
        <v>Fre</v>
      </c>
      <c r="L427">
        <v>2008</v>
      </c>
      <c r="M427" t="str">
        <f t="shared" si="50"/>
        <v>08</v>
      </c>
      <c r="N427" t="s">
        <v>1020</v>
      </c>
      <c r="O427" s="2">
        <v>44290</v>
      </c>
      <c r="Q427">
        <f t="shared" si="51"/>
        <v>5</v>
      </c>
      <c r="R427">
        <f t="shared" si="52"/>
        <v>10042</v>
      </c>
      <c r="U427" t="str">
        <f t="shared" si="53"/>
        <v>long</v>
      </c>
      <c r="V427" s="4">
        <f t="shared" ca="1" si="54"/>
        <v>45973.174535995371</v>
      </c>
    </row>
    <row r="428" spans="1:22" x14ac:dyDescent="0.25">
      <c r="A428" t="s">
        <v>434</v>
      </c>
      <c r="B428" t="s">
        <v>934</v>
      </c>
      <c r="C428">
        <f t="shared" si="48"/>
        <v>9</v>
      </c>
      <c r="D428" t="str">
        <f t="shared" si="55"/>
        <v>M1426 Movie_426</v>
      </c>
      <c r="E428" t="s">
        <v>1010</v>
      </c>
      <c r="F428" t="str">
        <f>TRIM(Table1[[#This Row],[Genre]])</f>
        <v>Drama</v>
      </c>
      <c r="G428">
        <v>124</v>
      </c>
      <c r="H428">
        <v>5.6</v>
      </c>
      <c r="I428" t="str" cm="1">
        <f t="array" ref="I428">_xlfn.IFS(H428&lt;4,"poor",H428&lt;7,"average",H428&lt;9,"good",TRUE,"excellent")</f>
        <v>average</v>
      </c>
      <c r="J428" t="s">
        <v>1014</v>
      </c>
      <c r="K428" t="str">
        <f t="shared" si="49"/>
        <v>Jap</v>
      </c>
      <c r="L428">
        <v>1987</v>
      </c>
      <c r="M428" t="str">
        <f t="shared" si="50"/>
        <v>87</v>
      </c>
      <c r="N428" t="s">
        <v>1021</v>
      </c>
      <c r="O428" s="2">
        <v>44490</v>
      </c>
      <c r="Q428">
        <f t="shared" si="51"/>
        <v>5</v>
      </c>
      <c r="R428">
        <f t="shared" si="52"/>
        <v>9900</v>
      </c>
      <c r="U428" t="str">
        <f t="shared" si="53"/>
        <v>long</v>
      </c>
      <c r="V428" s="4">
        <f t="shared" ca="1" si="54"/>
        <v>45973.174535995371</v>
      </c>
    </row>
    <row r="429" spans="1:22" x14ac:dyDescent="0.25">
      <c r="A429" t="s">
        <v>435</v>
      </c>
      <c r="B429" t="s">
        <v>935</v>
      </c>
      <c r="C429">
        <f t="shared" si="48"/>
        <v>9</v>
      </c>
      <c r="D429" t="str">
        <f t="shared" si="55"/>
        <v>M1427 Movie_427</v>
      </c>
      <c r="E429" t="s">
        <v>1012</v>
      </c>
      <c r="F429" t="str">
        <f>TRIM(Table1[[#This Row],[Genre]])</f>
        <v>Sci-Fi</v>
      </c>
      <c r="G429">
        <v>66</v>
      </c>
      <c r="H429">
        <v>9.1999999999999993</v>
      </c>
      <c r="I429" t="str" cm="1">
        <f t="array" ref="I429">_xlfn.IFS(H429&lt;4,"poor",H429&lt;7,"average",H429&lt;9,"good",TRUE,"excellent")</f>
        <v>excellent</v>
      </c>
      <c r="J429" t="s">
        <v>1018</v>
      </c>
      <c r="K429" t="str">
        <f t="shared" si="49"/>
        <v>Eng</v>
      </c>
      <c r="L429">
        <v>2023</v>
      </c>
      <c r="M429" t="str">
        <f t="shared" si="50"/>
        <v>23</v>
      </c>
      <c r="N429" t="s">
        <v>1021</v>
      </c>
      <c r="O429" s="2">
        <v>44339</v>
      </c>
      <c r="Q429">
        <f t="shared" si="51"/>
        <v>5</v>
      </c>
      <c r="R429">
        <f t="shared" si="52"/>
        <v>9776</v>
      </c>
      <c r="U429" t="str">
        <f t="shared" si="53"/>
        <v>short</v>
      </c>
      <c r="V429" s="4">
        <f t="shared" ca="1" si="54"/>
        <v>45973.174535995371</v>
      </c>
    </row>
    <row r="430" spans="1:22" x14ac:dyDescent="0.25">
      <c r="A430" t="s">
        <v>436</v>
      </c>
      <c r="B430" t="s">
        <v>936</v>
      </c>
      <c r="C430">
        <f t="shared" si="48"/>
        <v>9</v>
      </c>
      <c r="D430" t="str">
        <f t="shared" si="55"/>
        <v>M1428 Movie_428</v>
      </c>
      <c r="E430" t="s">
        <v>1011</v>
      </c>
      <c r="F430" t="str">
        <f>TRIM(Table1[[#This Row],[Genre]])</f>
        <v>Comedy</v>
      </c>
      <c r="G430">
        <v>83</v>
      </c>
      <c r="H430">
        <v>4.0999999999999996</v>
      </c>
      <c r="I430" t="str" cm="1">
        <f t="array" ref="I430">_xlfn.IFS(H430&lt;4,"poor",H430&lt;7,"average",H430&lt;9,"good",TRUE,"excellent")</f>
        <v>average</v>
      </c>
      <c r="J430" t="s">
        <v>1019</v>
      </c>
      <c r="K430" t="str">
        <f t="shared" si="49"/>
        <v>Ger</v>
      </c>
      <c r="L430">
        <v>1993</v>
      </c>
      <c r="M430" t="str">
        <f t="shared" si="50"/>
        <v>93</v>
      </c>
      <c r="N430" t="s">
        <v>1021</v>
      </c>
      <c r="O430" s="2">
        <v>44683</v>
      </c>
      <c r="Q430">
        <f t="shared" si="51"/>
        <v>5</v>
      </c>
      <c r="R430">
        <f t="shared" si="52"/>
        <v>9710</v>
      </c>
      <c r="U430" t="str">
        <f t="shared" si="53"/>
        <v>short</v>
      </c>
      <c r="V430" s="4">
        <f t="shared" ca="1" si="54"/>
        <v>45973.174535995371</v>
      </c>
    </row>
    <row r="431" spans="1:22" x14ac:dyDescent="0.25">
      <c r="A431" t="s">
        <v>437</v>
      </c>
      <c r="B431" t="s">
        <v>937</v>
      </c>
      <c r="C431">
        <f t="shared" si="48"/>
        <v>9</v>
      </c>
      <c r="D431" t="str">
        <f t="shared" si="55"/>
        <v>M1429 Movie_429</v>
      </c>
      <c r="E431" t="s">
        <v>1008</v>
      </c>
      <c r="F431" t="str">
        <f>TRIM(Table1[[#This Row],[Genre]])</f>
        <v>Horror</v>
      </c>
      <c r="G431">
        <v>118</v>
      </c>
      <c r="H431">
        <v>7.5</v>
      </c>
      <c r="I431" t="str" cm="1">
        <f t="array" ref="I431">_xlfn.IFS(H431&lt;4,"poor",H431&lt;7,"average",H431&lt;9,"good",TRUE,"excellent")</f>
        <v>good</v>
      </c>
      <c r="J431" t="s">
        <v>1019</v>
      </c>
      <c r="K431" t="str">
        <f t="shared" si="49"/>
        <v>Ger</v>
      </c>
      <c r="L431">
        <v>2025</v>
      </c>
      <c r="M431" t="str">
        <f t="shared" si="50"/>
        <v>25</v>
      </c>
      <c r="N431" t="s">
        <v>1021</v>
      </c>
      <c r="O431" s="2">
        <v>45306</v>
      </c>
      <c r="Q431">
        <f t="shared" si="51"/>
        <v>5</v>
      </c>
      <c r="R431">
        <f t="shared" si="52"/>
        <v>9627</v>
      </c>
      <c r="U431" t="str">
        <f t="shared" si="53"/>
        <v>short</v>
      </c>
      <c r="V431" s="4">
        <f t="shared" ca="1" si="54"/>
        <v>45973.174535995371</v>
      </c>
    </row>
    <row r="432" spans="1:22" x14ac:dyDescent="0.25">
      <c r="A432" t="s">
        <v>438</v>
      </c>
      <c r="B432" t="s">
        <v>938</v>
      </c>
      <c r="C432">
        <f t="shared" si="48"/>
        <v>9</v>
      </c>
      <c r="D432" t="str">
        <f t="shared" si="55"/>
        <v>M1430 Movie_430</v>
      </c>
      <c r="E432" t="s">
        <v>1010</v>
      </c>
      <c r="F432" t="str">
        <f>TRIM(Table1[[#This Row],[Genre]])</f>
        <v>Drama</v>
      </c>
      <c r="G432">
        <v>65</v>
      </c>
      <c r="H432">
        <v>8.4</v>
      </c>
      <c r="I432" t="str" cm="1">
        <f t="array" ref="I432">_xlfn.IFS(H432&lt;4,"poor",H432&lt;7,"average",H432&lt;9,"good",TRUE,"excellent")</f>
        <v>good</v>
      </c>
      <c r="J432" t="s">
        <v>1014</v>
      </c>
      <c r="K432" t="str">
        <f t="shared" si="49"/>
        <v>Jap</v>
      </c>
      <c r="L432">
        <v>2017</v>
      </c>
      <c r="M432" t="str">
        <f t="shared" si="50"/>
        <v>17</v>
      </c>
      <c r="N432" t="s">
        <v>1021</v>
      </c>
      <c r="O432" s="2">
        <v>44486</v>
      </c>
      <c r="Q432">
        <f t="shared" si="51"/>
        <v>5</v>
      </c>
      <c r="R432">
        <f t="shared" si="52"/>
        <v>9509</v>
      </c>
      <c r="U432" t="str">
        <f t="shared" si="53"/>
        <v>short</v>
      </c>
      <c r="V432" s="4">
        <f t="shared" ca="1" si="54"/>
        <v>45973.174535995371</v>
      </c>
    </row>
    <row r="433" spans="1:22" x14ac:dyDescent="0.25">
      <c r="A433" t="s">
        <v>439</v>
      </c>
      <c r="B433" t="s">
        <v>939</v>
      </c>
      <c r="C433">
        <f t="shared" si="48"/>
        <v>9</v>
      </c>
      <c r="D433" t="str">
        <f t="shared" si="55"/>
        <v>M1431 Movie_431</v>
      </c>
      <c r="E433" t="s">
        <v>1011</v>
      </c>
      <c r="F433" t="str">
        <f>TRIM(Table1[[#This Row],[Genre]])</f>
        <v>Comedy</v>
      </c>
      <c r="G433">
        <v>128</v>
      </c>
      <c r="H433">
        <v>8.3000000000000007</v>
      </c>
      <c r="I433" t="str" cm="1">
        <f t="array" ref="I433">_xlfn.IFS(H433&lt;4,"poor",H433&lt;7,"average",H433&lt;9,"good",TRUE,"excellent")</f>
        <v>good</v>
      </c>
      <c r="J433" t="s">
        <v>1015</v>
      </c>
      <c r="K433" t="str">
        <f t="shared" si="49"/>
        <v>Hin</v>
      </c>
      <c r="L433">
        <v>2011</v>
      </c>
      <c r="M433" t="str">
        <f t="shared" si="50"/>
        <v>11</v>
      </c>
      <c r="N433" t="s">
        <v>1020</v>
      </c>
      <c r="O433" s="2">
        <v>44386</v>
      </c>
      <c r="Q433">
        <f t="shared" si="51"/>
        <v>5</v>
      </c>
      <c r="R433">
        <f t="shared" si="52"/>
        <v>9444</v>
      </c>
      <c r="U433" t="str">
        <f t="shared" si="53"/>
        <v>long</v>
      </c>
      <c r="V433" s="4">
        <f t="shared" ca="1" si="54"/>
        <v>45973.174535995371</v>
      </c>
    </row>
    <row r="434" spans="1:22" x14ac:dyDescent="0.25">
      <c r="A434" t="s">
        <v>440</v>
      </c>
      <c r="B434" t="s">
        <v>940</v>
      </c>
      <c r="C434">
        <f t="shared" si="48"/>
        <v>9</v>
      </c>
      <c r="D434" t="str">
        <f t="shared" si="55"/>
        <v>M1432 Movie_432</v>
      </c>
      <c r="E434" t="s">
        <v>1008</v>
      </c>
      <c r="F434" t="str">
        <f>TRIM(Table1[[#This Row],[Genre]])</f>
        <v>Horror</v>
      </c>
      <c r="G434">
        <v>70</v>
      </c>
      <c r="H434">
        <v>3.1</v>
      </c>
      <c r="I434" t="str" cm="1">
        <f t="array" ref="I434">_xlfn.IFS(H434&lt;4,"poor",H434&lt;7,"average",H434&lt;9,"good",TRUE,"excellent")</f>
        <v>poor</v>
      </c>
      <c r="J434" t="s">
        <v>1017</v>
      </c>
      <c r="K434" t="str">
        <f t="shared" si="49"/>
        <v>Fre</v>
      </c>
      <c r="L434">
        <v>1985</v>
      </c>
      <c r="M434" t="str">
        <f t="shared" si="50"/>
        <v>85</v>
      </c>
      <c r="N434" t="s">
        <v>1021</v>
      </c>
      <c r="O434" s="2">
        <v>45522</v>
      </c>
      <c r="Q434">
        <f t="shared" si="51"/>
        <v>5</v>
      </c>
      <c r="R434">
        <f t="shared" si="52"/>
        <v>9316</v>
      </c>
      <c r="U434" t="str">
        <f t="shared" si="53"/>
        <v>short</v>
      </c>
      <c r="V434" s="4">
        <f t="shared" ca="1" si="54"/>
        <v>45973.174535995371</v>
      </c>
    </row>
    <row r="435" spans="1:22" x14ac:dyDescent="0.25">
      <c r="A435" t="s">
        <v>441</v>
      </c>
      <c r="B435" t="s">
        <v>941</v>
      </c>
      <c r="C435">
        <f t="shared" si="48"/>
        <v>9</v>
      </c>
      <c r="D435" t="str">
        <f t="shared" si="55"/>
        <v>M1433 Movie_433</v>
      </c>
      <c r="E435" t="s">
        <v>1008</v>
      </c>
      <c r="F435" t="str">
        <f>TRIM(Table1[[#This Row],[Genre]])</f>
        <v>Horror</v>
      </c>
      <c r="G435">
        <v>104</v>
      </c>
      <c r="H435">
        <v>2.2999999999999998</v>
      </c>
      <c r="I435" t="str" cm="1">
        <f t="array" ref="I435">_xlfn.IFS(H435&lt;4,"poor",H435&lt;7,"average",H435&lt;9,"good",TRUE,"excellent")</f>
        <v>poor</v>
      </c>
      <c r="J435" t="s">
        <v>1016</v>
      </c>
      <c r="K435" t="str">
        <f t="shared" si="49"/>
        <v>Spa</v>
      </c>
      <c r="L435">
        <v>2012</v>
      </c>
      <c r="M435" t="str">
        <f t="shared" si="50"/>
        <v>12</v>
      </c>
      <c r="N435" t="s">
        <v>1021</v>
      </c>
      <c r="O435" s="2">
        <v>43990</v>
      </c>
      <c r="Q435">
        <f t="shared" si="51"/>
        <v>5</v>
      </c>
      <c r="R435">
        <f t="shared" si="52"/>
        <v>9246</v>
      </c>
      <c r="U435" t="str">
        <f t="shared" si="53"/>
        <v>short</v>
      </c>
      <c r="V435" s="4">
        <f t="shared" ca="1" si="54"/>
        <v>45973.174535995371</v>
      </c>
    </row>
    <row r="436" spans="1:22" x14ac:dyDescent="0.25">
      <c r="A436" t="s">
        <v>442</v>
      </c>
      <c r="B436" t="s">
        <v>942</v>
      </c>
      <c r="C436">
        <f t="shared" si="48"/>
        <v>9</v>
      </c>
      <c r="D436" t="str">
        <f t="shared" si="55"/>
        <v>M1434 Movie_434</v>
      </c>
      <c r="E436" t="s">
        <v>1010</v>
      </c>
      <c r="F436" t="str">
        <f>TRIM(Table1[[#This Row],[Genre]])</f>
        <v>Drama</v>
      </c>
      <c r="G436">
        <v>180</v>
      </c>
      <c r="H436">
        <v>2.8</v>
      </c>
      <c r="I436" t="str" cm="1">
        <f t="array" ref="I436">_xlfn.IFS(H436&lt;4,"poor",H436&lt;7,"average",H436&lt;9,"good",TRUE,"excellent")</f>
        <v>poor</v>
      </c>
      <c r="J436" t="s">
        <v>1015</v>
      </c>
      <c r="K436" t="str">
        <f t="shared" si="49"/>
        <v>Hin</v>
      </c>
      <c r="L436">
        <v>2008</v>
      </c>
      <c r="M436" t="str">
        <f t="shared" si="50"/>
        <v>08</v>
      </c>
      <c r="N436" t="s">
        <v>1021</v>
      </c>
      <c r="O436" s="2">
        <v>45001</v>
      </c>
      <c r="Q436">
        <f t="shared" si="51"/>
        <v>5</v>
      </c>
      <c r="R436">
        <f t="shared" si="52"/>
        <v>9142</v>
      </c>
      <c r="U436" t="str">
        <f t="shared" si="53"/>
        <v>long</v>
      </c>
      <c r="V436" s="4">
        <f t="shared" ca="1" si="54"/>
        <v>45973.174535995371</v>
      </c>
    </row>
    <row r="437" spans="1:22" x14ac:dyDescent="0.25">
      <c r="A437" t="s">
        <v>443</v>
      </c>
      <c r="B437" t="s">
        <v>943</v>
      </c>
      <c r="C437">
        <f t="shared" si="48"/>
        <v>9</v>
      </c>
      <c r="D437" t="str">
        <f t="shared" si="55"/>
        <v>M1435 Movie_435</v>
      </c>
      <c r="E437" t="s">
        <v>1012</v>
      </c>
      <c r="F437" t="str">
        <f>TRIM(Table1[[#This Row],[Genre]])</f>
        <v>Sci-Fi</v>
      </c>
      <c r="G437">
        <v>192</v>
      </c>
      <c r="H437">
        <v>6.4</v>
      </c>
      <c r="I437" t="str" cm="1">
        <f t="array" ref="I437">_xlfn.IFS(H437&lt;4,"poor",H437&lt;7,"average",H437&lt;9,"good",TRUE,"excellent")</f>
        <v>average</v>
      </c>
      <c r="J437" t="s">
        <v>1014</v>
      </c>
      <c r="K437" t="str">
        <f t="shared" si="49"/>
        <v>Jap</v>
      </c>
      <c r="L437">
        <v>1983</v>
      </c>
      <c r="M437" t="str">
        <f t="shared" si="50"/>
        <v>83</v>
      </c>
      <c r="N437" t="s">
        <v>1020</v>
      </c>
      <c r="O437" s="2">
        <v>44594</v>
      </c>
      <c r="Q437">
        <f t="shared" si="51"/>
        <v>5</v>
      </c>
      <c r="R437">
        <f t="shared" si="52"/>
        <v>8962</v>
      </c>
      <c r="U437" t="str">
        <f t="shared" si="53"/>
        <v>long</v>
      </c>
      <c r="V437" s="4">
        <f t="shared" ca="1" si="54"/>
        <v>45973.174535995371</v>
      </c>
    </row>
    <row r="438" spans="1:22" x14ac:dyDescent="0.25">
      <c r="A438" t="s">
        <v>444</v>
      </c>
      <c r="B438" t="s">
        <v>944</v>
      </c>
      <c r="C438">
        <f t="shared" si="48"/>
        <v>9</v>
      </c>
      <c r="D438" t="str">
        <f t="shared" si="55"/>
        <v>M1436 Movie_436</v>
      </c>
      <c r="E438" t="s">
        <v>1013</v>
      </c>
      <c r="F438" t="str">
        <f>TRIM(Table1[[#This Row],[Genre]])</f>
        <v>Thriller</v>
      </c>
      <c r="G438">
        <v>173</v>
      </c>
      <c r="H438">
        <v>7.8</v>
      </c>
      <c r="I438" t="str" cm="1">
        <f t="array" ref="I438">_xlfn.IFS(H438&lt;4,"poor",H438&lt;7,"average",H438&lt;9,"good",TRUE,"excellent")</f>
        <v>good</v>
      </c>
      <c r="J438" t="s">
        <v>1015</v>
      </c>
      <c r="K438" t="str">
        <f t="shared" si="49"/>
        <v>Hin</v>
      </c>
      <c r="L438">
        <v>2009</v>
      </c>
      <c r="M438" t="str">
        <f t="shared" si="50"/>
        <v>09</v>
      </c>
      <c r="N438" t="s">
        <v>1021</v>
      </c>
      <c r="O438" s="2">
        <v>44075</v>
      </c>
      <c r="Q438">
        <f t="shared" si="51"/>
        <v>5</v>
      </c>
      <c r="R438">
        <f t="shared" si="52"/>
        <v>8770</v>
      </c>
      <c r="U438" t="str">
        <f t="shared" si="53"/>
        <v>long</v>
      </c>
      <c r="V438" s="4">
        <f t="shared" ca="1" si="54"/>
        <v>45973.174535995371</v>
      </c>
    </row>
    <row r="439" spans="1:22" x14ac:dyDescent="0.25">
      <c r="A439" t="s">
        <v>445</v>
      </c>
      <c r="B439" t="s">
        <v>945</v>
      </c>
      <c r="C439">
        <f t="shared" si="48"/>
        <v>9</v>
      </c>
      <c r="D439" t="str">
        <f t="shared" si="55"/>
        <v>M1437 Movie_437</v>
      </c>
      <c r="E439" t="s">
        <v>1010</v>
      </c>
      <c r="F439" t="str">
        <f>TRIM(Table1[[#This Row],[Genre]])</f>
        <v>Drama</v>
      </c>
      <c r="G439">
        <v>131</v>
      </c>
      <c r="H439">
        <v>6.9</v>
      </c>
      <c r="I439" t="str" cm="1">
        <f t="array" ref="I439">_xlfn.IFS(H439&lt;4,"poor",H439&lt;7,"average",H439&lt;9,"good",TRUE,"excellent")</f>
        <v>average</v>
      </c>
      <c r="J439" t="s">
        <v>1016</v>
      </c>
      <c r="K439" t="str">
        <f t="shared" si="49"/>
        <v>Spa</v>
      </c>
      <c r="L439">
        <v>1988</v>
      </c>
      <c r="M439" t="str">
        <f t="shared" si="50"/>
        <v>88</v>
      </c>
      <c r="N439" t="s">
        <v>1020</v>
      </c>
      <c r="O439" s="2">
        <v>44859</v>
      </c>
      <c r="Q439">
        <f t="shared" si="51"/>
        <v>5</v>
      </c>
      <c r="R439">
        <f t="shared" si="52"/>
        <v>8597</v>
      </c>
      <c r="U439" t="str">
        <f t="shared" si="53"/>
        <v>long</v>
      </c>
      <c r="V439" s="4">
        <f t="shared" ca="1" si="54"/>
        <v>45973.174535995371</v>
      </c>
    </row>
    <row r="440" spans="1:22" x14ac:dyDescent="0.25">
      <c r="A440" t="s">
        <v>446</v>
      </c>
      <c r="B440" t="s">
        <v>946</v>
      </c>
      <c r="C440">
        <f t="shared" si="48"/>
        <v>9</v>
      </c>
      <c r="D440" t="str">
        <f t="shared" si="55"/>
        <v>M1438 Movie_438</v>
      </c>
      <c r="E440" t="s">
        <v>1009</v>
      </c>
      <c r="F440" t="str">
        <f>TRIM(Table1[[#This Row],[Genre]])</f>
        <v>Action</v>
      </c>
      <c r="G440">
        <v>106</v>
      </c>
      <c r="H440">
        <v>2.6</v>
      </c>
      <c r="I440" t="str" cm="1">
        <f t="array" ref="I440">_xlfn.IFS(H440&lt;4,"poor",H440&lt;7,"average",H440&lt;9,"good",TRUE,"excellent")</f>
        <v>poor</v>
      </c>
      <c r="J440" t="s">
        <v>1016</v>
      </c>
      <c r="K440" t="str">
        <f t="shared" si="49"/>
        <v>Spa</v>
      </c>
      <c r="L440">
        <v>2012</v>
      </c>
      <c r="M440" t="str">
        <f t="shared" si="50"/>
        <v>12</v>
      </c>
      <c r="N440" t="s">
        <v>1020</v>
      </c>
      <c r="O440" s="2">
        <v>45209</v>
      </c>
      <c r="Q440">
        <f t="shared" si="51"/>
        <v>5</v>
      </c>
      <c r="R440">
        <f t="shared" si="52"/>
        <v>8466</v>
      </c>
      <c r="U440" t="str">
        <f t="shared" si="53"/>
        <v>short</v>
      </c>
      <c r="V440" s="4">
        <f t="shared" ca="1" si="54"/>
        <v>45973.174535995371</v>
      </c>
    </row>
    <row r="441" spans="1:22" x14ac:dyDescent="0.25">
      <c r="A441" t="s">
        <v>447</v>
      </c>
      <c r="B441" t="s">
        <v>947</v>
      </c>
      <c r="C441">
        <f t="shared" si="48"/>
        <v>9</v>
      </c>
      <c r="D441" t="str">
        <f t="shared" si="55"/>
        <v>M1439 Movie_439</v>
      </c>
      <c r="E441" t="s">
        <v>1009</v>
      </c>
      <c r="F441" t="str">
        <f>TRIM(Table1[[#This Row],[Genre]])</f>
        <v>Action</v>
      </c>
      <c r="G441">
        <v>171</v>
      </c>
      <c r="H441">
        <v>8</v>
      </c>
      <c r="I441" t="str" cm="1">
        <f t="array" ref="I441">_xlfn.IFS(H441&lt;4,"poor",H441&lt;7,"average",H441&lt;9,"good",TRUE,"excellent")</f>
        <v>good</v>
      </c>
      <c r="J441" t="s">
        <v>1019</v>
      </c>
      <c r="K441" t="str">
        <f t="shared" si="49"/>
        <v>Ger</v>
      </c>
      <c r="L441">
        <v>2006</v>
      </c>
      <c r="M441" t="str">
        <f t="shared" si="50"/>
        <v>06</v>
      </c>
      <c r="N441" t="s">
        <v>1021</v>
      </c>
      <c r="O441" s="2">
        <v>43938</v>
      </c>
      <c r="Q441">
        <f t="shared" si="51"/>
        <v>5</v>
      </c>
      <c r="R441">
        <f t="shared" si="52"/>
        <v>8360</v>
      </c>
      <c r="U441" t="str">
        <f t="shared" si="53"/>
        <v>long</v>
      </c>
      <c r="V441" s="4">
        <f t="shared" ca="1" si="54"/>
        <v>45973.174535995371</v>
      </c>
    </row>
    <row r="442" spans="1:22" x14ac:dyDescent="0.25">
      <c r="A442" t="s">
        <v>448</v>
      </c>
      <c r="B442" t="s">
        <v>948</v>
      </c>
      <c r="C442">
        <f t="shared" si="48"/>
        <v>9</v>
      </c>
      <c r="D442" t="str">
        <f t="shared" si="55"/>
        <v>M1440 Movie_440</v>
      </c>
      <c r="E442" t="s">
        <v>1008</v>
      </c>
      <c r="F442" t="str">
        <f>TRIM(Table1[[#This Row],[Genre]])</f>
        <v>Horror</v>
      </c>
      <c r="G442">
        <v>185</v>
      </c>
      <c r="H442">
        <v>5.4</v>
      </c>
      <c r="I442" t="str" cm="1">
        <f t="array" ref="I442">_xlfn.IFS(H442&lt;4,"poor",H442&lt;7,"average",H442&lt;9,"good",TRUE,"excellent")</f>
        <v>average</v>
      </c>
      <c r="J442" t="s">
        <v>1015</v>
      </c>
      <c r="K442" t="str">
        <f t="shared" si="49"/>
        <v>Hin</v>
      </c>
      <c r="L442">
        <v>2009</v>
      </c>
      <c r="M442" t="str">
        <f t="shared" si="50"/>
        <v>09</v>
      </c>
      <c r="N442" t="s">
        <v>1020</v>
      </c>
      <c r="O442" s="2">
        <v>44198</v>
      </c>
      <c r="Q442">
        <f t="shared" si="51"/>
        <v>5</v>
      </c>
      <c r="R442">
        <f t="shared" si="52"/>
        <v>8189</v>
      </c>
      <c r="U442" t="str">
        <f t="shared" si="53"/>
        <v>long</v>
      </c>
      <c r="V442" s="4">
        <f t="shared" ca="1" si="54"/>
        <v>45973.174535995371</v>
      </c>
    </row>
    <row r="443" spans="1:22" x14ac:dyDescent="0.25">
      <c r="A443" t="s">
        <v>449</v>
      </c>
      <c r="B443" t="s">
        <v>949</v>
      </c>
      <c r="C443">
        <f t="shared" si="48"/>
        <v>9</v>
      </c>
      <c r="D443" t="str">
        <f t="shared" si="55"/>
        <v>M1441 Movie_441</v>
      </c>
      <c r="E443" t="s">
        <v>1013</v>
      </c>
      <c r="F443" t="str">
        <f>TRIM(Table1[[#This Row],[Genre]])</f>
        <v>Thriller</v>
      </c>
      <c r="G443">
        <v>83</v>
      </c>
      <c r="H443">
        <v>7.8</v>
      </c>
      <c r="I443" t="str" cm="1">
        <f t="array" ref="I443">_xlfn.IFS(H443&lt;4,"poor",H443&lt;7,"average",H443&lt;9,"good",TRUE,"excellent")</f>
        <v>good</v>
      </c>
      <c r="J443" t="s">
        <v>1018</v>
      </c>
      <c r="K443" t="str">
        <f t="shared" si="49"/>
        <v>Eng</v>
      </c>
      <c r="L443">
        <v>2016</v>
      </c>
      <c r="M443" t="str">
        <f t="shared" si="50"/>
        <v>16</v>
      </c>
      <c r="N443" t="s">
        <v>1020</v>
      </c>
      <c r="O443" s="2">
        <v>44288</v>
      </c>
      <c r="Q443">
        <f t="shared" si="51"/>
        <v>5</v>
      </c>
      <c r="R443">
        <f t="shared" si="52"/>
        <v>8004</v>
      </c>
      <c r="U443" t="str">
        <f t="shared" si="53"/>
        <v>short</v>
      </c>
      <c r="V443" s="4">
        <f t="shared" ca="1" si="54"/>
        <v>45973.174535995371</v>
      </c>
    </row>
    <row r="444" spans="1:22" x14ac:dyDescent="0.25">
      <c r="A444" t="s">
        <v>450</v>
      </c>
      <c r="B444" t="s">
        <v>950</v>
      </c>
      <c r="C444">
        <f t="shared" si="48"/>
        <v>9</v>
      </c>
      <c r="D444" t="str">
        <f t="shared" si="55"/>
        <v>M1442 Movie_442</v>
      </c>
      <c r="E444" t="s">
        <v>1010</v>
      </c>
      <c r="F444" t="str">
        <f>TRIM(Table1[[#This Row],[Genre]])</f>
        <v>Drama</v>
      </c>
      <c r="G444">
        <v>180</v>
      </c>
      <c r="H444">
        <v>7.8</v>
      </c>
      <c r="I444" t="str" cm="1">
        <f t="array" ref="I444">_xlfn.IFS(H444&lt;4,"poor",H444&lt;7,"average",H444&lt;9,"good",TRUE,"excellent")</f>
        <v>good</v>
      </c>
      <c r="J444" t="s">
        <v>1018</v>
      </c>
      <c r="K444" t="str">
        <f t="shared" si="49"/>
        <v>Eng</v>
      </c>
      <c r="L444">
        <v>1983</v>
      </c>
      <c r="M444" t="str">
        <f t="shared" si="50"/>
        <v>83</v>
      </c>
      <c r="N444" t="s">
        <v>1021</v>
      </c>
      <c r="O444" s="2">
        <v>45478</v>
      </c>
      <c r="Q444">
        <f t="shared" si="51"/>
        <v>5</v>
      </c>
      <c r="R444">
        <f t="shared" si="52"/>
        <v>7921</v>
      </c>
      <c r="U444" t="str">
        <f t="shared" si="53"/>
        <v>long</v>
      </c>
      <c r="V444" s="4">
        <f t="shared" ca="1" si="54"/>
        <v>45973.174535995371</v>
      </c>
    </row>
    <row r="445" spans="1:22" x14ac:dyDescent="0.25">
      <c r="A445" t="s">
        <v>451</v>
      </c>
      <c r="B445" t="s">
        <v>951</v>
      </c>
      <c r="C445">
        <f t="shared" si="48"/>
        <v>9</v>
      </c>
      <c r="D445" t="str">
        <f t="shared" si="55"/>
        <v>M1443 Movie_443</v>
      </c>
      <c r="E445" t="s">
        <v>1009</v>
      </c>
      <c r="F445" t="str">
        <f>TRIM(Table1[[#This Row],[Genre]])</f>
        <v>Action</v>
      </c>
      <c r="G445">
        <v>149</v>
      </c>
      <c r="H445">
        <v>5</v>
      </c>
      <c r="I445" t="str" cm="1">
        <f t="array" ref="I445">_xlfn.IFS(H445&lt;4,"poor",H445&lt;7,"average",H445&lt;9,"good",TRUE,"excellent")</f>
        <v>average</v>
      </c>
      <c r="J445" t="s">
        <v>1015</v>
      </c>
      <c r="K445" t="str">
        <f t="shared" si="49"/>
        <v>Hin</v>
      </c>
      <c r="L445">
        <v>2015</v>
      </c>
      <c r="M445" t="str">
        <f t="shared" si="50"/>
        <v>15</v>
      </c>
      <c r="N445" t="s">
        <v>1020</v>
      </c>
      <c r="O445" s="2">
        <v>44887</v>
      </c>
      <c r="Q445">
        <f t="shared" si="51"/>
        <v>5</v>
      </c>
      <c r="R445">
        <f t="shared" si="52"/>
        <v>7741</v>
      </c>
      <c r="U445" t="str">
        <f t="shared" si="53"/>
        <v>long</v>
      </c>
      <c r="V445" s="4">
        <f t="shared" ca="1" si="54"/>
        <v>45973.174535995371</v>
      </c>
    </row>
    <row r="446" spans="1:22" x14ac:dyDescent="0.25">
      <c r="A446" t="s">
        <v>452</v>
      </c>
      <c r="B446" t="s">
        <v>952</v>
      </c>
      <c r="C446">
        <f t="shared" si="48"/>
        <v>9</v>
      </c>
      <c r="D446" t="str">
        <f t="shared" si="55"/>
        <v>M1444 Movie_444</v>
      </c>
      <c r="E446" t="s">
        <v>1009</v>
      </c>
      <c r="F446" t="str">
        <f>TRIM(Table1[[#This Row],[Genre]])</f>
        <v>Action</v>
      </c>
      <c r="G446">
        <v>164</v>
      </c>
      <c r="H446">
        <v>9.3000000000000007</v>
      </c>
      <c r="I446" t="str" cm="1">
        <f t="array" ref="I446">_xlfn.IFS(H446&lt;4,"poor",H446&lt;7,"average",H446&lt;9,"good",TRUE,"excellent")</f>
        <v>excellent</v>
      </c>
      <c r="J446" t="s">
        <v>1016</v>
      </c>
      <c r="K446" t="str">
        <f t="shared" si="49"/>
        <v>Spa</v>
      </c>
      <c r="L446">
        <v>2009</v>
      </c>
      <c r="M446" t="str">
        <f t="shared" si="50"/>
        <v>09</v>
      </c>
      <c r="N446" t="s">
        <v>1020</v>
      </c>
      <c r="O446" s="2">
        <v>43925</v>
      </c>
      <c r="Q446">
        <f t="shared" si="51"/>
        <v>5</v>
      </c>
      <c r="R446">
        <f t="shared" si="52"/>
        <v>7592</v>
      </c>
      <c r="U446" t="str">
        <f t="shared" si="53"/>
        <v>long</v>
      </c>
      <c r="V446" s="4">
        <f t="shared" ca="1" si="54"/>
        <v>45973.174535995371</v>
      </c>
    </row>
    <row r="447" spans="1:22" x14ac:dyDescent="0.25">
      <c r="A447" t="s">
        <v>453</v>
      </c>
      <c r="B447" t="s">
        <v>953</v>
      </c>
      <c r="C447">
        <f t="shared" si="48"/>
        <v>9</v>
      </c>
      <c r="D447" t="str">
        <f t="shared" si="55"/>
        <v>M1445 Movie_445</v>
      </c>
      <c r="E447" t="s">
        <v>1010</v>
      </c>
      <c r="F447" t="str">
        <f>TRIM(Table1[[#This Row],[Genre]])</f>
        <v>Drama</v>
      </c>
      <c r="G447">
        <v>145</v>
      </c>
      <c r="H447">
        <v>6.1</v>
      </c>
      <c r="I447" t="str" cm="1">
        <f t="array" ref="I447">_xlfn.IFS(H447&lt;4,"poor",H447&lt;7,"average",H447&lt;9,"good",TRUE,"excellent")</f>
        <v>average</v>
      </c>
      <c r="J447" t="s">
        <v>1017</v>
      </c>
      <c r="K447" t="str">
        <f t="shared" si="49"/>
        <v>Fre</v>
      </c>
      <c r="L447">
        <v>2023</v>
      </c>
      <c r="M447" t="str">
        <f t="shared" si="50"/>
        <v>23</v>
      </c>
      <c r="N447" t="s">
        <v>1021</v>
      </c>
      <c r="O447" s="2">
        <v>44652</v>
      </c>
      <c r="Q447">
        <f t="shared" si="51"/>
        <v>5</v>
      </c>
      <c r="R447">
        <f t="shared" si="52"/>
        <v>7428</v>
      </c>
      <c r="U447" t="str">
        <f t="shared" si="53"/>
        <v>long</v>
      </c>
      <c r="V447" s="4">
        <f t="shared" ca="1" si="54"/>
        <v>45973.174535995371</v>
      </c>
    </row>
    <row r="448" spans="1:22" x14ac:dyDescent="0.25">
      <c r="A448" t="s">
        <v>454</v>
      </c>
      <c r="B448" t="s">
        <v>954</v>
      </c>
      <c r="C448">
        <f t="shared" si="48"/>
        <v>9</v>
      </c>
      <c r="D448" t="str">
        <f t="shared" si="55"/>
        <v>M1446 Movie_446</v>
      </c>
      <c r="E448" t="s">
        <v>1011</v>
      </c>
      <c r="F448" t="str">
        <f>TRIM(Table1[[#This Row],[Genre]])</f>
        <v>Comedy</v>
      </c>
      <c r="G448">
        <v>142</v>
      </c>
      <c r="H448">
        <v>6.7</v>
      </c>
      <c r="I448" t="str" cm="1">
        <f t="array" ref="I448">_xlfn.IFS(H448&lt;4,"poor",H448&lt;7,"average",H448&lt;9,"good",TRUE,"excellent")</f>
        <v>average</v>
      </c>
      <c r="J448" t="s">
        <v>1016</v>
      </c>
      <c r="K448" t="str">
        <f t="shared" si="49"/>
        <v>Spa</v>
      </c>
      <c r="L448">
        <v>1999</v>
      </c>
      <c r="M448" t="str">
        <f t="shared" si="50"/>
        <v>99</v>
      </c>
      <c r="N448" t="s">
        <v>1020</v>
      </c>
      <c r="O448" s="2">
        <v>43972</v>
      </c>
      <c r="Q448">
        <f t="shared" si="51"/>
        <v>5</v>
      </c>
      <c r="R448">
        <f t="shared" si="52"/>
        <v>7283</v>
      </c>
      <c r="U448" t="str">
        <f t="shared" si="53"/>
        <v>long</v>
      </c>
      <c r="V448" s="4">
        <f t="shared" ca="1" si="54"/>
        <v>45973.174535995371</v>
      </c>
    </row>
    <row r="449" spans="1:22" x14ac:dyDescent="0.25">
      <c r="A449" t="s">
        <v>455</v>
      </c>
      <c r="B449" t="s">
        <v>955</v>
      </c>
      <c r="C449">
        <f t="shared" si="48"/>
        <v>9</v>
      </c>
      <c r="D449" t="str">
        <f t="shared" si="55"/>
        <v>M1447 Movie_447</v>
      </c>
      <c r="E449" t="s">
        <v>1008</v>
      </c>
      <c r="F449" t="str">
        <f>TRIM(Table1[[#This Row],[Genre]])</f>
        <v>Horror</v>
      </c>
      <c r="G449">
        <v>86</v>
      </c>
      <c r="H449">
        <v>6.6</v>
      </c>
      <c r="I449" t="str" cm="1">
        <f t="array" ref="I449">_xlfn.IFS(H449&lt;4,"poor",H449&lt;7,"average",H449&lt;9,"good",TRUE,"excellent")</f>
        <v>average</v>
      </c>
      <c r="J449" t="s">
        <v>1016</v>
      </c>
      <c r="K449" t="str">
        <f t="shared" si="49"/>
        <v>Spa</v>
      </c>
      <c r="L449">
        <v>1981</v>
      </c>
      <c r="M449" t="str">
        <f t="shared" si="50"/>
        <v>81</v>
      </c>
      <c r="N449" t="s">
        <v>1021</v>
      </c>
      <c r="O449" s="2">
        <v>44783</v>
      </c>
      <c r="Q449">
        <f t="shared" si="51"/>
        <v>5</v>
      </c>
      <c r="R449">
        <f t="shared" si="52"/>
        <v>7141</v>
      </c>
      <c r="U449" t="str">
        <f t="shared" si="53"/>
        <v>short</v>
      </c>
      <c r="V449" s="4">
        <f t="shared" ca="1" si="54"/>
        <v>45973.174535995371</v>
      </c>
    </row>
    <row r="450" spans="1:22" x14ac:dyDescent="0.25">
      <c r="A450" t="s">
        <v>456</v>
      </c>
      <c r="B450" t="s">
        <v>956</v>
      </c>
      <c r="C450">
        <f t="shared" ref="C450:C501" si="56">LEN(B450)</f>
        <v>9</v>
      </c>
      <c r="D450" t="str">
        <f t="shared" si="55"/>
        <v>M1448 Movie_448</v>
      </c>
      <c r="E450" t="s">
        <v>1010</v>
      </c>
      <c r="F450" t="str">
        <f>TRIM(Table1[[#This Row],[Genre]])</f>
        <v>Drama</v>
      </c>
      <c r="G450">
        <v>101</v>
      </c>
      <c r="H450">
        <v>8.8000000000000007</v>
      </c>
      <c r="I450" t="str" cm="1">
        <f t="array" ref="I450">_xlfn.IFS(H450&lt;4,"poor",H450&lt;7,"average",H450&lt;9,"good",TRUE,"excellent")</f>
        <v>good</v>
      </c>
      <c r="J450" t="s">
        <v>1017</v>
      </c>
      <c r="K450" t="str">
        <f t="shared" ref="K450:K501" si="57">LEFT(J450,3)</f>
        <v>Fre</v>
      </c>
      <c r="L450">
        <v>2005</v>
      </c>
      <c r="M450" t="str">
        <f t="shared" ref="M450:M501" si="58">RIGHT(L450,2)</f>
        <v>05</v>
      </c>
      <c r="N450" t="s">
        <v>1021</v>
      </c>
      <c r="O450" s="2">
        <v>44409</v>
      </c>
      <c r="Q450">
        <f t="shared" ref="Q450:Q501" si="59">COUNT(A450:O450)</f>
        <v>5</v>
      </c>
      <c r="R450">
        <f t="shared" ref="R450:R501" si="60">SUM(G450:G949)</f>
        <v>7055</v>
      </c>
      <c r="U450" t="str">
        <f t="shared" ref="U450:U501" si="61">IF(G450&gt;120,"long","short")</f>
        <v>short</v>
      </c>
      <c r="V450" s="4">
        <f t="shared" ref="V450:V501" ca="1" si="62">NOW()</f>
        <v>45973.174535995371</v>
      </c>
    </row>
    <row r="451" spans="1:22" x14ac:dyDescent="0.25">
      <c r="A451" t="s">
        <v>457</v>
      </c>
      <c r="B451" t="s">
        <v>957</v>
      </c>
      <c r="C451">
        <f t="shared" si="56"/>
        <v>9</v>
      </c>
      <c r="D451" t="str">
        <f t="shared" ref="D451:D500" si="63">CONCATENATE(A451," ",B451)</f>
        <v>M1449 Movie_449</v>
      </c>
      <c r="E451" t="s">
        <v>1011</v>
      </c>
      <c r="F451" t="str">
        <f>TRIM(Table1[[#This Row],[Genre]])</f>
        <v>Comedy</v>
      </c>
      <c r="G451">
        <v>144</v>
      </c>
      <c r="H451">
        <v>6.6</v>
      </c>
      <c r="I451" t="str" cm="1">
        <f t="array" ref="I451">_xlfn.IFS(H451&lt;4,"poor",H451&lt;7,"average",H451&lt;9,"good",TRUE,"excellent")</f>
        <v>average</v>
      </c>
      <c r="J451" t="s">
        <v>1014</v>
      </c>
      <c r="K451" t="str">
        <f t="shared" si="57"/>
        <v>Jap</v>
      </c>
      <c r="L451">
        <v>1996</v>
      </c>
      <c r="M451" t="str">
        <f t="shared" si="58"/>
        <v>96</v>
      </c>
      <c r="N451" t="s">
        <v>1020</v>
      </c>
      <c r="O451" s="2">
        <v>45415</v>
      </c>
      <c r="Q451">
        <f t="shared" si="59"/>
        <v>5</v>
      </c>
      <c r="R451">
        <f t="shared" si="60"/>
        <v>6954</v>
      </c>
      <c r="U451" t="str">
        <f t="shared" si="61"/>
        <v>long</v>
      </c>
      <c r="V451" s="4">
        <f t="shared" ca="1" si="62"/>
        <v>45973.174535995371</v>
      </c>
    </row>
    <row r="452" spans="1:22" x14ac:dyDescent="0.25">
      <c r="A452" t="s">
        <v>458</v>
      </c>
      <c r="B452" t="s">
        <v>958</v>
      </c>
      <c r="C452">
        <f t="shared" si="56"/>
        <v>9</v>
      </c>
      <c r="D452" t="str">
        <f t="shared" si="63"/>
        <v>M1450 Movie_450</v>
      </c>
      <c r="E452" t="s">
        <v>1008</v>
      </c>
      <c r="F452" t="str">
        <f>TRIM(Table1[[#This Row],[Genre]])</f>
        <v>Horror</v>
      </c>
      <c r="G452">
        <v>165</v>
      </c>
      <c r="H452">
        <v>2.4</v>
      </c>
      <c r="I452" t="str" cm="1">
        <f t="array" ref="I452">_xlfn.IFS(H452&lt;4,"poor",H452&lt;7,"average",H452&lt;9,"good",TRUE,"excellent")</f>
        <v>poor</v>
      </c>
      <c r="J452" t="s">
        <v>1016</v>
      </c>
      <c r="K452" t="str">
        <f t="shared" si="57"/>
        <v>Spa</v>
      </c>
      <c r="L452">
        <v>1980</v>
      </c>
      <c r="M452" t="str">
        <f t="shared" si="58"/>
        <v>80</v>
      </c>
      <c r="N452" t="s">
        <v>1021</v>
      </c>
      <c r="O452" s="2">
        <v>44467</v>
      </c>
      <c r="Q452">
        <f t="shared" si="59"/>
        <v>5</v>
      </c>
      <c r="R452">
        <f t="shared" si="60"/>
        <v>6810</v>
      </c>
      <c r="U452" t="str">
        <f t="shared" si="61"/>
        <v>long</v>
      </c>
      <c r="V452" s="4">
        <f t="shared" ca="1" si="62"/>
        <v>45973.174535995371</v>
      </c>
    </row>
    <row r="453" spans="1:22" x14ac:dyDescent="0.25">
      <c r="A453" t="s">
        <v>459</v>
      </c>
      <c r="B453" t="s">
        <v>959</v>
      </c>
      <c r="C453">
        <f t="shared" si="56"/>
        <v>9</v>
      </c>
      <c r="D453" t="str">
        <f t="shared" si="63"/>
        <v>M1451 Movie_451</v>
      </c>
      <c r="E453" t="s">
        <v>1013</v>
      </c>
      <c r="F453" t="str">
        <f>TRIM(Table1[[#This Row],[Genre]])</f>
        <v>Thriller</v>
      </c>
      <c r="G453">
        <v>186</v>
      </c>
      <c r="H453">
        <v>1.6</v>
      </c>
      <c r="I453" t="str" cm="1">
        <f t="array" ref="I453">_xlfn.IFS(H453&lt;4,"poor",H453&lt;7,"average",H453&lt;9,"good",TRUE,"excellent")</f>
        <v>poor</v>
      </c>
      <c r="J453" t="s">
        <v>1017</v>
      </c>
      <c r="K453" t="str">
        <f t="shared" si="57"/>
        <v>Fre</v>
      </c>
      <c r="L453">
        <v>1993</v>
      </c>
      <c r="M453" t="str">
        <f t="shared" si="58"/>
        <v>93</v>
      </c>
      <c r="N453" t="s">
        <v>1021</v>
      </c>
      <c r="O453" s="2">
        <v>44501</v>
      </c>
      <c r="Q453">
        <f t="shared" si="59"/>
        <v>5</v>
      </c>
      <c r="R453">
        <f t="shared" si="60"/>
        <v>6645</v>
      </c>
      <c r="U453" t="str">
        <f t="shared" si="61"/>
        <v>long</v>
      </c>
      <c r="V453" s="4">
        <f t="shared" ca="1" si="62"/>
        <v>45973.174535995371</v>
      </c>
    </row>
    <row r="454" spans="1:22" x14ac:dyDescent="0.25">
      <c r="A454" t="s">
        <v>460</v>
      </c>
      <c r="B454" t="s">
        <v>960</v>
      </c>
      <c r="C454">
        <f t="shared" si="56"/>
        <v>9</v>
      </c>
      <c r="D454" t="str">
        <f t="shared" si="63"/>
        <v>M1452 Movie_452</v>
      </c>
      <c r="E454" t="s">
        <v>1012</v>
      </c>
      <c r="F454" t="str">
        <f>TRIM(Table1[[#This Row],[Genre]])</f>
        <v>Sci-Fi</v>
      </c>
      <c r="G454">
        <v>133</v>
      </c>
      <c r="H454">
        <v>5</v>
      </c>
      <c r="I454" t="str" cm="1">
        <f t="array" ref="I454">_xlfn.IFS(H454&lt;4,"poor",H454&lt;7,"average",H454&lt;9,"good",TRUE,"excellent")</f>
        <v>average</v>
      </c>
      <c r="J454" t="s">
        <v>1015</v>
      </c>
      <c r="K454" t="str">
        <f t="shared" si="57"/>
        <v>Hin</v>
      </c>
      <c r="L454">
        <v>2017</v>
      </c>
      <c r="M454" t="str">
        <f t="shared" si="58"/>
        <v>17</v>
      </c>
      <c r="N454" t="s">
        <v>1020</v>
      </c>
      <c r="O454" s="2">
        <v>44007</v>
      </c>
      <c r="Q454">
        <f t="shared" si="59"/>
        <v>5</v>
      </c>
      <c r="R454">
        <f t="shared" si="60"/>
        <v>6459</v>
      </c>
      <c r="U454" t="str">
        <f t="shared" si="61"/>
        <v>long</v>
      </c>
      <c r="V454" s="4">
        <f t="shared" ca="1" si="62"/>
        <v>45973.174535995371</v>
      </c>
    </row>
    <row r="455" spans="1:22" x14ac:dyDescent="0.25">
      <c r="A455" t="s">
        <v>461</v>
      </c>
      <c r="B455" t="s">
        <v>961</v>
      </c>
      <c r="C455">
        <f t="shared" si="56"/>
        <v>9</v>
      </c>
      <c r="D455" t="str">
        <f t="shared" si="63"/>
        <v>M1453 Movie_453</v>
      </c>
      <c r="E455" t="s">
        <v>1008</v>
      </c>
      <c r="F455" t="str">
        <f>TRIM(Table1[[#This Row],[Genre]])</f>
        <v>Horror</v>
      </c>
      <c r="G455">
        <v>162</v>
      </c>
      <c r="H455">
        <v>3.7</v>
      </c>
      <c r="I455" t="str" cm="1">
        <f t="array" ref="I455">_xlfn.IFS(H455&lt;4,"poor",H455&lt;7,"average",H455&lt;9,"good",TRUE,"excellent")</f>
        <v>poor</v>
      </c>
      <c r="J455" t="s">
        <v>1017</v>
      </c>
      <c r="K455" t="str">
        <f t="shared" si="57"/>
        <v>Fre</v>
      </c>
      <c r="L455">
        <v>1984</v>
      </c>
      <c r="M455" t="str">
        <f t="shared" si="58"/>
        <v>84</v>
      </c>
      <c r="N455" t="s">
        <v>1021</v>
      </c>
      <c r="O455" s="2">
        <v>44963</v>
      </c>
      <c r="Q455">
        <f t="shared" si="59"/>
        <v>5</v>
      </c>
      <c r="R455">
        <f t="shared" si="60"/>
        <v>6326</v>
      </c>
      <c r="U455" t="str">
        <f t="shared" si="61"/>
        <v>long</v>
      </c>
      <c r="V455" s="4">
        <f t="shared" ca="1" si="62"/>
        <v>45973.174535995371</v>
      </c>
    </row>
    <row r="456" spans="1:22" x14ac:dyDescent="0.25">
      <c r="A456" t="s">
        <v>462</v>
      </c>
      <c r="B456" t="s">
        <v>962</v>
      </c>
      <c r="C456">
        <f t="shared" si="56"/>
        <v>9</v>
      </c>
      <c r="D456" t="str">
        <f t="shared" si="63"/>
        <v>M1454 Movie_454</v>
      </c>
      <c r="E456" t="s">
        <v>1013</v>
      </c>
      <c r="F456" t="str">
        <f>TRIM(Table1[[#This Row],[Genre]])</f>
        <v>Thriller</v>
      </c>
      <c r="G456">
        <v>200</v>
      </c>
      <c r="H456">
        <v>3.5</v>
      </c>
      <c r="I456" t="str" cm="1">
        <f t="array" ref="I456">_xlfn.IFS(H456&lt;4,"poor",H456&lt;7,"average",H456&lt;9,"good",TRUE,"excellent")</f>
        <v>poor</v>
      </c>
      <c r="J456" t="s">
        <v>1018</v>
      </c>
      <c r="K456" t="str">
        <f t="shared" si="57"/>
        <v>Eng</v>
      </c>
      <c r="L456">
        <v>1982</v>
      </c>
      <c r="M456" t="str">
        <f t="shared" si="58"/>
        <v>82</v>
      </c>
      <c r="N456" t="s">
        <v>1020</v>
      </c>
      <c r="O456" s="2">
        <v>44766</v>
      </c>
      <c r="Q456">
        <f t="shared" si="59"/>
        <v>5</v>
      </c>
      <c r="R456">
        <f t="shared" si="60"/>
        <v>6164</v>
      </c>
      <c r="U456" t="str">
        <f t="shared" si="61"/>
        <v>long</v>
      </c>
      <c r="V456" s="4">
        <f t="shared" ca="1" si="62"/>
        <v>45973.174535995371</v>
      </c>
    </row>
    <row r="457" spans="1:22" x14ac:dyDescent="0.25">
      <c r="A457" t="s">
        <v>463</v>
      </c>
      <c r="B457" t="s">
        <v>963</v>
      </c>
      <c r="C457">
        <f t="shared" si="56"/>
        <v>9</v>
      </c>
      <c r="D457" t="str">
        <f t="shared" si="63"/>
        <v>M1455 Movie_455</v>
      </c>
      <c r="E457" t="s">
        <v>1012</v>
      </c>
      <c r="F457" t="str">
        <f>TRIM(Table1[[#This Row],[Genre]])</f>
        <v>Sci-Fi</v>
      </c>
      <c r="G457">
        <v>69</v>
      </c>
      <c r="H457">
        <v>1.5</v>
      </c>
      <c r="I457" t="str" cm="1">
        <f t="array" ref="I457">_xlfn.IFS(H457&lt;4,"poor",H457&lt;7,"average",H457&lt;9,"good",TRUE,"excellent")</f>
        <v>poor</v>
      </c>
      <c r="J457" t="s">
        <v>1017</v>
      </c>
      <c r="K457" t="str">
        <f t="shared" si="57"/>
        <v>Fre</v>
      </c>
      <c r="L457">
        <v>2007</v>
      </c>
      <c r="M457" t="str">
        <f t="shared" si="58"/>
        <v>07</v>
      </c>
      <c r="N457" t="s">
        <v>1020</v>
      </c>
      <c r="O457" s="2">
        <v>43847</v>
      </c>
      <c r="Q457">
        <f t="shared" si="59"/>
        <v>5</v>
      </c>
      <c r="R457">
        <f t="shared" si="60"/>
        <v>5964</v>
      </c>
      <c r="U457" t="str">
        <f t="shared" si="61"/>
        <v>short</v>
      </c>
      <c r="V457" s="4">
        <f t="shared" ca="1" si="62"/>
        <v>45973.174535995371</v>
      </c>
    </row>
    <row r="458" spans="1:22" x14ac:dyDescent="0.25">
      <c r="A458" t="s">
        <v>464</v>
      </c>
      <c r="B458" t="s">
        <v>964</v>
      </c>
      <c r="C458">
        <f t="shared" si="56"/>
        <v>9</v>
      </c>
      <c r="D458" t="str">
        <f t="shared" si="63"/>
        <v>M1456 Movie_456</v>
      </c>
      <c r="E458" t="s">
        <v>1009</v>
      </c>
      <c r="F458" t="str">
        <f>TRIM(Table1[[#This Row],[Genre]])</f>
        <v>Action</v>
      </c>
      <c r="G458">
        <v>176</v>
      </c>
      <c r="H458">
        <v>5.6</v>
      </c>
      <c r="I458" t="str" cm="1">
        <f t="array" ref="I458">_xlfn.IFS(H458&lt;4,"poor",H458&lt;7,"average",H458&lt;9,"good",TRUE,"excellent")</f>
        <v>average</v>
      </c>
      <c r="J458" t="s">
        <v>1016</v>
      </c>
      <c r="K458" t="str">
        <f t="shared" si="57"/>
        <v>Spa</v>
      </c>
      <c r="L458">
        <v>2002</v>
      </c>
      <c r="M458" t="str">
        <f t="shared" si="58"/>
        <v>02</v>
      </c>
      <c r="N458" t="s">
        <v>1021</v>
      </c>
      <c r="O458" s="2">
        <v>44586</v>
      </c>
      <c r="Q458">
        <f t="shared" si="59"/>
        <v>5</v>
      </c>
      <c r="R458">
        <f t="shared" si="60"/>
        <v>5895</v>
      </c>
      <c r="U458" t="str">
        <f t="shared" si="61"/>
        <v>long</v>
      </c>
      <c r="V458" s="4">
        <f t="shared" ca="1" si="62"/>
        <v>45973.174535995371</v>
      </c>
    </row>
    <row r="459" spans="1:22" x14ac:dyDescent="0.25">
      <c r="A459" t="s">
        <v>465</v>
      </c>
      <c r="B459" t="s">
        <v>965</v>
      </c>
      <c r="C459">
        <f t="shared" si="56"/>
        <v>9</v>
      </c>
      <c r="D459" t="str">
        <f t="shared" si="63"/>
        <v>M1457 Movie_457</v>
      </c>
      <c r="E459" t="s">
        <v>1009</v>
      </c>
      <c r="F459" t="str">
        <f>TRIM(Table1[[#This Row],[Genre]])</f>
        <v>Action</v>
      </c>
      <c r="G459">
        <v>82</v>
      </c>
      <c r="H459">
        <v>3.8</v>
      </c>
      <c r="I459" t="str" cm="1">
        <f t="array" ref="I459">_xlfn.IFS(H459&lt;4,"poor",H459&lt;7,"average",H459&lt;9,"good",TRUE,"excellent")</f>
        <v>poor</v>
      </c>
      <c r="J459" t="s">
        <v>1014</v>
      </c>
      <c r="K459" t="str">
        <f t="shared" si="57"/>
        <v>Jap</v>
      </c>
      <c r="L459">
        <v>2024</v>
      </c>
      <c r="M459" t="str">
        <f t="shared" si="58"/>
        <v>24</v>
      </c>
      <c r="N459" t="s">
        <v>1021</v>
      </c>
      <c r="O459" s="2">
        <v>44241</v>
      </c>
      <c r="Q459">
        <f t="shared" si="59"/>
        <v>5</v>
      </c>
      <c r="R459">
        <f t="shared" si="60"/>
        <v>5719</v>
      </c>
      <c r="U459" t="str">
        <f t="shared" si="61"/>
        <v>short</v>
      </c>
      <c r="V459" s="4">
        <f t="shared" ca="1" si="62"/>
        <v>45973.174535995371</v>
      </c>
    </row>
    <row r="460" spans="1:22" x14ac:dyDescent="0.25">
      <c r="A460" t="s">
        <v>466</v>
      </c>
      <c r="B460" t="s">
        <v>966</v>
      </c>
      <c r="C460">
        <f t="shared" si="56"/>
        <v>9</v>
      </c>
      <c r="D460" t="str">
        <f t="shared" si="63"/>
        <v>M1458 Movie_458</v>
      </c>
      <c r="E460" t="s">
        <v>1009</v>
      </c>
      <c r="F460" t="str">
        <f>TRIM(Table1[[#This Row],[Genre]])</f>
        <v>Action</v>
      </c>
      <c r="G460">
        <v>140</v>
      </c>
      <c r="H460">
        <v>5.0999999999999996</v>
      </c>
      <c r="I460" t="str" cm="1">
        <f t="array" ref="I460">_xlfn.IFS(H460&lt;4,"poor",H460&lt;7,"average",H460&lt;9,"good",TRUE,"excellent")</f>
        <v>average</v>
      </c>
      <c r="J460" t="s">
        <v>1015</v>
      </c>
      <c r="K460" t="str">
        <f t="shared" si="57"/>
        <v>Hin</v>
      </c>
      <c r="L460">
        <v>1984</v>
      </c>
      <c r="M460" t="str">
        <f t="shared" si="58"/>
        <v>84</v>
      </c>
      <c r="N460" t="s">
        <v>1020</v>
      </c>
      <c r="O460" s="2">
        <v>44428</v>
      </c>
      <c r="Q460">
        <f t="shared" si="59"/>
        <v>5</v>
      </c>
      <c r="R460">
        <f t="shared" si="60"/>
        <v>5637</v>
      </c>
      <c r="U460" t="str">
        <f t="shared" si="61"/>
        <v>long</v>
      </c>
      <c r="V460" s="4">
        <f t="shared" ca="1" si="62"/>
        <v>45973.174535995371</v>
      </c>
    </row>
    <row r="461" spans="1:22" x14ac:dyDescent="0.25">
      <c r="A461" t="s">
        <v>467</v>
      </c>
      <c r="B461" t="s">
        <v>967</v>
      </c>
      <c r="C461">
        <f t="shared" si="56"/>
        <v>9</v>
      </c>
      <c r="D461" t="str">
        <f t="shared" si="63"/>
        <v>M1459 Movie_459</v>
      </c>
      <c r="E461" t="s">
        <v>1008</v>
      </c>
      <c r="F461" t="str">
        <f>TRIM(Table1[[#This Row],[Genre]])</f>
        <v>Horror</v>
      </c>
      <c r="G461">
        <v>124</v>
      </c>
      <c r="H461">
        <v>1.5</v>
      </c>
      <c r="I461" t="str" cm="1">
        <f t="array" ref="I461">_xlfn.IFS(H461&lt;4,"poor",H461&lt;7,"average",H461&lt;9,"good",TRUE,"excellent")</f>
        <v>poor</v>
      </c>
      <c r="J461" t="s">
        <v>1017</v>
      </c>
      <c r="K461" t="str">
        <f t="shared" si="57"/>
        <v>Fre</v>
      </c>
      <c r="L461">
        <v>2014</v>
      </c>
      <c r="M461" t="str">
        <f t="shared" si="58"/>
        <v>14</v>
      </c>
      <c r="N461" t="s">
        <v>1020</v>
      </c>
      <c r="O461" s="2">
        <v>44985</v>
      </c>
      <c r="Q461">
        <f t="shared" si="59"/>
        <v>5</v>
      </c>
      <c r="R461">
        <f t="shared" si="60"/>
        <v>5497</v>
      </c>
      <c r="U461" t="str">
        <f t="shared" si="61"/>
        <v>long</v>
      </c>
      <c r="V461" s="4">
        <f t="shared" ca="1" si="62"/>
        <v>45973.174535995371</v>
      </c>
    </row>
    <row r="462" spans="1:22" x14ac:dyDescent="0.25">
      <c r="A462" t="s">
        <v>468</v>
      </c>
      <c r="B462" t="s">
        <v>968</v>
      </c>
      <c r="C462">
        <f t="shared" si="56"/>
        <v>9</v>
      </c>
      <c r="D462" t="str">
        <f t="shared" si="63"/>
        <v>M1460 Movie_460</v>
      </c>
      <c r="E462" t="s">
        <v>1011</v>
      </c>
      <c r="F462" t="str">
        <f>TRIM(Table1[[#This Row],[Genre]])</f>
        <v>Comedy</v>
      </c>
      <c r="G462">
        <v>142</v>
      </c>
      <c r="H462">
        <v>8.5</v>
      </c>
      <c r="I462" t="str" cm="1">
        <f t="array" ref="I462">_xlfn.IFS(H462&lt;4,"poor",H462&lt;7,"average",H462&lt;9,"good",TRUE,"excellent")</f>
        <v>good</v>
      </c>
      <c r="J462" t="s">
        <v>1016</v>
      </c>
      <c r="K462" t="str">
        <f t="shared" si="57"/>
        <v>Spa</v>
      </c>
      <c r="L462">
        <v>1983</v>
      </c>
      <c r="M462" t="str">
        <f t="shared" si="58"/>
        <v>83</v>
      </c>
      <c r="N462" t="s">
        <v>1021</v>
      </c>
      <c r="O462" s="2">
        <v>45437</v>
      </c>
      <c r="Q462">
        <f t="shared" si="59"/>
        <v>5</v>
      </c>
      <c r="R462">
        <f t="shared" si="60"/>
        <v>5373</v>
      </c>
      <c r="U462" t="str">
        <f t="shared" si="61"/>
        <v>long</v>
      </c>
      <c r="V462" s="4">
        <f t="shared" ca="1" si="62"/>
        <v>45973.174535995371</v>
      </c>
    </row>
    <row r="463" spans="1:22" x14ac:dyDescent="0.25">
      <c r="A463" t="s">
        <v>469</v>
      </c>
      <c r="B463" t="s">
        <v>969</v>
      </c>
      <c r="C463">
        <f t="shared" si="56"/>
        <v>9</v>
      </c>
      <c r="D463" t="str">
        <f t="shared" si="63"/>
        <v>M1461 Movie_461</v>
      </c>
      <c r="E463" t="s">
        <v>1012</v>
      </c>
      <c r="F463" t="str">
        <f>TRIM(Table1[[#This Row],[Genre]])</f>
        <v>Sci-Fi</v>
      </c>
      <c r="G463">
        <v>89</v>
      </c>
      <c r="H463">
        <v>1.7</v>
      </c>
      <c r="I463" t="str" cm="1">
        <f t="array" ref="I463">_xlfn.IFS(H463&lt;4,"poor",H463&lt;7,"average",H463&lt;9,"good",TRUE,"excellent")</f>
        <v>poor</v>
      </c>
      <c r="J463" t="s">
        <v>1014</v>
      </c>
      <c r="K463" t="str">
        <f t="shared" si="57"/>
        <v>Jap</v>
      </c>
      <c r="L463">
        <v>1984</v>
      </c>
      <c r="M463" t="str">
        <f t="shared" si="58"/>
        <v>84</v>
      </c>
      <c r="N463" t="s">
        <v>1021</v>
      </c>
      <c r="O463" s="2">
        <v>44453</v>
      </c>
      <c r="Q463">
        <f t="shared" si="59"/>
        <v>5</v>
      </c>
      <c r="R463">
        <f t="shared" si="60"/>
        <v>5231</v>
      </c>
      <c r="U463" t="str">
        <f t="shared" si="61"/>
        <v>short</v>
      </c>
      <c r="V463" s="4">
        <f t="shared" ca="1" si="62"/>
        <v>45973.174535995371</v>
      </c>
    </row>
    <row r="464" spans="1:22" x14ac:dyDescent="0.25">
      <c r="A464" t="s">
        <v>470</v>
      </c>
      <c r="B464" t="s">
        <v>970</v>
      </c>
      <c r="C464">
        <f t="shared" si="56"/>
        <v>9</v>
      </c>
      <c r="D464" t="str">
        <f t="shared" si="63"/>
        <v>M1462 Movie_462</v>
      </c>
      <c r="E464" t="s">
        <v>1009</v>
      </c>
      <c r="F464" t="str">
        <f>TRIM(Table1[[#This Row],[Genre]])</f>
        <v>Action</v>
      </c>
      <c r="G464">
        <v>163</v>
      </c>
      <c r="H464">
        <v>8.8000000000000007</v>
      </c>
      <c r="I464" t="str" cm="1">
        <f t="array" ref="I464">_xlfn.IFS(H464&lt;4,"poor",H464&lt;7,"average",H464&lt;9,"good",TRUE,"excellent")</f>
        <v>good</v>
      </c>
      <c r="J464" t="s">
        <v>1017</v>
      </c>
      <c r="K464" t="str">
        <f t="shared" si="57"/>
        <v>Fre</v>
      </c>
      <c r="L464">
        <v>2010</v>
      </c>
      <c r="M464" t="str">
        <f t="shared" si="58"/>
        <v>10</v>
      </c>
      <c r="N464" t="s">
        <v>1020</v>
      </c>
      <c r="O464" s="2">
        <v>45345</v>
      </c>
      <c r="Q464">
        <f t="shared" si="59"/>
        <v>5</v>
      </c>
      <c r="R464">
        <f t="shared" si="60"/>
        <v>5142</v>
      </c>
      <c r="U464" t="str">
        <f t="shared" si="61"/>
        <v>long</v>
      </c>
      <c r="V464" s="4">
        <f t="shared" ca="1" si="62"/>
        <v>45973.174535995371</v>
      </c>
    </row>
    <row r="465" spans="1:22" x14ac:dyDescent="0.25">
      <c r="A465" t="s">
        <v>471</v>
      </c>
      <c r="B465" t="s">
        <v>971</v>
      </c>
      <c r="C465">
        <f t="shared" si="56"/>
        <v>9</v>
      </c>
      <c r="D465" t="str">
        <f t="shared" si="63"/>
        <v>M1463 Movie_463</v>
      </c>
      <c r="E465" t="s">
        <v>1010</v>
      </c>
      <c r="F465" t="str">
        <f>TRIM(Table1[[#This Row],[Genre]])</f>
        <v>Drama</v>
      </c>
      <c r="G465">
        <v>191</v>
      </c>
      <c r="H465">
        <v>8.6999999999999993</v>
      </c>
      <c r="I465" t="str" cm="1">
        <f t="array" ref="I465">_xlfn.IFS(H465&lt;4,"poor",H465&lt;7,"average",H465&lt;9,"good",TRUE,"excellent")</f>
        <v>good</v>
      </c>
      <c r="J465" t="s">
        <v>1015</v>
      </c>
      <c r="K465" t="str">
        <f t="shared" si="57"/>
        <v>Hin</v>
      </c>
      <c r="L465">
        <v>1982</v>
      </c>
      <c r="M465" t="str">
        <f t="shared" si="58"/>
        <v>82</v>
      </c>
      <c r="N465" t="s">
        <v>1021</v>
      </c>
      <c r="O465" s="2">
        <v>45106</v>
      </c>
      <c r="Q465">
        <f t="shared" si="59"/>
        <v>5</v>
      </c>
      <c r="R465">
        <f t="shared" si="60"/>
        <v>4979</v>
      </c>
      <c r="U465" t="str">
        <f t="shared" si="61"/>
        <v>long</v>
      </c>
      <c r="V465" s="4">
        <f t="shared" ca="1" si="62"/>
        <v>45973.174535995371</v>
      </c>
    </row>
    <row r="466" spans="1:22" x14ac:dyDescent="0.25">
      <c r="A466" t="s">
        <v>472</v>
      </c>
      <c r="B466" t="s">
        <v>972</v>
      </c>
      <c r="C466">
        <f t="shared" si="56"/>
        <v>9</v>
      </c>
      <c r="D466" t="str">
        <f t="shared" si="63"/>
        <v>M1464 Movie_464</v>
      </c>
      <c r="E466" t="s">
        <v>1012</v>
      </c>
      <c r="F466" t="str">
        <f>TRIM(Table1[[#This Row],[Genre]])</f>
        <v>Sci-Fi</v>
      </c>
      <c r="G466">
        <v>60</v>
      </c>
      <c r="H466">
        <v>6.5</v>
      </c>
      <c r="I466" t="str" cm="1">
        <f t="array" ref="I466">_xlfn.IFS(H466&lt;4,"poor",H466&lt;7,"average",H466&lt;9,"good",TRUE,"excellent")</f>
        <v>average</v>
      </c>
      <c r="J466" t="s">
        <v>1015</v>
      </c>
      <c r="K466" t="str">
        <f t="shared" si="57"/>
        <v>Hin</v>
      </c>
      <c r="L466">
        <v>1998</v>
      </c>
      <c r="M466" t="str">
        <f t="shared" si="58"/>
        <v>98</v>
      </c>
      <c r="N466" t="s">
        <v>1020</v>
      </c>
      <c r="O466" s="2">
        <v>44327</v>
      </c>
      <c r="Q466">
        <f t="shared" si="59"/>
        <v>5</v>
      </c>
      <c r="R466">
        <f t="shared" si="60"/>
        <v>4788</v>
      </c>
      <c r="U466" t="str">
        <f t="shared" si="61"/>
        <v>short</v>
      </c>
      <c r="V466" s="4">
        <f t="shared" ca="1" si="62"/>
        <v>45973.174535995371</v>
      </c>
    </row>
    <row r="467" spans="1:22" x14ac:dyDescent="0.25">
      <c r="A467" t="s">
        <v>473</v>
      </c>
      <c r="B467" t="s">
        <v>973</v>
      </c>
      <c r="C467">
        <f t="shared" si="56"/>
        <v>9</v>
      </c>
      <c r="D467" t="str">
        <f t="shared" si="63"/>
        <v>M1465 Movie_465</v>
      </c>
      <c r="E467" t="s">
        <v>1012</v>
      </c>
      <c r="F467" t="str">
        <f>TRIM(Table1[[#This Row],[Genre]])</f>
        <v>Sci-Fi</v>
      </c>
      <c r="G467">
        <v>198</v>
      </c>
      <c r="H467">
        <v>5.6</v>
      </c>
      <c r="I467" t="str" cm="1">
        <f t="array" ref="I467">_xlfn.IFS(H467&lt;4,"poor",H467&lt;7,"average",H467&lt;9,"good",TRUE,"excellent")</f>
        <v>average</v>
      </c>
      <c r="J467" t="s">
        <v>1018</v>
      </c>
      <c r="K467" t="str">
        <f t="shared" si="57"/>
        <v>Eng</v>
      </c>
      <c r="L467">
        <v>2006</v>
      </c>
      <c r="M467" t="str">
        <f t="shared" si="58"/>
        <v>06</v>
      </c>
      <c r="N467" t="s">
        <v>1021</v>
      </c>
      <c r="O467" s="2">
        <v>44781</v>
      </c>
      <c r="Q467">
        <f t="shared" si="59"/>
        <v>5</v>
      </c>
      <c r="R467">
        <f t="shared" si="60"/>
        <v>4728</v>
      </c>
      <c r="U467" t="str">
        <f t="shared" si="61"/>
        <v>long</v>
      </c>
      <c r="V467" s="4">
        <f t="shared" ca="1" si="62"/>
        <v>45973.174535995371</v>
      </c>
    </row>
    <row r="468" spans="1:22" x14ac:dyDescent="0.25">
      <c r="A468" t="s">
        <v>474</v>
      </c>
      <c r="B468" t="s">
        <v>974</v>
      </c>
      <c r="C468">
        <f t="shared" si="56"/>
        <v>9</v>
      </c>
      <c r="D468" t="str">
        <f t="shared" si="63"/>
        <v>M1466 Movie_466</v>
      </c>
      <c r="E468" t="s">
        <v>1011</v>
      </c>
      <c r="F468" t="str">
        <f>TRIM(Table1[[#This Row],[Genre]])</f>
        <v>Comedy</v>
      </c>
      <c r="G468">
        <v>178</v>
      </c>
      <c r="H468">
        <v>5.2</v>
      </c>
      <c r="I468" t="str" cm="1">
        <f t="array" ref="I468">_xlfn.IFS(H468&lt;4,"poor",H468&lt;7,"average",H468&lt;9,"good",TRUE,"excellent")</f>
        <v>average</v>
      </c>
      <c r="J468" t="s">
        <v>1015</v>
      </c>
      <c r="K468" t="str">
        <f t="shared" si="57"/>
        <v>Hin</v>
      </c>
      <c r="L468">
        <v>1991</v>
      </c>
      <c r="M468" t="str">
        <f t="shared" si="58"/>
        <v>91</v>
      </c>
      <c r="N468" t="s">
        <v>1020</v>
      </c>
      <c r="O468" s="2">
        <v>44585</v>
      </c>
      <c r="Q468">
        <f t="shared" si="59"/>
        <v>5</v>
      </c>
      <c r="R468">
        <f t="shared" si="60"/>
        <v>4530</v>
      </c>
      <c r="U468" t="str">
        <f t="shared" si="61"/>
        <v>long</v>
      </c>
      <c r="V468" s="4">
        <f t="shared" ca="1" si="62"/>
        <v>45973.174535995371</v>
      </c>
    </row>
    <row r="469" spans="1:22" x14ac:dyDescent="0.25">
      <c r="A469" t="s">
        <v>475</v>
      </c>
      <c r="B469" t="s">
        <v>975</v>
      </c>
      <c r="C469">
        <f t="shared" si="56"/>
        <v>9</v>
      </c>
      <c r="D469" t="str">
        <f t="shared" si="63"/>
        <v>M1467 Movie_467</v>
      </c>
      <c r="E469" t="s">
        <v>1013</v>
      </c>
      <c r="F469" t="str">
        <f>TRIM(Table1[[#This Row],[Genre]])</f>
        <v>Thriller</v>
      </c>
      <c r="G469">
        <v>165</v>
      </c>
      <c r="H469">
        <v>6</v>
      </c>
      <c r="I469" t="str" cm="1">
        <f t="array" ref="I469">_xlfn.IFS(H469&lt;4,"poor",H469&lt;7,"average",H469&lt;9,"good",TRUE,"excellent")</f>
        <v>average</v>
      </c>
      <c r="J469" t="s">
        <v>1014</v>
      </c>
      <c r="K469" t="str">
        <f t="shared" si="57"/>
        <v>Jap</v>
      </c>
      <c r="L469">
        <v>1988</v>
      </c>
      <c r="M469" t="str">
        <f t="shared" si="58"/>
        <v>88</v>
      </c>
      <c r="N469" t="s">
        <v>1020</v>
      </c>
      <c r="O469" s="2">
        <v>45042</v>
      </c>
      <c r="Q469">
        <f t="shared" si="59"/>
        <v>5</v>
      </c>
      <c r="R469">
        <f t="shared" si="60"/>
        <v>4352</v>
      </c>
      <c r="U469" t="str">
        <f t="shared" si="61"/>
        <v>long</v>
      </c>
      <c r="V469" s="4">
        <f t="shared" ca="1" si="62"/>
        <v>45973.174535995371</v>
      </c>
    </row>
    <row r="470" spans="1:22" x14ac:dyDescent="0.25">
      <c r="A470" t="s">
        <v>476</v>
      </c>
      <c r="B470" t="s">
        <v>976</v>
      </c>
      <c r="C470">
        <f t="shared" si="56"/>
        <v>9</v>
      </c>
      <c r="D470" t="str">
        <f t="shared" si="63"/>
        <v>M1468 Movie_468</v>
      </c>
      <c r="E470" t="s">
        <v>1011</v>
      </c>
      <c r="F470" t="str">
        <f>TRIM(Table1[[#This Row],[Genre]])</f>
        <v>Comedy</v>
      </c>
      <c r="G470">
        <v>73</v>
      </c>
      <c r="H470">
        <v>8.1</v>
      </c>
      <c r="I470" t="str" cm="1">
        <f t="array" ref="I470">_xlfn.IFS(H470&lt;4,"poor",H470&lt;7,"average",H470&lt;9,"good",TRUE,"excellent")</f>
        <v>good</v>
      </c>
      <c r="J470" t="s">
        <v>1016</v>
      </c>
      <c r="K470" t="str">
        <f t="shared" si="57"/>
        <v>Spa</v>
      </c>
      <c r="L470">
        <v>2021</v>
      </c>
      <c r="M470" t="str">
        <f t="shared" si="58"/>
        <v>21</v>
      </c>
      <c r="N470" t="s">
        <v>1021</v>
      </c>
      <c r="O470" s="2">
        <v>44841</v>
      </c>
      <c r="Q470">
        <f t="shared" si="59"/>
        <v>5</v>
      </c>
      <c r="R470">
        <f t="shared" si="60"/>
        <v>4187</v>
      </c>
      <c r="U470" t="str">
        <f t="shared" si="61"/>
        <v>short</v>
      </c>
      <c r="V470" s="4">
        <f t="shared" ca="1" si="62"/>
        <v>45973.174535995371</v>
      </c>
    </row>
    <row r="471" spans="1:22" x14ac:dyDescent="0.25">
      <c r="A471" t="s">
        <v>477</v>
      </c>
      <c r="B471" t="s">
        <v>977</v>
      </c>
      <c r="C471">
        <f t="shared" si="56"/>
        <v>9</v>
      </c>
      <c r="D471" t="str">
        <f t="shared" si="63"/>
        <v>M1469 Movie_469</v>
      </c>
      <c r="E471" t="s">
        <v>1009</v>
      </c>
      <c r="F471" t="str">
        <f>TRIM(Table1[[#This Row],[Genre]])</f>
        <v>Action</v>
      </c>
      <c r="G471">
        <v>108</v>
      </c>
      <c r="H471">
        <v>9.1</v>
      </c>
      <c r="I471" t="str" cm="1">
        <f t="array" ref="I471">_xlfn.IFS(H471&lt;4,"poor",H471&lt;7,"average",H471&lt;9,"good",TRUE,"excellent")</f>
        <v>excellent</v>
      </c>
      <c r="J471" t="s">
        <v>1015</v>
      </c>
      <c r="K471" t="str">
        <f t="shared" si="57"/>
        <v>Hin</v>
      </c>
      <c r="L471">
        <v>2021</v>
      </c>
      <c r="M471" t="str">
        <f t="shared" si="58"/>
        <v>21</v>
      </c>
      <c r="N471" t="s">
        <v>1021</v>
      </c>
      <c r="O471" s="2">
        <v>45413</v>
      </c>
      <c r="Q471">
        <f t="shared" si="59"/>
        <v>5</v>
      </c>
      <c r="R471">
        <f t="shared" si="60"/>
        <v>4114</v>
      </c>
      <c r="U471" t="str">
        <f t="shared" si="61"/>
        <v>short</v>
      </c>
      <c r="V471" s="4">
        <f t="shared" ca="1" si="62"/>
        <v>45973.174535995371</v>
      </c>
    </row>
    <row r="472" spans="1:22" x14ac:dyDescent="0.25">
      <c r="A472" t="s">
        <v>478</v>
      </c>
      <c r="B472" t="s">
        <v>978</v>
      </c>
      <c r="C472">
        <f t="shared" si="56"/>
        <v>9</v>
      </c>
      <c r="D472" t="str">
        <f t="shared" si="63"/>
        <v>M1470 Movie_470</v>
      </c>
      <c r="E472" t="s">
        <v>1010</v>
      </c>
      <c r="F472" t="str">
        <f>TRIM(Table1[[#This Row],[Genre]])</f>
        <v>Drama</v>
      </c>
      <c r="G472">
        <v>192</v>
      </c>
      <c r="H472">
        <v>5</v>
      </c>
      <c r="I472" t="str" cm="1">
        <f t="array" ref="I472">_xlfn.IFS(H472&lt;4,"poor",H472&lt;7,"average",H472&lt;9,"good",TRUE,"excellent")</f>
        <v>average</v>
      </c>
      <c r="J472" t="s">
        <v>1015</v>
      </c>
      <c r="K472" t="str">
        <f t="shared" si="57"/>
        <v>Hin</v>
      </c>
      <c r="L472">
        <v>2006</v>
      </c>
      <c r="M472" t="str">
        <f t="shared" si="58"/>
        <v>06</v>
      </c>
      <c r="N472" t="s">
        <v>1021</v>
      </c>
      <c r="O472" s="2">
        <v>45420</v>
      </c>
      <c r="Q472">
        <f t="shared" si="59"/>
        <v>5</v>
      </c>
      <c r="R472">
        <f t="shared" si="60"/>
        <v>4006</v>
      </c>
      <c r="U472" t="str">
        <f t="shared" si="61"/>
        <v>long</v>
      </c>
      <c r="V472" s="4">
        <f t="shared" ca="1" si="62"/>
        <v>45973.174535995371</v>
      </c>
    </row>
    <row r="473" spans="1:22" x14ac:dyDescent="0.25">
      <c r="A473" t="s">
        <v>479</v>
      </c>
      <c r="B473" t="s">
        <v>979</v>
      </c>
      <c r="C473">
        <f t="shared" si="56"/>
        <v>9</v>
      </c>
      <c r="D473" t="str">
        <f t="shared" si="63"/>
        <v>M1471 Movie_471</v>
      </c>
      <c r="E473" t="s">
        <v>1010</v>
      </c>
      <c r="F473" t="str">
        <f>TRIM(Table1[[#This Row],[Genre]])</f>
        <v>Drama</v>
      </c>
      <c r="G473">
        <v>152</v>
      </c>
      <c r="H473">
        <v>8.3000000000000007</v>
      </c>
      <c r="I473" t="str" cm="1">
        <f t="array" ref="I473">_xlfn.IFS(H473&lt;4,"poor",H473&lt;7,"average",H473&lt;9,"good",TRUE,"excellent")</f>
        <v>good</v>
      </c>
      <c r="J473" t="s">
        <v>1016</v>
      </c>
      <c r="K473" t="str">
        <f t="shared" si="57"/>
        <v>Spa</v>
      </c>
      <c r="L473">
        <v>2003</v>
      </c>
      <c r="M473" t="str">
        <f t="shared" si="58"/>
        <v>03</v>
      </c>
      <c r="N473" t="s">
        <v>1021</v>
      </c>
      <c r="O473" s="2">
        <v>44231</v>
      </c>
      <c r="Q473">
        <f t="shared" si="59"/>
        <v>5</v>
      </c>
      <c r="R473">
        <f t="shared" si="60"/>
        <v>3814</v>
      </c>
      <c r="U473" t="str">
        <f t="shared" si="61"/>
        <v>long</v>
      </c>
      <c r="V473" s="4">
        <f t="shared" ca="1" si="62"/>
        <v>45973.174535995371</v>
      </c>
    </row>
    <row r="474" spans="1:22" x14ac:dyDescent="0.25">
      <c r="A474" t="s">
        <v>480</v>
      </c>
      <c r="B474" t="s">
        <v>980</v>
      </c>
      <c r="C474">
        <f t="shared" si="56"/>
        <v>9</v>
      </c>
      <c r="D474" t="str">
        <f t="shared" si="63"/>
        <v>M1472 Movie_472</v>
      </c>
      <c r="E474" t="s">
        <v>1009</v>
      </c>
      <c r="F474" t="str">
        <f>TRIM(Table1[[#This Row],[Genre]])</f>
        <v>Action</v>
      </c>
      <c r="G474">
        <v>187</v>
      </c>
      <c r="H474">
        <v>6.9</v>
      </c>
      <c r="I474" t="str" cm="1">
        <f t="array" ref="I474">_xlfn.IFS(H474&lt;4,"poor",H474&lt;7,"average",H474&lt;9,"good",TRUE,"excellent")</f>
        <v>average</v>
      </c>
      <c r="J474" t="s">
        <v>1016</v>
      </c>
      <c r="K474" t="str">
        <f t="shared" si="57"/>
        <v>Spa</v>
      </c>
      <c r="L474">
        <v>2004</v>
      </c>
      <c r="M474" t="str">
        <f t="shared" si="58"/>
        <v>04</v>
      </c>
      <c r="N474" t="s">
        <v>1021</v>
      </c>
      <c r="O474" s="2">
        <v>45331</v>
      </c>
      <c r="Q474">
        <f t="shared" si="59"/>
        <v>5</v>
      </c>
      <c r="R474">
        <f t="shared" si="60"/>
        <v>3662</v>
      </c>
      <c r="U474" t="str">
        <f t="shared" si="61"/>
        <v>long</v>
      </c>
      <c r="V474" s="4">
        <f t="shared" ca="1" si="62"/>
        <v>45973.174535995371</v>
      </c>
    </row>
    <row r="475" spans="1:22" x14ac:dyDescent="0.25">
      <c r="A475" t="s">
        <v>481</v>
      </c>
      <c r="B475" t="s">
        <v>981</v>
      </c>
      <c r="C475">
        <f t="shared" si="56"/>
        <v>9</v>
      </c>
      <c r="D475" t="str">
        <f t="shared" si="63"/>
        <v>M1473 Movie_473</v>
      </c>
      <c r="E475" t="s">
        <v>1010</v>
      </c>
      <c r="F475" t="str">
        <f>TRIM(Table1[[#This Row],[Genre]])</f>
        <v>Drama</v>
      </c>
      <c r="G475">
        <v>173</v>
      </c>
      <c r="H475">
        <v>3.9</v>
      </c>
      <c r="I475" t="str" cm="1">
        <f t="array" ref="I475">_xlfn.IFS(H475&lt;4,"poor",H475&lt;7,"average",H475&lt;9,"good",TRUE,"excellent")</f>
        <v>poor</v>
      </c>
      <c r="J475" t="s">
        <v>1014</v>
      </c>
      <c r="K475" t="str">
        <f t="shared" si="57"/>
        <v>Jap</v>
      </c>
      <c r="L475">
        <v>2008</v>
      </c>
      <c r="M475" t="str">
        <f t="shared" si="58"/>
        <v>08</v>
      </c>
      <c r="N475" t="s">
        <v>1021</v>
      </c>
      <c r="O475" s="2">
        <v>44950</v>
      </c>
      <c r="Q475">
        <f t="shared" si="59"/>
        <v>5</v>
      </c>
      <c r="R475">
        <f t="shared" si="60"/>
        <v>3475</v>
      </c>
      <c r="U475" t="str">
        <f t="shared" si="61"/>
        <v>long</v>
      </c>
      <c r="V475" s="4">
        <f t="shared" ca="1" si="62"/>
        <v>45973.174535995371</v>
      </c>
    </row>
    <row r="476" spans="1:22" x14ac:dyDescent="0.25">
      <c r="A476" t="s">
        <v>482</v>
      </c>
      <c r="B476" t="s">
        <v>982</v>
      </c>
      <c r="C476">
        <f t="shared" si="56"/>
        <v>9</v>
      </c>
      <c r="D476" t="str">
        <f t="shared" si="63"/>
        <v>M1474 Movie_474</v>
      </c>
      <c r="E476" t="s">
        <v>1011</v>
      </c>
      <c r="F476" t="str">
        <f>TRIM(Table1[[#This Row],[Genre]])</f>
        <v>Comedy</v>
      </c>
      <c r="G476">
        <v>73</v>
      </c>
      <c r="H476">
        <v>5.3</v>
      </c>
      <c r="I476" t="str" cm="1">
        <f t="array" ref="I476">_xlfn.IFS(H476&lt;4,"poor",H476&lt;7,"average",H476&lt;9,"good",TRUE,"excellent")</f>
        <v>average</v>
      </c>
      <c r="J476" t="s">
        <v>1015</v>
      </c>
      <c r="K476" t="str">
        <f t="shared" si="57"/>
        <v>Hin</v>
      </c>
      <c r="L476">
        <v>2004</v>
      </c>
      <c r="M476" t="str">
        <f t="shared" si="58"/>
        <v>04</v>
      </c>
      <c r="N476" t="s">
        <v>1021</v>
      </c>
      <c r="O476" s="2">
        <v>45388</v>
      </c>
      <c r="Q476">
        <f t="shared" si="59"/>
        <v>5</v>
      </c>
      <c r="R476">
        <f t="shared" si="60"/>
        <v>3302</v>
      </c>
      <c r="U476" t="str">
        <f t="shared" si="61"/>
        <v>short</v>
      </c>
      <c r="V476" s="4">
        <f t="shared" ca="1" si="62"/>
        <v>45973.174535995371</v>
      </c>
    </row>
    <row r="477" spans="1:22" x14ac:dyDescent="0.25">
      <c r="A477" t="s">
        <v>483</v>
      </c>
      <c r="B477" t="s">
        <v>983</v>
      </c>
      <c r="C477">
        <f t="shared" si="56"/>
        <v>9</v>
      </c>
      <c r="D477" t="str">
        <f t="shared" si="63"/>
        <v>M1475 Movie_475</v>
      </c>
      <c r="E477" t="s">
        <v>1008</v>
      </c>
      <c r="F477" t="str">
        <f>TRIM(Table1[[#This Row],[Genre]])</f>
        <v>Horror</v>
      </c>
      <c r="G477">
        <v>112</v>
      </c>
      <c r="H477">
        <v>2.4</v>
      </c>
      <c r="I477" t="str" cm="1">
        <f t="array" ref="I477">_xlfn.IFS(H477&lt;4,"poor",H477&lt;7,"average",H477&lt;9,"good",TRUE,"excellent")</f>
        <v>poor</v>
      </c>
      <c r="J477" t="s">
        <v>1014</v>
      </c>
      <c r="K477" t="str">
        <f t="shared" si="57"/>
        <v>Jap</v>
      </c>
      <c r="L477">
        <v>2004</v>
      </c>
      <c r="M477" t="str">
        <f t="shared" si="58"/>
        <v>04</v>
      </c>
      <c r="N477" t="s">
        <v>1020</v>
      </c>
      <c r="O477" s="2">
        <v>45461</v>
      </c>
      <c r="Q477">
        <f t="shared" si="59"/>
        <v>5</v>
      </c>
      <c r="R477">
        <f t="shared" si="60"/>
        <v>3229</v>
      </c>
      <c r="U477" t="str">
        <f t="shared" si="61"/>
        <v>short</v>
      </c>
      <c r="V477" s="4">
        <f t="shared" ca="1" si="62"/>
        <v>45973.174535995371</v>
      </c>
    </row>
    <row r="478" spans="1:22" x14ac:dyDescent="0.25">
      <c r="A478" t="s">
        <v>484</v>
      </c>
      <c r="B478" t="s">
        <v>984</v>
      </c>
      <c r="C478">
        <f t="shared" si="56"/>
        <v>9</v>
      </c>
      <c r="D478" t="str">
        <f t="shared" si="63"/>
        <v>M1476 Movie_476</v>
      </c>
      <c r="E478" t="s">
        <v>1011</v>
      </c>
      <c r="F478" t="str">
        <f>TRIM(Table1[[#This Row],[Genre]])</f>
        <v>Comedy</v>
      </c>
      <c r="G478">
        <v>128</v>
      </c>
      <c r="H478">
        <v>1.6</v>
      </c>
      <c r="I478" t="str" cm="1">
        <f t="array" ref="I478">_xlfn.IFS(H478&lt;4,"poor",H478&lt;7,"average",H478&lt;9,"good",TRUE,"excellent")</f>
        <v>poor</v>
      </c>
      <c r="J478" t="s">
        <v>1015</v>
      </c>
      <c r="K478" t="str">
        <f t="shared" si="57"/>
        <v>Hin</v>
      </c>
      <c r="L478">
        <v>1985</v>
      </c>
      <c r="M478" t="str">
        <f t="shared" si="58"/>
        <v>85</v>
      </c>
      <c r="N478" t="s">
        <v>1020</v>
      </c>
      <c r="O478" s="2">
        <v>44333</v>
      </c>
      <c r="Q478">
        <f t="shared" si="59"/>
        <v>5</v>
      </c>
      <c r="R478">
        <f t="shared" si="60"/>
        <v>3117</v>
      </c>
      <c r="U478" t="str">
        <f t="shared" si="61"/>
        <v>long</v>
      </c>
      <c r="V478" s="4">
        <f t="shared" ca="1" si="62"/>
        <v>45973.174535995371</v>
      </c>
    </row>
    <row r="479" spans="1:22" x14ac:dyDescent="0.25">
      <c r="A479" t="s">
        <v>485</v>
      </c>
      <c r="B479" t="s">
        <v>985</v>
      </c>
      <c r="C479">
        <f t="shared" si="56"/>
        <v>9</v>
      </c>
      <c r="D479" t="str">
        <f t="shared" si="63"/>
        <v>M1477 Movie_477</v>
      </c>
      <c r="E479" t="s">
        <v>1008</v>
      </c>
      <c r="F479" t="str">
        <f>TRIM(Table1[[#This Row],[Genre]])</f>
        <v>Horror</v>
      </c>
      <c r="G479">
        <v>200</v>
      </c>
      <c r="H479">
        <v>1.9</v>
      </c>
      <c r="I479" t="str" cm="1">
        <f t="array" ref="I479">_xlfn.IFS(H479&lt;4,"poor",H479&lt;7,"average",H479&lt;9,"good",TRUE,"excellent")</f>
        <v>poor</v>
      </c>
      <c r="J479" t="s">
        <v>1017</v>
      </c>
      <c r="K479" t="str">
        <f t="shared" si="57"/>
        <v>Fre</v>
      </c>
      <c r="L479">
        <v>2023</v>
      </c>
      <c r="M479" t="str">
        <f t="shared" si="58"/>
        <v>23</v>
      </c>
      <c r="N479" t="s">
        <v>1020</v>
      </c>
      <c r="O479" s="2">
        <v>44139</v>
      </c>
      <c r="Q479">
        <f t="shared" si="59"/>
        <v>5</v>
      </c>
      <c r="R479">
        <f t="shared" si="60"/>
        <v>2989</v>
      </c>
      <c r="U479" t="str">
        <f t="shared" si="61"/>
        <v>long</v>
      </c>
      <c r="V479" s="4">
        <f t="shared" ca="1" si="62"/>
        <v>45973.174535995371</v>
      </c>
    </row>
    <row r="480" spans="1:22" x14ac:dyDescent="0.25">
      <c r="A480" t="s">
        <v>486</v>
      </c>
      <c r="B480" t="s">
        <v>986</v>
      </c>
      <c r="C480">
        <f t="shared" si="56"/>
        <v>9</v>
      </c>
      <c r="D480" t="str">
        <f t="shared" si="63"/>
        <v>M1478 Movie_478</v>
      </c>
      <c r="E480" t="s">
        <v>1009</v>
      </c>
      <c r="F480" t="str">
        <f>TRIM(Table1[[#This Row],[Genre]])</f>
        <v>Action</v>
      </c>
      <c r="G480">
        <v>93</v>
      </c>
      <c r="H480">
        <v>9.1</v>
      </c>
      <c r="I480" t="str" cm="1">
        <f t="array" ref="I480">_xlfn.IFS(H480&lt;4,"poor",H480&lt;7,"average",H480&lt;9,"good",TRUE,"excellent")</f>
        <v>excellent</v>
      </c>
      <c r="J480" t="s">
        <v>1015</v>
      </c>
      <c r="K480" t="str">
        <f t="shared" si="57"/>
        <v>Hin</v>
      </c>
      <c r="L480">
        <v>2022</v>
      </c>
      <c r="M480" t="str">
        <f t="shared" si="58"/>
        <v>22</v>
      </c>
      <c r="N480" t="s">
        <v>1020</v>
      </c>
      <c r="O480" s="2">
        <v>43844</v>
      </c>
      <c r="Q480">
        <f t="shared" si="59"/>
        <v>5</v>
      </c>
      <c r="R480">
        <f t="shared" si="60"/>
        <v>2789</v>
      </c>
      <c r="U480" t="str">
        <f t="shared" si="61"/>
        <v>short</v>
      </c>
      <c r="V480" s="4">
        <f t="shared" ca="1" si="62"/>
        <v>45973.174535995371</v>
      </c>
    </row>
    <row r="481" spans="1:22" x14ac:dyDescent="0.25">
      <c r="A481" t="s">
        <v>487</v>
      </c>
      <c r="B481" t="s">
        <v>987</v>
      </c>
      <c r="C481">
        <f t="shared" si="56"/>
        <v>9</v>
      </c>
      <c r="D481" t="str">
        <f t="shared" si="63"/>
        <v>M1479 Movie_479</v>
      </c>
      <c r="E481" t="s">
        <v>1010</v>
      </c>
      <c r="F481" t="str">
        <f>TRIM(Table1[[#This Row],[Genre]])</f>
        <v>Drama</v>
      </c>
      <c r="G481">
        <v>133</v>
      </c>
      <c r="H481">
        <v>4.0999999999999996</v>
      </c>
      <c r="I481" t="str" cm="1">
        <f t="array" ref="I481">_xlfn.IFS(H481&lt;4,"poor",H481&lt;7,"average",H481&lt;9,"good",TRUE,"excellent")</f>
        <v>average</v>
      </c>
      <c r="J481" t="s">
        <v>1018</v>
      </c>
      <c r="K481" t="str">
        <f t="shared" si="57"/>
        <v>Eng</v>
      </c>
      <c r="L481">
        <v>2014</v>
      </c>
      <c r="M481" t="str">
        <f t="shared" si="58"/>
        <v>14</v>
      </c>
      <c r="N481" t="s">
        <v>1021</v>
      </c>
      <c r="O481" s="2">
        <v>44670</v>
      </c>
      <c r="Q481">
        <f t="shared" si="59"/>
        <v>5</v>
      </c>
      <c r="R481">
        <f t="shared" si="60"/>
        <v>2696</v>
      </c>
      <c r="U481" t="str">
        <f t="shared" si="61"/>
        <v>long</v>
      </c>
      <c r="V481" s="4">
        <f t="shared" ca="1" si="62"/>
        <v>45973.174535995371</v>
      </c>
    </row>
    <row r="482" spans="1:22" x14ac:dyDescent="0.25">
      <c r="A482" t="s">
        <v>488</v>
      </c>
      <c r="B482" t="s">
        <v>988</v>
      </c>
      <c r="C482">
        <f t="shared" si="56"/>
        <v>9</v>
      </c>
      <c r="D482" t="str">
        <f t="shared" si="63"/>
        <v>M1480 Movie_480</v>
      </c>
      <c r="E482" t="s">
        <v>1012</v>
      </c>
      <c r="F482" t="str">
        <f>TRIM(Table1[[#This Row],[Genre]])</f>
        <v>Sci-Fi</v>
      </c>
      <c r="G482">
        <v>172</v>
      </c>
      <c r="H482">
        <v>7.4</v>
      </c>
      <c r="I482" t="str" cm="1">
        <f t="array" ref="I482">_xlfn.IFS(H482&lt;4,"poor",H482&lt;7,"average",H482&lt;9,"good",TRUE,"excellent")</f>
        <v>good</v>
      </c>
      <c r="J482" t="s">
        <v>1018</v>
      </c>
      <c r="K482" t="str">
        <f t="shared" si="57"/>
        <v>Eng</v>
      </c>
      <c r="L482">
        <v>1988</v>
      </c>
      <c r="M482" t="str">
        <f t="shared" si="58"/>
        <v>88</v>
      </c>
      <c r="N482" t="s">
        <v>1020</v>
      </c>
      <c r="O482" s="2">
        <v>43879</v>
      </c>
      <c r="Q482">
        <f t="shared" si="59"/>
        <v>5</v>
      </c>
      <c r="R482">
        <f t="shared" si="60"/>
        <v>2563</v>
      </c>
      <c r="U482" t="str">
        <f t="shared" si="61"/>
        <v>long</v>
      </c>
      <c r="V482" s="4">
        <f t="shared" ca="1" si="62"/>
        <v>45973.174535995371</v>
      </c>
    </row>
    <row r="483" spans="1:22" x14ac:dyDescent="0.25">
      <c r="A483" t="s">
        <v>489</v>
      </c>
      <c r="B483" t="s">
        <v>989</v>
      </c>
      <c r="C483">
        <f t="shared" si="56"/>
        <v>9</v>
      </c>
      <c r="D483" t="str">
        <f t="shared" si="63"/>
        <v>M1481 Movie_481</v>
      </c>
      <c r="E483" t="s">
        <v>1013</v>
      </c>
      <c r="F483" t="str">
        <f>TRIM(Table1[[#This Row],[Genre]])</f>
        <v>Thriller</v>
      </c>
      <c r="G483">
        <v>184</v>
      </c>
      <c r="H483">
        <v>5.5</v>
      </c>
      <c r="I483" t="str" cm="1">
        <f t="array" ref="I483">_xlfn.IFS(H483&lt;4,"poor",H483&lt;7,"average",H483&lt;9,"good",TRUE,"excellent")</f>
        <v>average</v>
      </c>
      <c r="J483" t="s">
        <v>1018</v>
      </c>
      <c r="K483" t="str">
        <f t="shared" si="57"/>
        <v>Eng</v>
      </c>
      <c r="L483">
        <v>2021</v>
      </c>
      <c r="M483" t="str">
        <f t="shared" si="58"/>
        <v>21</v>
      </c>
      <c r="N483" t="s">
        <v>1021</v>
      </c>
      <c r="O483" s="2">
        <v>44308</v>
      </c>
      <c r="Q483">
        <f t="shared" si="59"/>
        <v>5</v>
      </c>
      <c r="R483">
        <f t="shared" si="60"/>
        <v>2391</v>
      </c>
      <c r="U483" t="str">
        <f t="shared" si="61"/>
        <v>long</v>
      </c>
      <c r="V483" s="4">
        <f t="shared" ca="1" si="62"/>
        <v>45973.174535995371</v>
      </c>
    </row>
    <row r="484" spans="1:22" x14ac:dyDescent="0.25">
      <c r="A484" t="s">
        <v>490</v>
      </c>
      <c r="B484" t="s">
        <v>990</v>
      </c>
      <c r="C484">
        <f t="shared" si="56"/>
        <v>9</v>
      </c>
      <c r="D484" t="str">
        <f t="shared" si="63"/>
        <v>M1482 Movie_482</v>
      </c>
      <c r="E484" t="s">
        <v>1012</v>
      </c>
      <c r="F484" t="str">
        <f>TRIM(Table1[[#This Row],[Genre]])</f>
        <v>Sci-Fi</v>
      </c>
      <c r="G484">
        <v>91</v>
      </c>
      <c r="H484">
        <v>2.6</v>
      </c>
      <c r="I484" t="str" cm="1">
        <f t="array" ref="I484">_xlfn.IFS(H484&lt;4,"poor",H484&lt;7,"average",H484&lt;9,"good",TRUE,"excellent")</f>
        <v>poor</v>
      </c>
      <c r="J484" t="s">
        <v>1018</v>
      </c>
      <c r="K484" t="str">
        <f t="shared" si="57"/>
        <v>Eng</v>
      </c>
      <c r="L484">
        <v>2002</v>
      </c>
      <c r="M484" t="str">
        <f t="shared" si="58"/>
        <v>02</v>
      </c>
      <c r="N484" t="s">
        <v>1020</v>
      </c>
      <c r="O484" s="2">
        <v>44940</v>
      </c>
      <c r="Q484">
        <f t="shared" si="59"/>
        <v>5</v>
      </c>
      <c r="R484">
        <f t="shared" si="60"/>
        <v>2207</v>
      </c>
      <c r="U484" t="str">
        <f t="shared" si="61"/>
        <v>short</v>
      </c>
      <c r="V484" s="4">
        <f t="shared" ca="1" si="62"/>
        <v>45973.174535995371</v>
      </c>
    </row>
    <row r="485" spans="1:22" x14ac:dyDescent="0.25">
      <c r="A485" t="s">
        <v>491</v>
      </c>
      <c r="B485" t="s">
        <v>991</v>
      </c>
      <c r="C485">
        <f t="shared" si="56"/>
        <v>9</v>
      </c>
      <c r="D485" t="str">
        <f t="shared" si="63"/>
        <v>M1483 Movie_483</v>
      </c>
      <c r="E485" t="s">
        <v>1008</v>
      </c>
      <c r="F485" t="str">
        <f>TRIM(Table1[[#This Row],[Genre]])</f>
        <v>Horror</v>
      </c>
      <c r="G485">
        <v>67</v>
      </c>
      <c r="H485">
        <v>3.2</v>
      </c>
      <c r="I485" t="str" cm="1">
        <f t="array" ref="I485">_xlfn.IFS(H485&lt;4,"poor",H485&lt;7,"average",H485&lt;9,"good",TRUE,"excellent")</f>
        <v>poor</v>
      </c>
      <c r="J485" t="s">
        <v>1014</v>
      </c>
      <c r="K485" t="str">
        <f t="shared" si="57"/>
        <v>Jap</v>
      </c>
      <c r="L485">
        <v>1987</v>
      </c>
      <c r="M485" t="str">
        <f t="shared" si="58"/>
        <v>87</v>
      </c>
      <c r="N485" t="s">
        <v>1021</v>
      </c>
      <c r="O485" s="2">
        <v>44540</v>
      </c>
      <c r="Q485">
        <f t="shared" si="59"/>
        <v>5</v>
      </c>
      <c r="R485">
        <f t="shared" si="60"/>
        <v>2116</v>
      </c>
      <c r="U485" t="str">
        <f t="shared" si="61"/>
        <v>short</v>
      </c>
      <c r="V485" s="4">
        <f t="shared" ca="1" si="62"/>
        <v>45973.174535995371</v>
      </c>
    </row>
    <row r="486" spans="1:22" x14ac:dyDescent="0.25">
      <c r="A486" t="s">
        <v>492</v>
      </c>
      <c r="B486" t="s">
        <v>992</v>
      </c>
      <c r="C486">
        <f t="shared" si="56"/>
        <v>9</v>
      </c>
      <c r="D486" t="str">
        <f t="shared" si="63"/>
        <v>M1484 Movie_484</v>
      </c>
      <c r="E486" t="s">
        <v>1011</v>
      </c>
      <c r="F486" t="str">
        <f>TRIM(Table1[[#This Row],[Genre]])</f>
        <v>Comedy</v>
      </c>
      <c r="G486">
        <v>121</v>
      </c>
      <c r="H486">
        <v>4.9000000000000004</v>
      </c>
      <c r="I486" t="str" cm="1">
        <f t="array" ref="I486">_xlfn.IFS(H486&lt;4,"poor",H486&lt;7,"average",H486&lt;9,"good",TRUE,"excellent")</f>
        <v>average</v>
      </c>
      <c r="J486" t="s">
        <v>1015</v>
      </c>
      <c r="K486" t="str">
        <f t="shared" si="57"/>
        <v>Hin</v>
      </c>
      <c r="L486">
        <v>1991</v>
      </c>
      <c r="M486" t="str">
        <f t="shared" si="58"/>
        <v>91</v>
      </c>
      <c r="N486" t="s">
        <v>1020</v>
      </c>
      <c r="O486" s="2">
        <v>45133</v>
      </c>
      <c r="Q486">
        <f t="shared" si="59"/>
        <v>5</v>
      </c>
      <c r="R486">
        <f t="shared" si="60"/>
        <v>2049</v>
      </c>
      <c r="U486" t="str">
        <f t="shared" si="61"/>
        <v>long</v>
      </c>
      <c r="V486" s="4">
        <f t="shared" ca="1" si="62"/>
        <v>45973.174535995371</v>
      </c>
    </row>
    <row r="487" spans="1:22" x14ac:dyDescent="0.25">
      <c r="A487" t="s">
        <v>493</v>
      </c>
      <c r="B487" t="s">
        <v>993</v>
      </c>
      <c r="C487">
        <f t="shared" si="56"/>
        <v>9</v>
      </c>
      <c r="D487" t="str">
        <f t="shared" si="63"/>
        <v>M1485 Movie_485</v>
      </c>
      <c r="E487" t="s">
        <v>1011</v>
      </c>
      <c r="F487" t="str">
        <f>TRIM(Table1[[#This Row],[Genre]])</f>
        <v>Comedy</v>
      </c>
      <c r="G487">
        <v>100</v>
      </c>
      <c r="H487">
        <v>5</v>
      </c>
      <c r="I487" t="str" cm="1">
        <f t="array" ref="I487">_xlfn.IFS(H487&lt;4,"poor",H487&lt;7,"average",H487&lt;9,"good",TRUE,"excellent")</f>
        <v>average</v>
      </c>
      <c r="J487" t="s">
        <v>1017</v>
      </c>
      <c r="K487" t="str">
        <f t="shared" si="57"/>
        <v>Fre</v>
      </c>
      <c r="L487">
        <v>2014</v>
      </c>
      <c r="M487" t="str">
        <f t="shared" si="58"/>
        <v>14</v>
      </c>
      <c r="N487" t="s">
        <v>1021</v>
      </c>
      <c r="O487" s="2">
        <v>45251</v>
      </c>
      <c r="Q487">
        <f t="shared" si="59"/>
        <v>5</v>
      </c>
      <c r="R487">
        <f t="shared" si="60"/>
        <v>1928</v>
      </c>
      <c r="U487" t="str">
        <f t="shared" si="61"/>
        <v>short</v>
      </c>
      <c r="V487" s="4">
        <f t="shared" ca="1" si="62"/>
        <v>45973.174535995371</v>
      </c>
    </row>
    <row r="488" spans="1:22" x14ac:dyDescent="0.25">
      <c r="A488" t="s">
        <v>494</v>
      </c>
      <c r="B488" t="s">
        <v>994</v>
      </c>
      <c r="C488">
        <f t="shared" si="56"/>
        <v>9</v>
      </c>
      <c r="D488" t="str">
        <f t="shared" si="63"/>
        <v>M1486 Movie_486</v>
      </c>
      <c r="E488" t="s">
        <v>1011</v>
      </c>
      <c r="F488" t="str">
        <f>TRIM(Table1[[#This Row],[Genre]])</f>
        <v>Comedy</v>
      </c>
      <c r="G488">
        <v>139</v>
      </c>
      <c r="H488">
        <v>5.7</v>
      </c>
      <c r="I488" t="str" cm="1">
        <f t="array" ref="I488">_xlfn.IFS(H488&lt;4,"poor",H488&lt;7,"average",H488&lt;9,"good",TRUE,"excellent")</f>
        <v>average</v>
      </c>
      <c r="J488" t="s">
        <v>1014</v>
      </c>
      <c r="K488" t="str">
        <f t="shared" si="57"/>
        <v>Jap</v>
      </c>
      <c r="L488">
        <v>2005</v>
      </c>
      <c r="M488" t="str">
        <f t="shared" si="58"/>
        <v>05</v>
      </c>
      <c r="N488" t="s">
        <v>1021</v>
      </c>
      <c r="O488" s="2">
        <v>43850</v>
      </c>
      <c r="Q488">
        <f t="shared" si="59"/>
        <v>5</v>
      </c>
      <c r="R488">
        <f t="shared" si="60"/>
        <v>1828</v>
      </c>
      <c r="U488" t="str">
        <f t="shared" si="61"/>
        <v>long</v>
      </c>
      <c r="V488" s="4">
        <f t="shared" ca="1" si="62"/>
        <v>45973.174535995371</v>
      </c>
    </row>
    <row r="489" spans="1:22" x14ac:dyDescent="0.25">
      <c r="A489" t="s">
        <v>495</v>
      </c>
      <c r="B489" t="s">
        <v>995</v>
      </c>
      <c r="C489">
        <f t="shared" si="56"/>
        <v>9</v>
      </c>
      <c r="D489" t="str">
        <f t="shared" si="63"/>
        <v>M1487 Movie_487</v>
      </c>
      <c r="E489" t="s">
        <v>1011</v>
      </c>
      <c r="F489" t="str">
        <f>TRIM(Table1[[#This Row],[Genre]])</f>
        <v>Comedy</v>
      </c>
      <c r="G489">
        <v>63</v>
      </c>
      <c r="H489">
        <v>2.4</v>
      </c>
      <c r="I489" t="str" cm="1">
        <f t="array" ref="I489">_xlfn.IFS(H489&lt;4,"poor",H489&lt;7,"average",H489&lt;9,"good",TRUE,"excellent")</f>
        <v>poor</v>
      </c>
      <c r="J489" t="s">
        <v>1016</v>
      </c>
      <c r="K489" t="str">
        <f t="shared" si="57"/>
        <v>Spa</v>
      </c>
      <c r="L489">
        <v>2013</v>
      </c>
      <c r="M489" t="str">
        <f t="shared" si="58"/>
        <v>13</v>
      </c>
      <c r="N489" t="s">
        <v>1020</v>
      </c>
      <c r="O489" s="2">
        <v>44517</v>
      </c>
      <c r="Q489">
        <f t="shared" si="59"/>
        <v>5</v>
      </c>
      <c r="R489">
        <f t="shared" si="60"/>
        <v>1689</v>
      </c>
      <c r="U489" t="str">
        <f t="shared" si="61"/>
        <v>short</v>
      </c>
      <c r="V489" s="4">
        <f t="shared" ca="1" si="62"/>
        <v>45973.174535995371</v>
      </c>
    </row>
    <row r="490" spans="1:22" x14ac:dyDescent="0.25">
      <c r="A490" t="s">
        <v>496</v>
      </c>
      <c r="B490" t="s">
        <v>996</v>
      </c>
      <c r="C490">
        <f t="shared" si="56"/>
        <v>9</v>
      </c>
      <c r="D490" t="str">
        <f t="shared" si="63"/>
        <v>M1488 Movie_488</v>
      </c>
      <c r="E490" t="s">
        <v>1013</v>
      </c>
      <c r="F490" t="str">
        <f>TRIM(Table1[[#This Row],[Genre]])</f>
        <v>Thriller</v>
      </c>
      <c r="G490">
        <v>164</v>
      </c>
      <c r="H490">
        <v>4.4000000000000004</v>
      </c>
      <c r="I490" t="str" cm="1">
        <f t="array" ref="I490">_xlfn.IFS(H490&lt;4,"poor",H490&lt;7,"average",H490&lt;9,"good",TRUE,"excellent")</f>
        <v>average</v>
      </c>
      <c r="J490" t="s">
        <v>1015</v>
      </c>
      <c r="K490" t="str">
        <f t="shared" si="57"/>
        <v>Hin</v>
      </c>
      <c r="L490">
        <v>1988</v>
      </c>
      <c r="M490" t="str">
        <f t="shared" si="58"/>
        <v>88</v>
      </c>
      <c r="N490" t="s">
        <v>1020</v>
      </c>
      <c r="O490" s="2">
        <v>43833</v>
      </c>
      <c r="Q490">
        <f t="shared" si="59"/>
        <v>5</v>
      </c>
      <c r="R490">
        <f t="shared" si="60"/>
        <v>1626</v>
      </c>
      <c r="U490" t="str">
        <f t="shared" si="61"/>
        <v>long</v>
      </c>
      <c r="V490" s="4">
        <f t="shared" ca="1" si="62"/>
        <v>45973.174535995371</v>
      </c>
    </row>
    <row r="491" spans="1:22" x14ac:dyDescent="0.25">
      <c r="A491" t="s">
        <v>497</v>
      </c>
      <c r="B491" t="s">
        <v>997</v>
      </c>
      <c r="C491">
        <f t="shared" si="56"/>
        <v>9</v>
      </c>
      <c r="D491" t="str">
        <f t="shared" si="63"/>
        <v>M1489 Movie_489</v>
      </c>
      <c r="E491" t="s">
        <v>1009</v>
      </c>
      <c r="F491" t="str">
        <f>TRIM(Table1[[#This Row],[Genre]])</f>
        <v>Action</v>
      </c>
      <c r="G491">
        <v>83</v>
      </c>
      <c r="H491">
        <v>3.5</v>
      </c>
      <c r="I491" t="str" cm="1">
        <f t="array" ref="I491">_xlfn.IFS(H491&lt;4,"poor",H491&lt;7,"average",H491&lt;9,"good",TRUE,"excellent")</f>
        <v>poor</v>
      </c>
      <c r="J491" t="s">
        <v>1019</v>
      </c>
      <c r="K491" t="str">
        <f t="shared" si="57"/>
        <v>Ger</v>
      </c>
      <c r="L491">
        <v>1994</v>
      </c>
      <c r="M491" t="str">
        <f t="shared" si="58"/>
        <v>94</v>
      </c>
      <c r="N491" t="s">
        <v>1021</v>
      </c>
      <c r="O491" s="2">
        <v>45385</v>
      </c>
      <c r="Q491">
        <f t="shared" si="59"/>
        <v>5</v>
      </c>
      <c r="R491">
        <f t="shared" si="60"/>
        <v>1462</v>
      </c>
      <c r="U491" t="str">
        <f t="shared" si="61"/>
        <v>short</v>
      </c>
      <c r="V491" s="4">
        <f t="shared" ca="1" si="62"/>
        <v>45973.174535995371</v>
      </c>
    </row>
    <row r="492" spans="1:22" x14ac:dyDescent="0.25">
      <c r="A492" t="s">
        <v>498</v>
      </c>
      <c r="B492" t="s">
        <v>998</v>
      </c>
      <c r="C492">
        <f t="shared" si="56"/>
        <v>9</v>
      </c>
      <c r="D492" t="str">
        <f t="shared" si="63"/>
        <v>M1490 Movie_490</v>
      </c>
      <c r="E492" t="s">
        <v>1011</v>
      </c>
      <c r="F492" t="str">
        <f>TRIM(Table1[[#This Row],[Genre]])</f>
        <v>Comedy</v>
      </c>
      <c r="G492">
        <v>117</v>
      </c>
      <c r="H492">
        <v>4.7</v>
      </c>
      <c r="I492" t="str" cm="1">
        <f t="array" ref="I492">_xlfn.IFS(H492&lt;4,"poor",H492&lt;7,"average",H492&lt;9,"good",TRUE,"excellent")</f>
        <v>average</v>
      </c>
      <c r="J492" t="s">
        <v>1015</v>
      </c>
      <c r="K492" t="str">
        <f t="shared" si="57"/>
        <v>Hin</v>
      </c>
      <c r="L492">
        <v>1980</v>
      </c>
      <c r="M492" t="str">
        <f t="shared" si="58"/>
        <v>80</v>
      </c>
      <c r="N492" t="s">
        <v>1021</v>
      </c>
      <c r="O492" s="2">
        <v>45177</v>
      </c>
      <c r="Q492">
        <f t="shared" si="59"/>
        <v>5</v>
      </c>
      <c r="R492">
        <f t="shared" si="60"/>
        <v>1379</v>
      </c>
      <c r="U492" t="str">
        <f t="shared" si="61"/>
        <v>short</v>
      </c>
      <c r="V492" s="4">
        <f t="shared" ca="1" si="62"/>
        <v>45973.174535995371</v>
      </c>
    </row>
    <row r="493" spans="1:22" x14ac:dyDescent="0.25">
      <c r="A493" t="s">
        <v>499</v>
      </c>
      <c r="B493" t="s">
        <v>999</v>
      </c>
      <c r="C493">
        <f t="shared" si="56"/>
        <v>9</v>
      </c>
      <c r="D493" t="str">
        <f t="shared" si="63"/>
        <v>M1491 Movie_491</v>
      </c>
      <c r="E493" t="s">
        <v>1008</v>
      </c>
      <c r="F493" t="str">
        <f>TRIM(Table1[[#This Row],[Genre]])</f>
        <v>Horror</v>
      </c>
      <c r="G493">
        <v>89</v>
      </c>
      <c r="H493">
        <v>4</v>
      </c>
      <c r="I493" t="str" cm="1">
        <f t="array" ref="I493">_xlfn.IFS(H493&lt;4,"poor",H493&lt;7,"average",H493&lt;9,"good",TRUE,"excellent")</f>
        <v>average</v>
      </c>
      <c r="J493" t="s">
        <v>1014</v>
      </c>
      <c r="K493" t="str">
        <f t="shared" si="57"/>
        <v>Jap</v>
      </c>
      <c r="L493">
        <v>1981</v>
      </c>
      <c r="M493" t="str">
        <f t="shared" si="58"/>
        <v>81</v>
      </c>
      <c r="N493" t="s">
        <v>1020</v>
      </c>
      <c r="O493" s="2">
        <v>44601</v>
      </c>
      <c r="Q493">
        <f t="shared" si="59"/>
        <v>5</v>
      </c>
      <c r="R493">
        <f t="shared" si="60"/>
        <v>1262</v>
      </c>
      <c r="U493" t="str">
        <f t="shared" si="61"/>
        <v>short</v>
      </c>
      <c r="V493" s="4">
        <f t="shared" ca="1" si="62"/>
        <v>45973.174535995371</v>
      </c>
    </row>
    <row r="494" spans="1:22" x14ac:dyDescent="0.25">
      <c r="A494" t="s">
        <v>500</v>
      </c>
      <c r="B494" t="s">
        <v>1000</v>
      </c>
      <c r="C494">
        <f t="shared" si="56"/>
        <v>9</v>
      </c>
      <c r="D494" t="str">
        <f t="shared" si="63"/>
        <v>M1492 Movie_492</v>
      </c>
      <c r="E494" t="s">
        <v>1010</v>
      </c>
      <c r="F494" t="str">
        <f>TRIM(Table1[[#This Row],[Genre]])</f>
        <v>Drama</v>
      </c>
      <c r="G494">
        <v>178</v>
      </c>
      <c r="H494">
        <v>6.4</v>
      </c>
      <c r="I494" t="str" cm="1">
        <f t="array" ref="I494">_xlfn.IFS(H494&lt;4,"poor",H494&lt;7,"average",H494&lt;9,"good",TRUE,"excellent")</f>
        <v>average</v>
      </c>
      <c r="J494" t="s">
        <v>1018</v>
      </c>
      <c r="K494" t="str">
        <f t="shared" si="57"/>
        <v>Eng</v>
      </c>
      <c r="L494">
        <v>1999</v>
      </c>
      <c r="M494" t="str">
        <f t="shared" si="58"/>
        <v>99</v>
      </c>
      <c r="N494" t="s">
        <v>1021</v>
      </c>
      <c r="O494" s="2">
        <v>45342</v>
      </c>
      <c r="Q494">
        <f t="shared" si="59"/>
        <v>5</v>
      </c>
      <c r="R494">
        <f t="shared" si="60"/>
        <v>1173</v>
      </c>
      <c r="U494" t="str">
        <f t="shared" si="61"/>
        <v>long</v>
      </c>
      <c r="V494" s="4">
        <f t="shared" ca="1" si="62"/>
        <v>45973.174535995371</v>
      </c>
    </row>
    <row r="495" spans="1:22" x14ac:dyDescent="0.25">
      <c r="A495" t="s">
        <v>501</v>
      </c>
      <c r="B495" t="s">
        <v>1001</v>
      </c>
      <c r="C495">
        <f t="shared" si="56"/>
        <v>9</v>
      </c>
      <c r="D495" t="str">
        <f t="shared" si="63"/>
        <v>M1493 Movie_493</v>
      </c>
      <c r="E495" t="s">
        <v>1013</v>
      </c>
      <c r="F495" t="str">
        <f>TRIM(Table1[[#This Row],[Genre]])</f>
        <v>Thriller</v>
      </c>
      <c r="G495">
        <v>90</v>
      </c>
      <c r="H495">
        <v>8.1</v>
      </c>
      <c r="I495" t="str" cm="1">
        <f t="array" ref="I495">_xlfn.IFS(H495&lt;4,"poor",H495&lt;7,"average",H495&lt;9,"good",TRUE,"excellent")</f>
        <v>good</v>
      </c>
      <c r="J495" t="s">
        <v>1019</v>
      </c>
      <c r="K495" t="str">
        <f t="shared" si="57"/>
        <v>Ger</v>
      </c>
      <c r="L495">
        <v>2009</v>
      </c>
      <c r="M495" t="str">
        <f t="shared" si="58"/>
        <v>09</v>
      </c>
      <c r="N495" t="s">
        <v>1020</v>
      </c>
      <c r="O495" s="2">
        <v>45320</v>
      </c>
      <c r="Q495">
        <f t="shared" si="59"/>
        <v>5</v>
      </c>
      <c r="R495">
        <f t="shared" si="60"/>
        <v>995</v>
      </c>
      <c r="U495" t="str">
        <f t="shared" si="61"/>
        <v>short</v>
      </c>
      <c r="V495" s="4">
        <f t="shared" ca="1" si="62"/>
        <v>45973.174535995371</v>
      </c>
    </row>
    <row r="496" spans="1:22" x14ac:dyDescent="0.25">
      <c r="A496" t="s">
        <v>502</v>
      </c>
      <c r="B496" t="s">
        <v>1002</v>
      </c>
      <c r="C496">
        <f t="shared" si="56"/>
        <v>9</v>
      </c>
      <c r="D496" t="str">
        <f t="shared" si="63"/>
        <v>M1494 Movie_494</v>
      </c>
      <c r="E496" t="s">
        <v>1008</v>
      </c>
      <c r="F496" t="str">
        <f>TRIM(Table1[[#This Row],[Genre]])</f>
        <v>Horror</v>
      </c>
      <c r="G496">
        <v>99</v>
      </c>
      <c r="H496">
        <v>6.8</v>
      </c>
      <c r="I496" t="str" cm="1">
        <f t="array" ref="I496">_xlfn.IFS(H496&lt;4,"poor",H496&lt;7,"average",H496&lt;9,"good",TRUE,"excellent")</f>
        <v>average</v>
      </c>
      <c r="J496" t="s">
        <v>1014</v>
      </c>
      <c r="K496" t="str">
        <f t="shared" si="57"/>
        <v>Jap</v>
      </c>
      <c r="L496">
        <v>2023</v>
      </c>
      <c r="M496" t="str">
        <f t="shared" si="58"/>
        <v>23</v>
      </c>
      <c r="N496" t="s">
        <v>1021</v>
      </c>
      <c r="O496" s="2">
        <v>44460</v>
      </c>
      <c r="Q496">
        <f t="shared" si="59"/>
        <v>5</v>
      </c>
      <c r="R496">
        <f t="shared" si="60"/>
        <v>905</v>
      </c>
      <c r="U496" t="str">
        <f t="shared" si="61"/>
        <v>short</v>
      </c>
      <c r="V496" s="4">
        <f t="shared" ca="1" si="62"/>
        <v>45973.174535995371</v>
      </c>
    </row>
    <row r="497" spans="1:22" x14ac:dyDescent="0.25">
      <c r="A497" t="s">
        <v>503</v>
      </c>
      <c r="B497" t="s">
        <v>1003</v>
      </c>
      <c r="C497">
        <f t="shared" si="56"/>
        <v>9</v>
      </c>
      <c r="D497" t="str">
        <f t="shared" si="63"/>
        <v>M1495 Movie_495</v>
      </c>
      <c r="E497" t="s">
        <v>1008</v>
      </c>
      <c r="F497" t="str">
        <f>TRIM(Table1[[#This Row],[Genre]])</f>
        <v>Horror</v>
      </c>
      <c r="G497">
        <v>187</v>
      </c>
      <c r="H497">
        <v>1.6</v>
      </c>
      <c r="I497" t="str" cm="1">
        <f t="array" ref="I497">_xlfn.IFS(H497&lt;4,"poor",H497&lt;7,"average",H497&lt;9,"good",TRUE,"excellent")</f>
        <v>poor</v>
      </c>
      <c r="J497" t="s">
        <v>1015</v>
      </c>
      <c r="K497" t="str">
        <f t="shared" si="57"/>
        <v>Hin</v>
      </c>
      <c r="L497">
        <v>2014</v>
      </c>
      <c r="M497" t="str">
        <f t="shared" si="58"/>
        <v>14</v>
      </c>
      <c r="N497" t="s">
        <v>1020</v>
      </c>
      <c r="O497" s="2">
        <v>44043</v>
      </c>
      <c r="Q497">
        <f t="shared" si="59"/>
        <v>5</v>
      </c>
      <c r="R497">
        <f t="shared" si="60"/>
        <v>806</v>
      </c>
      <c r="U497" t="str">
        <f t="shared" si="61"/>
        <v>long</v>
      </c>
      <c r="V497" s="4">
        <f t="shared" ca="1" si="62"/>
        <v>45973.174535995371</v>
      </c>
    </row>
    <row r="498" spans="1:22" x14ac:dyDescent="0.25">
      <c r="A498" t="s">
        <v>504</v>
      </c>
      <c r="B498" t="s">
        <v>1004</v>
      </c>
      <c r="C498">
        <f t="shared" si="56"/>
        <v>9</v>
      </c>
      <c r="D498" t="str">
        <f t="shared" si="63"/>
        <v>M1496 Movie_496</v>
      </c>
      <c r="E498" t="s">
        <v>1011</v>
      </c>
      <c r="F498" t="str">
        <f>TRIM(Table1[[#This Row],[Genre]])</f>
        <v>Comedy</v>
      </c>
      <c r="G498">
        <v>134</v>
      </c>
      <c r="H498">
        <v>1.9</v>
      </c>
      <c r="I498" t="str" cm="1">
        <f t="array" ref="I498">_xlfn.IFS(H498&lt;4,"poor",H498&lt;7,"average",H498&lt;9,"good",TRUE,"excellent")</f>
        <v>poor</v>
      </c>
      <c r="J498" t="s">
        <v>1017</v>
      </c>
      <c r="K498" t="str">
        <f t="shared" si="57"/>
        <v>Fre</v>
      </c>
      <c r="L498">
        <v>2007</v>
      </c>
      <c r="M498" t="str">
        <f t="shared" si="58"/>
        <v>07</v>
      </c>
      <c r="N498" t="s">
        <v>1020</v>
      </c>
      <c r="O498" s="2">
        <v>44251</v>
      </c>
      <c r="Q498">
        <f t="shared" si="59"/>
        <v>5</v>
      </c>
      <c r="R498">
        <f t="shared" si="60"/>
        <v>619</v>
      </c>
      <c r="U498" t="str">
        <f t="shared" si="61"/>
        <v>long</v>
      </c>
      <c r="V498" s="4">
        <f t="shared" ca="1" si="62"/>
        <v>45973.174535995371</v>
      </c>
    </row>
    <row r="499" spans="1:22" x14ac:dyDescent="0.25">
      <c r="A499" t="s">
        <v>505</v>
      </c>
      <c r="B499" t="s">
        <v>1005</v>
      </c>
      <c r="C499">
        <f t="shared" si="56"/>
        <v>9</v>
      </c>
      <c r="D499" t="str">
        <f t="shared" si="63"/>
        <v>M1497 Movie_497</v>
      </c>
      <c r="E499" t="s">
        <v>1010</v>
      </c>
      <c r="F499" t="str">
        <f>TRIM(Table1[[#This Row],[Genre]])</f>
        <v>Drama</v>
      </c>
      <c r="G499">
        <v>190</v>
      </c>
      <c r="H499">
        <v>7.1</v>
      </c>
      <c r="I499" t="str" cm="1">
        <f t="array" ref="I499">_xlfn.IFS(H499&lt;4,"poor",H499&lt;7,"average",H499&lt;9,"good",TRUE,"excellent")</f>
        <v>good</v>
      </c>
      <c r="J499" t="s">
        <v>1014</v>
      </c>
      <c r="K499" t="str">
        <f t="shared" si="57"/>
        <v>Jap</v>
      </c>
      <c r="L499">
        <v>2014</v>
      </c>
      <c r="M499" t="str">
        <f t="shared" si="58"/>
        <v>14</v>
      </c>
      <c r="N499" t="s">
        <v>1021</v>
      </c>
      <c r="O499" s="2">
        <v>44916</v>
      </c>
      <c r="Q499">
        <f t="shared" si="59"/>
        <v>5</v>
      </c>
      <c r="R499">
        <f t="shared" si="60"/>
        <v>485</v>
      </c>
      <c r="U499" t="str">
        <f t="shared" si="61"/>
        <v>long</v>
      </c>
      <c r="V499" s="4">
        <f t="shared" ca="1" si="62"/>
        <v>45973.174535995371</v>
      </c>
    </row>
    <row r="500" spans="1:22" x14ac:dyDescent="0.25">
      <c r="A500" t="s">
        <v>506</v>
      </c>
      <c r="B500" t="s">
        <v>1006</v>
      </c>
      <c r="C500">
        <f t="shared" si="56"/>
        <v>9</v>
      </c>
      <c r="D500" t="str">
        <f t="shared" si="63"/>
        <v>M1498 Movie_498</v>
      </c>
      <c r="E500" t="s">
        <v>1011</v>
      </c>
      <c r="F500" t="str">
        <f>TRIM(Table1[[#This Row],[Genre]])</f>
        <v>Comedy</v>
      </c>
      <c r="G500">
        <v>129</v>
      </c>
      <c r="H500">
        <v>3.6</v>
      </c>
      <c r="I500" t="str" cm="1">
        <f t="array" ref="I500">_xlfn.IFS(H500&lt;4,"poor",H500&lt;7,"average",H500&lt;9,"good",TRUE,"excellent")</f>
        <v>poor</v>
      </c>
      <c r="J500" t="s">
        <v>1017</v>
      </c>
      <c r="K500" t="str">
        <f t="shared" si="57"/>
        <v>Fre</v>
      </c>
      <c r="L500">
        <v>2004</v>
      </c>
      <c r="M500" t="str">
        <f t="shared" si="58"/>
        <v>04</v>
      </c>
      <c r="N500" t="s">
        <v>1020</v>
      </c>
      <c r="O500" s="2">
        <v>44318</v>
      </c>
      <c r="Q500">
        <f t="shared" si="59"/>
        <v>5</v>
      </c>
      <c r="R500">
        <f t="shared" si="60"/>
        <v>295</v>
      </c>
      <c r="U500" t="str">
        <f t="shared" si="61"/>
        <v>long</v>
      </c>
      <c r="V500" s="4">
        <f t="shared" ca="1" si="62"/>
        <v>45973.174535995371</v>
      </c>
    </row>
    <row r="501" spans="1:22" x14ac:dyDescent="0.25">
      <c r="A501" t="s">
        <v>507</v>
      </c>
      <c r="B501" t="s">
        <v>1007</v>
      </c>
      <c r="C501">
        <f t="shared" si="56"/>
        <v>9</v>
      </c>
      <c r="E501" t="s">
        <v>1008</v>
      </c>
      <c r="F501" t="str">
        <f>TRIM(Table1[[#This Row],[Genre]])</f>
        <v>Horror</v>
      </c>
      <c r="G501">
        <v>166</v>
      </c>
      <c r="H501">
        <v>7.5</v>
      </c>
      <c r="I501" t="str" cm="1">
        <f t="array" ref="I501">_xlfn.IFS(H501&lt;4,"poor",H501&lt;7,"average",H501&lt;9,"good",TRUE,"excellent")</f>
        <v>good</v>
      </c>
      <c r="J501" t="s">
        <v>1019</v>
      </c>
      <c r="K501" t="str">
        <f t="shared" si="57"/>
        <v>Ger</v>
      </c>
      <c r="L501">
        <v>1994</v>
      </c>
      <c r="M501" t="str">
        <f t="shared" si="58"/>
        <v>94</v>
      </c>
      <c r="N501" t="s">
        <v>1021</v>
      </c>
      <c r="O501" s="2">
        <v>44690</v>
      </c>
      <c r="Q501">
        <f t="shared" si="59"/>
        <v>5</v>
      </c>
      <c r="R501">
        <f t="shared" si="60"/>
        <v>166</v>
      </c>
      <c r="U501" t="str">
        <f t="shared" si="61"/>
        <v>long</v>
      </c>
      <c r="V501" s="4">
        <f t="shared" ca="1" si="62"/>
        <v>45973.174535995371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movie streamings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2025-09-30T05:26:54Z</dcterms:created>
  <dcterms:modified xsi:type="dcterms:W3CDTF">2025-11-11T22:41:57Z</dcterms:modified>
</cp:coreProperties>
</file>