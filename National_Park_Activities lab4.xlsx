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AADB5F40-216D-471F-B458-D50D7F3E72B4}" xr6:coauthVersionLast="47" xr6:coauthVersionMax="47" xr10:uidLastSave="{00000000-0000-0000-0000-000000000000}"/>
  <bookViews>
    <workbookView xWindow="-120" yWindow="-120" windowWidth="20730" windowHeight="11160" firstSheet="1" activeTab="2" xr2:uid="{00000000-000D-0000-FFFF-FFFF00000000}"/>
  </bookViews>
  <sheets>
    <sheet name="Sheet4" sheetId="6" r:id="rId1"/>
    <sheet name="Sheet5" sheetId="7" r:id="rId2"/>
    <sheet name="Sheet6" sheetId="8" r:id="rId3"/>
    <sheet name="Sheet8" sheetId="10" r:id="rId4"/>
    <sheet name="Sheet7" sheetId="9" r:id="rId5"/>
    <sheet name="Sheet9" sheetId="11" r:id="rId6"/>
    <sheet name="Activity_Data" sheetId="1" r:id="rId7"/>
    <sheet name="Summary report" sheetId="2" r:id="rId8"/>
  </sheets>
  <calcPr calcId="191029"/>
  <pivotCaches>
    <pivotCache cacheId="0" r:id="rId9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502" i="1" l="1" a="1"/>
  <c r="L502" i="1"/>
  <c r="M502" i="1" a="1"/>
  <c r="M502" i="1"/>
  <c r="N502" i="1"/>
  <c r="O502" i="1"/>
  <c r="P502" i="1"/>
  <c r="S502" i="1"/>
  <c r="Q10" i="1"/>
  <c r="R7" i="1"/>
  <c r="R3" i="1"/>
  <c r="K13" i="1"/>
  <c r="K10" i="1"/>
  <c r="K7" i="1"/>
  <c r="K4" i="1"/>
  <c r="K2" i="1"/>
  <c r="S2" i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S201" i="1"/>
  <c r="S202" i="1"/>
  <c r="S203" i="1"/>
  <c r="S204" i="1"/>
  <c r="S205" i="1"/>
  <c r="S206" i="1"/>
  <c r="S207" i="1"/>
  <c r="S208" i="1"/>
  <c r="S209" i="1"/>
  <c r="S210" i="1"/>
  <c r="S211" i="1"/>
  <c r="S212" i="1"/>
  <c r="S213" i="1"/>
  <c r="S214" i="1"/>
  <c r="S215" i="1"/>
  <c r="S216" i="1"/>
  <c r="S217" i="1"/>
  <c r="S218" i="1"/>
  <c r="S219" i="1"/>
  <c r="S220" i="1"/>
  <c r="S221" i="1"/>
  <c r="S222" i="1"/>
  <c r="S223" i="1"/>
  <c r="S224" i="1"/>
  <c r="S225" i="1"/>
  <c r="S226" i="1"/>
  <c r="S227" i="1"/>
  <c r="S228" i="1"/>
  <c r="S229" i="1"/>
  <c r="S230" i="1"/>
  <c r="S231" i="1"/>
  <c r="S232" i="1"/>
  <c r="S233" i="1"/>
  <c r="S234" i="1"/>
  <c r="S235" i="1"/>
  <c r="S236" i="1"/>
  <c r="S237" i="1"/>
  <c r="S238" i="1"/>
  <c r="S239" i="1"/>
  <c r="S240" i="1"/>
  <c r="S241" i="1"/>
  <c r="S242" i="1"/>
  <c r="S243" i="1"/>
  <c r="S244" i="1"/>
  <c r="S245" i="1"/>
  <c r="S246" i="1"/>
  <c r="S247" i="1"/>
  <c r="S248" i="1"/>
  <c r="S249" i="1"/>
  <c r="S250" i="1"/>
  <c r="S251" i="1"/>
  <c r="S252" i="1"/>
  <c r="S253" i="1"/>
  <c r="S254" i="1"/>
  <c r="S255" i="1"/>
  <c r="S256" i="1"/>
  <c r="S257" i="1"/>
  <c r="S258" i="1"/>
  <c r="S259" i="1"/>
  <c r="S260" i="1"/>
  <c r="S261" i="1"/>
  <c r="S262" i="1"/>
  <c r="S263" i="1"/>
  <c r="S264" i="1"/>
  <c r="S265" i="1"/>
  <c r="S266" i="1"/>
  <c r="S267" i="1"/>
  <c r="S268" i="1"/>
  <c r="S269" i="1"/>
  <c r="S270" i="1"/>
  <c r="S271" i="1"/>
  <c r="S272" i="1"/>
  <c r="S273" i="1"/>
  <c r="S274" i="1"/>
  <c r="S275" i="1"/>
  <c r="S276" i="1"/>
  <c r="S277" i="1"/>
  <c r="S278" i="1"/>
  <c r="S279" i="1"/>
  <c r="S280" i="1"/>
  <c r="S281" i="1"/>
  <c r="S282" i="1"/>
  <c r="S283" i="1"/>
  <c r="S284" i="1"/>
  <c r="S285" i="1"/>
  <c r="S286" i="1"/>
  <c r="S287" i="1"/>
  <c r="S288" i="1"/>
  <c r="S289" i="1"/>
  <c r="S290" i="1"/>
  <c r="S291" i="1"/>
  <c r="S292" i="1"/>
  <c r="S293" i="1"/>
  <c r="S294" i="1"/>
  <c r="S295" i="1"/>
  <c r="S296" i="1"/>
  <c r="S297" i="1"/>
  <c r="S298" i="1"/>
  <c r="S299" i="1"/>
  <c r="S300" i="1"/>
  <c r="S301" i="1"/>
  <c r="S302" i="1"/>
  <c r="S303" i="1"/>
  <c r="S304" i="1"/>
  <c r="S305" i="1"/>
  <c r="S306" i="1"/>
  <c r="S307" i="1"/>
  <c r="S308" i="1"/>
  <c r="S309" i="1"/>
  <c r="S310" i="1"/>
  <c r="S311" i="1"/>
  <c r="S312" i="1"/>
  <c r="S313" i="1"/>
  <c r="S314" i="1"/>
  <c r="S315" i="1"/>
  <c r="S316" i="1"/>
  <c r="S317" i="1"/>
  <c r="S318" i="1"/>
  <c r="S319" i="1"/>
  <c r="S320" i="1"/>
  <c r="S321" i="1"/>
  <c r="S322" i="1"/>
  <c r="S323" i="1"/>
  <c r="S324" i="1"/>
  <c r="S325" i="1"/>
  <c r="S326" i="1"/>
  <c r="S327" i="1"/>
  <c r="S328" i="1"/>
  <c r="S329" i="1"/>
  <c r="S330" i="1"/>
  <c r="S331" i="1"/>
  <c r="S332" i="1"/>
  <c r="S333" i="1"/>
  <c r="S334" i="1"/>
  <c r="S335" i="1"/>
  <c r="S336" i="1"/>
  <c r="S337" i="1"/>
  <c r="S338" i="1"/>
  <c r="S339" i="1"/>
  <c r="S340" i="1"/>
  <c r="S341" i="1"/>
  <c r="S342" i="1"/>
  <c r="S343" i="1"/>
  <c r="S344" i="1"/>
  <c r="S345" i="1"/>
  <c r="S346" i="1"/>
  <c r="S347" i="1"/>
  <c r="S348" i="1"/>
  <c r="S349" i="1"/>
  <c r="S350" i="1"/>
  <c r="S351" i="1"/>
  <c r="S352" i="1"/>
  <c r="S353" i="1"/>
  <c r="S354" i="1"/>
  <c r="S355" i="1"/>
  <c r="S356" i="1"/>
  <c r="S357" i="1"/>
  <c r="S358" i="1"/>
  <c r="S359" i="1"/>
  <c r="S360" i="1"/>
  <c r="S361" i="1"/>
  <c r="S362" i="1"/>
  <c r="S363" i="1"/>
  <c r="S364" i="1"/>
  <c r="S365" i="1"/>
  <c r="S366" i="1"/>
  <c r="S367" i="1"/>
  <c r="S368" i="1"/>
  <c r="S369" i="1"/>
  <c r="S370" i="1"/>
  <c r="S371" i="1"/>
  <c r="S372" i="1"/>
  <c r="S373" i="1"/>
  <c r="S374" i="1"/>
  <c r="S375" i="1"/>
  <c r="S376" i="1"/>
  <c r="S377" i="1"/>
  <c r="S378" i="1"/>
  <c r="S379" i="1"/>
  <c r="S380" i="1"/>
  <c r="S381" i="1"/>
  <c r="S382" i="1"/>
  <c r="S383" i="1"/>
  <c r="S384" i="1"/>
  <c r="S385" i="1"/>
  <c r="S386" i="1"/>
  <c r="S387" i="1"/>
  <c r="S388" i="1"/>
  <c r="S389" i="1"/>
  <c r="S390" i="1"/>
  <c r="S391" i="1"/>
  <c r="S392" i="1"/>
  <c r="S393" i="1"/>
  <c r="S394" i="1"/>
  <c r="S395" i="1"/>
  <c r="S396" i="1"/>
  <c r="S397" i="1"/>
  <c r="S398" i="1"/>
  <c r="S399" i="1"/>
  <c r="S400" i="1"/>
  <c r="S401" i="1"/>
  <c r="S402" i="1"/>
  <c r="S403" i="1"/>
  <c r="S404" i="1"/>
  <c r="S405" i="1"/>
  <c r="S406" i="1"/>
  <c r="S407" i="1"/>
  <c r="S408" i="1"/>
  <c r="S409" i="1"/>
  <c r="S410" i="1"/>
  <c r="S411" i="1"/>
  <c r="S412" i="1"/>
  <c r="S413" i="1"/>
  <c r="S414" i="1"/>
  <c r="S415" i="1"/>
  <c r="S416" i="1"/>
  <c r="S417" i="1"/>
  <c r="S418" i="1"/>
  <c r="S419" i="1"/>
  <c r="S420" i="1"/>
  <c r="S421" i="1"/>
  <c r="S422" i="1"/>
  <c r="S423" i="1"/>
  <c r="S424" i="1"/>
  <c r="S425" i="1"/>
  <c r="S426" i="1"/>
  <c r="S427" i="1"/>
  <c r="S428" i="1"/>
  <c r="S429" i="1"/>
  <c r="S430" i="1"/>
  <c r="S431" i="1"/>
  <c r="S432" i="1"/>
  <c r="S433" i="1"/>
  <c r="S434" i="1"/>
  <c r="S435" i="1"/>
  <c r="S436" i="1"/>
  <c r="S437" i="1"/>
  <c r="S438" i="1"/>
  <c r="S439" i="1"/>
  <c r="S440" i="1"/>
  <c r="S441" i="1"/>
  <c r="S442" i="1"/>
  <c r="S443" i="1"/>
  <c r="S444" i="1"/>
  <c r="S445" i="1"/>
  <c r="S446" i="1"/>
  <c r="S447" i="1"/>
  <c r="S448" i="1"/>
  <c r="S449" i="1"/>
  <c r="S450" i="1"/>
  <c r="S451" i="1"/>
  <c r="S452" i="1"/>
  <c r="S453" i="1"/>
  <c r="S454" i="1"/>
  <c r="S455" i="1"/>
  <c r="S456" i="1"/>
  <c r="S457" i="1"/>
  <c r="S458" i="1"/>
  <c r="S459" i="1"/>
  <c r="S460" i="1"/>
  <c r="S461" i="1"/>
  <c r="S462" i="1"/>
  <c r="S463" i="1"/>
  <c r="S464" i="1"/>
  <c r="S465" i="1"/>
  <c r="S466" i="1"/>
  <c r="S467" i="1"/>
  <c r="S468" i="1"/>
  <c r="S469" i="1"/>
  <c r="S470" i="1"/>
  <c r="S471" i="1"/>
  <c r="S472" i="1"/>
  <c r="S473" i="1"/>
  <c r="S474" i="1"/>
  <c r="S475" i="1"/>
  <c r="S476" i="1"/>
  <c r="S477" i="1"/>
  <c r="S478" i="1"/>
  <c r="S479" i="1"/>
  <c r="S480" i="1"/>
  <c r="S481" i="1"/>
  <c r="S482" i="1"/>
  <c r="S483" i="1"/>
  <c r="S484" i="1"/>
  <c r="S485" i="1"/>
  <c r="S486" i="1"/>
  <c r="S487" i="1"/>
  <c r="S488" i="1"/>
  <c r="S489" i="1"/>
  <c r="S490" i="1"/>
  <c r="S491" i="1"/>
  <c r="S492" i="1"/>
  <c r="S493" i="1"/>
  <c r="S494" i="1"/>
  <c r="S495" i="1"/>
  <c r="S496" i="1"/>
  <c r="S497" i="1"/>
  <c r="S498" i="1"/>
  <c r="S499" i="1"/>
  <c r="S500" i="1"/>
  <c r="S501" i="1"/>
  <c r="R2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501" i="1"/>
  <c r="P2" i="1"/>
  <c r="O2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N2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M2" i="1" a="1"/>
  <c r="M2" i="1"/>
  <c r="M3" i="1" a="1"/>
  <c r="M3" i="1"/>
  <c r="M4" i="1" a="1"/>
  <c r="M4" i="1"/>
  <c r="M5" i="1" a="1"/>
  <c r="M5" i="1"/>
  <c r="M6" i="1" a="1"/>
  <c r="M6" i="1"/>
  <c r="M7" i="1" a="1"/>
  <c r="M7" i="1"/>
  <c r="M8" i="1" a="1"/>
  <c r="M8" i="1"/>
  <c r="M9" i="1" a="1"/>
  <c r="M9" i="1"/>
  <c r="M10" i="1" a="1"/>
  <c r="M10" i="1"/>
  <c r="M11" i="1" a="1"/>
  <c r="M11" i="1"/>
  <c r="M12" i="1" a="1"/>
  <c r="M12" i="1"/>
  <c r="M13" i="1" a="1"/>
  <c r="M13" i="1"/>
  <c r="M14" i="1" a="1"/>
  <c r="M14" i="1"/>
  <c r="M15" i="1" a="1"/>
  <c r="M15" i="1"/>
  <c r="M16" i="1" a="1"/>
  <c r="M16" i="1"/>
  <c r="M17" i="1" a="1"/>
  <c r="M17" i="1"/>
  <c r="M18" i="1" a="1"/>
  <c r="M18" i="1"/>
  <c r="M19" i="1" a="1"/>
  <c r="M19" i="1"/>
  <c r="M20" i="1" a="1"/>
  <c r="M20" i="1"/>
  <c r="M21" i="1" a="1"/>
  <c r="M21" i="1"/>
  <c r="M22" i="1" a="1"/>
  <c r="M22" i="1"/>
  <c r="M23" i="1" a="1"/>
  <c r="M23" i="1"/>
  <c r="M24" i="1" a="1"/>
  <c r="M24" i="1"/>
  <c r="M25" i="1" a="1"/>
  <c r="M25" i="1"/>
  <c r="M26" i="1" a="1"/>
  <c r="M26" i="1"/>
  <c r="M27" i="1" a="1"/>
  <c r="M27" i="1"/>
  <c r="M28" i="1" a="1"/>
  <c r="M28" i="1"/>
  <c r="M29" i="1" a="1"/>
  <c r="M29" i="1"/>
  <c r="M30" i="1" a="1"/>
  <c r="M30" i="1"/>
  <c r="M31" i="1" a="1"/>
  <c r="M31" i="1"/>
  <c r="M32" i="1" a="1"/>
  <c r="M32" i="1"/>
  <c r="M33" i="1" a="1"/>
  <c r="M33" i="1"/>
  <c r="M34" i="1" a="1"/>
  <c r="M34" i="1"/>
  <c r="M35" i="1" a="1"/>
  <c r="M35" i="1"/>
  <c r="M36" i="1" a="1"/>
  <c r="M36" i="1"/>
  <c r="M37" i="1" a="1"/>
  <c r="M37" i="1"/>
  <c r="M38" i="1" a="1"/>
  <c r="M38" i="1"/>
  <c r="M39" i="1" a="1"/>
  <c r="M39" i="1"/>
  <c r="M40" i="1" a="1"/>
  <c r="M40" i="1"/>
  <c r="M41" i="1" a="1"/>
  <c r="M41" i="1"/>
  <c r="M42" i="1" a="1"/>
  <c r="M42" i="1"/>
  <c r="M43" i="1" a="1"/>
  <c r="M43" i="1"/>
  <c r="M44" i="1" a="1"/>
  <c r="M44" i="1"/>
  <c r="M45" i="1" a="1"/>
  <c r="M45" i="1"/>
  <c r="M46" i="1" a="1"/>
  <c r="M46" i="1"/>
  <c r="M47" i="1" a="1"/>
  <c r="M47" i="1"/>
  <c r="M48" i="1" a="1"/>
  <c r="M48" i="1"/>
  <c r="M49" i="1" a="1"/>
  <c r="M49" i="1"/>
  <c r="M50" i="1" a="1"/>
  <c r="M50" i="1"/>
  <c r="M51" i="1" a="1"/>
  <c r="M51" i="1"/>
  <c r="M52" i="1" a="1"/>
  <c r="M52" i="1"/>
  <c r="M53" i="1" a="1"/>
  <c r="M53" i="1"/>
  <c r="M54" i="1" a="1"/>
  <c r="M54" i="1"/>
  <c r="M55" i="1" a="1"/>
  <c r="M55" i="1"/>
  <c r="M56" i="1" a="1"/>
  <c r="M56" i="1"/>
  <c r="M57" i="1" a="1"/>
  <c r="M57" i="1"/>
  <c r="M58" i="1" a="1"/>
  <c r="M58" i="1"/>
  <c r="M59" i="1" a="1"/>
  <c r="M59" i="1"/>
  <c r="M60" i="1" a="1"/>
  <c r="M60" i="1"/>
  <c r="M61" i="1" a="1"/>
  <c r="M61" i="1"/>
  <c r="M62" i="1" a="1"/>
  <c r="M62" i="1"/>
  <c r="M63" i="1" a="1"/>
  <c r="M63" i="1"/>
  <c r="M64" i="1" a="1"/>
  <c r="M64" i="1"/>
  <c r="M65" i="1" a="1"/>
  <c r="M65" i="1"/>
  <c r="M66" i="1" a="1"/>
  <c r="M66" i="1"/>
  <c r="M67" i="1" a="1"/>
  <c r="M67" i="1"/>
  <c r="M68" i="1" a="1"/>
  <c r="M68" i="1"/>
  <c r="M69" i="1" a="1"/>
  <c r="M69" i="1"/>
  <c r="M70" i="1" a="1"/>
  <c r="M70" i="1"/>
  <c r="M71" i="1" a="1"/>
  <c r="M71" i="1"/>
  <c r="M72" i="1" a="1"/>
  <c r="M72" i="1"/>
  <c r="M73" i="1" a="1"/>
  <c r="M73" i="1"/>
  <c r="M74" i="1" a="1"/>
  <c r="M74" i="1"/>
  <c r="M75" i="1" a="1"/>
  <c r="M75" i="1"/>
  <c r="M76" i="1" a="1"/>
  <c r="M76" i="1"/>
  <c r="M77" i="1" a="1"/>
  <c r="M77" i="1"/>
  <c r="M78" i="1" a="1"/>
  <c r="M78" i="1"/>
  <c r="M79" i="1" a="1"/>
  <c r="M79" i="1"/>
  <c r="M80" i="1" a="1"/>
  <c r="M80" i="1"/>
  <c r="M81" i="1" a="1"/>
  <c r="M81" i="1"/>
  <c r="M82" i="1" a="1"/>
  <c r="M82" i="1"/>
  <c r="M83" i="1" a="1"/>
  <c r="M83" i="1"/>
  <c r="M84" i="1" a="1"/>
  <c r="M84" i="1"/>
  <c r="M85" i="1" a="1"/>
  <c r="M85" i="1"/>
  <c r="M86" i="1" a="1"/>
  <c r="M86" i="1"/>
  <c r="M87" i="1" a="1"/>
  <c r="M87" i="1"/>
  <c r="M88" i="1" a="1"/>
  <c r="M88" i="1"/>
  <c r="M89" i="1" a="1"/>
  <c r="M89" i="1"/>
  <c r="M90" i="1" a="1"/>
  <c r="M90" i="1"/>
  <c r="M91" i="1" a="1"/>
  <c r="M91" i="1"/>
  <c r="M92" i="1" a="1"/>
  <c r="M92" i="1"/>
  <c r="M93" i="1" a="1"/>
  <c r="M93" i="1"/>
  <c r="M94" i="1" a="1"/>
  <c r="M94" i="1"/>
  <c r="M95" i="1" a="1"/>
  <c r="M95" i="1"/>
  <c r="M96" i="1" a="1"/>
  <c r="M96" i="1"/>
  <c r="M97" i="1" a="1"/>
  <c r="M97" i="1"/>
  <c r="M98" i="1" a="1"/>
  <c r="M98" i="1"/>
  <c r="M99" i="1" a="1"/>
  <c r="M99" i="1"/>
  <c r="M100" i="1" a="1"/>
  <c r="M100" i="1"/>
  <c r="M101" i="1" a="1"/>
  <c r="M101" i="1"/>
  <c r="M102" i="1" a="1"/>
  <c r="M102" i="1"/>
  <c r="M103" i="1" a="1"/>
  <c r="M103" i="1"/>
  <c r="M104" i="1" a="1"/>
  <c r="M104" i="1"/>
  <c r="M105" i="1" a="1"/>
  <c r="M105" i="1"/>
  <c r="M106" i="1" a="1"/>
  <c r="M106" i="1"/>
  <c r="M107" i="1" a="1"/>
  <c r="M107" i="1"/>
  <c r="M108" i="1" a="1"/>
  <c r="M108" i="1"/>
  <c r="M109" i="1" a="1"/>
  <c r="M109" i="1"/>
  <c r="M110" i="1" a="1"/>
  <c r="M110" i="1"/>
  <c r="M111" i="1" a="1"/>
  <c r="M111" i="1"/>
  <c r="M112" i="1" a="1"/>
  <c r="M112" i="1"/>
  <c r="M113" i="1" a="1"/>
  <c r="M113" i="1"/>
  <c r="M114" i="1" a="1"/>
  <c r="M114" i="1"/>
  <c r="M115" i="1" a="1"/>
  <c r="M115" i="1"/>
  <c r="M116" i="1" a="1"/>
  <c r="M116" i="1"/>
  <c r="M117" i="1" a="1"/>
  <c r="M117" i="1"/>
  <c r="M118" i="1" a="1"/>
  <c r="M118" i="1"/>
  <c r="M119" i="1" a="1"/>
  <c r="M119" i="1"/>
  <c r="M120" i="1" a="1"/>
  <c r="M120" i="1"/>
  <c r="M121" i="1" a="1"/>
  <c r="M121" i="1"/>
  <c r="M122" i="1" a="1"/>
  <c r="M122" i="1"/>
  <c r="M123" i="1" a="1"/>
  <c r="M123" i="1"/>
  <c r="M124" i="1" a="1"/>
  <c r="M124" i="1"/>
  <c r="M125" i="1" a="1"/>
  <c r="M125" i="1"/>
  <c r="M126" i="1" a="1"/>
  <c r="M126" i="1"/>
  <c r="M127" i="1" a="1"/>
  <c r="M127" i="1"/>
  <c r="M128" i="1" a="1"/>
  <c r="M128" i="1"/>
  <c r="M129" i="1" a="1"/>
  <c r="M129" i="1"/>
  <c r="M130" i="1" a="1"/>
  <c r="M130" i="1"/>
  <c r="M131" i="1" a="1"/>
  <c r="M131" i="1"/>
  <c r="M132" i="1" a="1"/>
  <c r="M132" i="1"/>
  <c r="M133" i="1" a="1"/>
  <c r="M133" i="1"/>
  <c r="M134" i="1" a="1"/>
  <c r="M134" i="1"/>
  <c r="M135" i="1" a="1"/>
  <c r="M135" i="1"/>
  <c r="M136" i="1" a="1"/>
  <c r="M136" i="1"/>
  <c r="M137" i="1" a="1"/>
  <c r="M137" i="1"/>
  <c r="M138" i="1" a="1"/>
  <c r="M138" i="1"/>
  <c r="M139" i="1" a="1"/>
  <c r="M139" i="1"/>
  <c r="M140" i="1" a="1"/>
  <c r="M140" i="1"/>
  <c r="M141" i="1" a="1"/>
  <c r="M141" i="1"/>
  <c r="M142" i="1" a="1"/>
  <c r="M142" i="1"/>
  <c r="M143" i="1" a="1"/>
  <c r="M143" i="1"/>
  <c r="M144" i="1" a="1"/>
  <c r="M144" i="1"/>
  <c r="M145" i="1" a="1"/>
  <c r="M145" i="1"/>
  <c r="M146" i="1" a="1"/>
  <c r="M146" i="1"/>
  <c r="M147" i="1" a="1"/>
  <c r="M147" i="1"/>
  <c r="M148" i="1" a="1"/>
  <c r="M148" i="1"/>
  <c r="M149" i="1" a="1"/>
  <c r="M149" i="1"/>
  <c r="M150" i="1" a="1"/>
  <c r="M150" i="1"/>
  <c r="M151" i="1" a="1"/>
  <c r="M151" i="1"/>
  <c r="M152" i="1" a="1"/>
  <c r="M152" i="1"/>
  <c r="M153" i="1" a="1"/>
  <c r="M153" i="1"/>
  <c r="M154" i="1" a="1"/>
  <c r="M154" i="1"/>
  <c r="M155" i="1" a="1"/>
  <c r="M155" i="1"/>
  <c r="M156" i="1" a="1"/>
  <c r="M156" i="1"/>
  <c r="M157" i="1" a="1"/>
  <c r="M157" i="1"/>
  <c r="M158" i="1" a="1"/>
  <c r="M158" i="1"/>
  <c r="M159" i="1" a="1"/>
  <c r="M159" i="1"/>
  <c r="M160" i="1" a="1"/>
  <c r="M160" i="1"/>
  <c r="M161" i="1" a="1"/>
  <c r="M161" i="1"/>
  <c r="M162" i="1" a="1"/>
  <c r="M162" i="1"/>
  <c r="M163" i="1" a="1"/>
  <c r="M163" i="1"/>
  <c r="M164" i="1" a="1"/>
  <c r="M164" i="1"/>
  <c r="M165" i="1" a="1"/>
  <c r="M165" i="1"/>
  <c r="M166" i="1" a="1"/>
  <c r="M166" i="1"/>
  <c r="M167" i="1" a="1"/>
  <c r="M167" i="1"/>
  <c r="M168" i="1" a="1"/>
  <c r="M168" i="1"/>
  <c r="M169" i="1" a="1"/>
  <c r="M169" i="1"/>
  <c r="M170" i="1" a="1"/>
  <c r="M170" i="1"/>
  <c r="M171" i="1" a="1"/>
  <c r="M171" i="1"/>
  <c r="M172" i="1" a="1"/>
  <c r="M172" i="1"/>
  <c r="M173" i="1" a="1"/>
  <c r="M173" i="1"/>
  <c r="M174" i="1" a="1"/>
  <c r="M174" i="1"/>
  <c r="M175" i="1" a="1"/>
  <c r="M175" i="1"/>
  <c r="M176" i="1" a="1"/>
  <c r="M176" i="1"/>
  <c r="M177" i="1" a="1"/>
  <c r="M177" i="1"/>
  <c r="M178" i="1" a="1"/>
  <c r="M178" i="1"/>
  <c r="M179" i="1" a="1"/>
  <c r="M179" i="1"/>
  <c r="M180" i="1" a="1"/>
  <c r="M180" i="1"/>
  <c r="M181" i="1" a="1"/>
  <c r="M181" i="1"/>
  <c r="M182" i="1" a="1"/>
  <c r="M182" i="1"/>
  <c r="M183" i="1" a="1"/>
  <c r="M183" i="1"/>
  <c r="M184" i="1" a="1"/>
  <c r="M184" i="1"/>
  <c r="M185" i="1" a="1"/>
  <c r="M185" i="1"/>
  <c r="M186" i="1" a="1"/>
  <c r="M186" i="1"/>
  <c r="M187" i="1" a="1"/>
  <c r="M187" i="1"/>
  <c r="M188" i="1" a="1"/>
  <c r="M188" i="1"/>
  <c r="M189" i="1" a="1"/>
  <c r="M189" i="1"/>
  <c r="M190" i="1" a="1"/>
  <c r="M190" i="1"/>
  <c r="M191" i="1" a="1"/>
  <c r="M191" i="1"/>
  <c r="M192" i="1" a="1"/>
  <c r="M192" i="1"/>
  <c r="M193" i="1" a="1"/>
  <c r="M193" i="1"/>
  <c r="M194" i="1" a="1"/>
  <c r="M194" i="1"/>
  <c r="M195" i="1" a="1"/>
  <c r="M195" i="1"/>
  <c r="M196" i="1" a="1"/>
  <c r="M196" i="1"/>
  <c r="M197" i="1" a="1"/>
  <c r="M197" i="1"/>
  <c r="M198" i="1" a="1"/>
  <c r="M198" i="1"/>
  <c r="M199" i="1" a="1"/>
  <c r="M199" i="1"/>
  <c r="M200" i="1" a="1"/>
  <c r="M200" i="1"/>
  <c r="M201" i="1" a="1"/>
  <c r="M201" i="1"/>
  <c r="M202" i="1" a="1"/>
  <c r="M202" i="1"/>
  <c r="M203" i="1" a="1"/>
  <c r="M203" i="1"/>
  <c r="M204" i="1" a="1"/>
  <c r="M204" i="1"/>
  <c r="M205" i="1" a="1"/>
  <c r="M205" i="1"/>
  <c r="M206" i="1" a="1"/>
  <c r="M206" i="1"/>
  <c r="M207" i="1" a="1"/>
  <c r="M207" i="1"/>
  <c r="M208" i="1" a="1"/>
  <c r="M208" i="1"/>
  <c r="M209" i="1" a="1"/>
  <c r="M209" i="1"/>
  <c r="M210" i="1" a="1"/>
  <c r="M210" i="1"/>
  <c r="M211" i="1" a="1"/>
  <c r="M211" i="1"/>
  <c r="M212" i="1" a="1"/>
  <c r="M212" i="1"/>
  <c r="M213" i="1" a="1"/>
  <c r="M213" i="1"/>
  <c r="M214" i="1" a="1"/>
  <c r="M214" i="1"/>
  <c r="M215" i="1" a="1"/>
  <c r="M215" i="1"/>
  <c r="M216" i="1" a="1"/>
  <c r="M216" i="1"/>
  <c r="M217" i="1" a="1"/>
  <c r="M217" i="1"/>
  <c r="M218" i="1" a="1"/>
  <c r="M218" i="1"/>
  <c r="M219" i="1" a="1"/>
  <c r="M219" i="1"/>
  <c r="M220" i="1" a="1"/>
  <c r="M220" i="1"/>
  <c r="M221" i="1" a="1"/>
  <c r="M221" i="1"/>
  <c r="M222" i="1" a="1"/>
  <c r="M222" i="1"/>
  <c r="M223" i="1" a="1"/>
  <c r="M223" i="1"/>
  <c r="M224" i="1" a="1"/>
  <c r="M224" i="1"/>
  <c r="M225" i="1" a="1"/>
  <c r="M225" i="1"/>
  <c r="M226" i="1" a="1"/>
  <c r="M226" i="1"/>
  <c r="M227" i="1" a="1"/>
  <c r="M227" i="1"/>
  <c r="M228" i="1" a="1"/>
  <c r="M228" i="1"/>
  <c r="M229" i="1" a="1"/>
  <c r="M229" i="1"/>
  <c r="M230" i="1" a="1"/>
  <c r="M230" i="1"/>
  <c r="M231" i="1" a="1"/>
  <c r="M231" i="1"/>
  <c r="M232" i="1" a="1"/>
  <c r="M232" i="1"/>
  <c r="M233" i="1" a="1"/>
  <c r="M233" i="1"/>
  <c r="M234" i="1" a="1"/>
  <c r="M234" i="1"/>
  <c r="M235" i="1" a="1"/>
  <c r="M235" i="1"/>
  <c r="M236" i="1" a="1"/>
  <c r="M236" i="1"/>
  <c r="M237" i="1" a="1"/>
  <c r="M237" i="1"/>
  <c r="M238" i="1" a="1"/>
  <c r="M238" i="1"/>
  <c r="M239" i="1" a="1"/>
  <c r="M239" i="1"/>
  <c r="M240" i="1" a="1"/>
  <c r="M240" i="1"/>
  <c r="M241" i="1" a="1"/>
  <c r="M241" i="1"/>
  <c r="M242" i="1" a="1"/>
  <c r="M242" i="1"/>
  <c r="M243" i="1" a="1"/>
  <c r="M243" i="1"/>
  <c r="M244" i="1" a="1"/>
  <c r="M244" i="1"/>
  <c r="M245" i="1" a="1"/>
  <c r="M245" i="1"/>
  <c r="M246" i="1" a="1"/>
  <c r="M246" i="1"/>
  <c r="M247" i="1" a="1"/>
  <c r="M247" i="1"/>
  <c r="M248" i="1" a="1"/>
  <c r="M248" i="1"/>
  <c r="M249" i="1" a="1"/>
  <c r="M249" i="1"/>
  <c r="M250" i="1" a="1"/>
  <c r="M250" i="1"/>
  <c r="M251" i="1" a="1"/>
  <c r="M251" i="1"/>
  <c r="M252" i="1" a="1"/>
  <c r="M252" i="1"/>
  <c r="M253" i="1" a="1"/>
  <c r="M253" i="1"/>
  <c r="M254" i="1" a="1"/>
  <c r="M254" i="1"/>
  <c r="M255" i="1" a="1"/>
  <c r="M255" i="1"/>
  <c r="M256" i="1" a="1"/>
  <c r="M256" i="1"/>
  <c r="M257" i="1" a="1"/>
  <c r="M257" i="1"/>
  <c r="M258" i="1" a="1"/>
  <c r="M258" i="1"/>
  <c r="M259" i="1" a="1"/>
  <c r="M259" i="1"/>
  <c r="M260" i="1" a="1"/>
  <c r="M260" i="1"/>
  <c r="M261" i="1" a="1"/>
  <c r="M261" i="1"/>
  <c r="M262" i="1" a="1"/>
  <c r="M262" i="1"/>
  <c r="M263" i="1" a="1"/>
  <c r="M263" i="1"/>
  <c r="M264" i="1" a="1"/>
  <c r="M264" i="1"/>
  <c r="M265" i="1" a="1"/>
  <c r="M265" i="1"/>
  <c r="M266" i="1" a="1"/>
  <c r="M266" i="1"/>
  <c r="M267" i="1" a="1"/>
  <c r="M267" i="1"/>
  <c r="M268" i="1" a="1"/>
  <c r="M268" i="1"/>
  <c r="M269" i="1" a="1"/>
  <c r="M269" i="1"/>
  <c r="M270" i="1" a="1"/>
  <c r="M270" i="1"/>
  <c r="M271" i="1" a="1"/>
  <c r="M271" i="1"/>
  <c r="M272" i="1" a="1"/>
  <c r="M272" i="1"/>
  <c r="M273" i="1" a="1"/>
  <c r="M273" i="1"/>
  <c r="M274" i="1" a="1"/>
  <c r="M274" i="1"/>
  <c r="M275" i="1" a="1"/>
  <c r="M275" i="1"/>
  <c r="M276" i="1" a="1"/>
  <c r="M276" i="1"/>
  <c r="M277" i="1" a="1"/>
  <c r="M277" i="1"/>
  <c r="M278" i="1" a="1"/>
  <c r="M278" i="1"/>
  <c r="M279" i="1" a="1"/>
  <c r="M279" i="1"/>
  <c r="M280" i="1" a="1"/>
  <c r="M280" i="1"/>
  <c r="M281" i="1" a="1"/>
  <c r="M281" i="1"/>
  <c r="M282" i="1" a="1"/>
  <c r="M282" i="1"/>
  <c r="M283" i="1" a="1"/>
  <c r="M283" i="1"/>
  <c r="M284" i="1" a="1"/>
  <c r="M284" i="1"/>
  <c r="M285" i="1" a="1"/>
  <c r="M285" i="1"/>
  <c r="M286" i="1" a="1"/>
  <c r="M286" i="1"/>
  <c r="M287" i="1" a="1"/>
  <c r="M287" i="1"/>
  <c r="M288" i="1" a="1"/>
  <c r="M288" i="1"/>
  <c r="M289" i="1" a="1"/>
  <c r="M289" i="1"/>
  <c r="M290" i="1" a="1"/>
  <c r="M290" i="1"/>
  <c r="M291" i="1" a="1"/>
  <c r="M291" i="1"/>
  <c r="M292" i="1" a="1"/>
  <c r="M292" i="1"/>
  <c r="M293" i="1" a="1"/>
  <c r="M293" i="1"/>
  <c r="M294" i="1" a="1"/>
  <c r="M294" i="1"/>
  <c r="M295" i="1" a="1"/>
  <c r="M295" i="1"/>
  <c r="M296" i="1" a="1"/>
  <c r="M296" i="1"/>
  <c r="M297" i="1" a="1"/>
  <c r="M297" i="1"/>
  <c r="M298" i="1" a="1"/>
  <c r="M298" i="1"/>
  <c r="M299" i="1" a="1"/>
  <c r="M299" i="1"/>
  <c r="M300" i="1" a="1"/>
  <c r="M300" i="1"/>
  <c r="M301" i="1" a="1"/>
  <c r="M301" i="1"/>
  <c r="M302" i="1" a="1"/>
  <c r="M302" i="1"/>
  <c r="M303" i="1" a="1"/>
  <c r="M303" i="1"/>
  <c r="M304" i="1" a="1"/>
  <c r="M304" i="1"/>
  <c r="M305" i="1" a="1"/>
  <c r="M305" i="1"/>
  <c r="M306" i="1" a="1"/>
  <c r="M306" i="1"/>
  <c r="M307" i="1" a="1"/>
  <c r="M307" i="1"/>
  <c r="M308" i="1" a="1"/>
  <c r="M308" i="1"/>
  <c r="M309" i="1" a="1"/>
  <c r="M309" i="1"/>
  <c r="M310" i="1" a="1"/>
  <c r="M310" i="1"/>
  <c r="M311" i="1" a="1"/>
  <c r="M311" i="1"/>
  <c r="M312" i="1" a="1"/>
  <c r="M312" i="1"/>
  <c r="M313" i="1" a="1"/>
  <c r="M313" i="1"/>
  <c r="M314" i="1" a="1"/>
  <c r="M314" i="1"/>
  <c r="M315" i="1" a="1"/>
  <c r="M315" i="1"/>
  <c r="M316" i="1" a="1"/>
  <c r="M316" i="1"/>
  <c r="M317" i="1" a="1"/>
  <c r="M317" i="1"/>
  <c r="M318" i="1" a="1"/>
  <c r="M318" i="1"/>
  <c r="M319" i="1" a="1"/>
  <c r="M319" i="1"/>
  <c r="M320" i="1" a="1"/>
  <c r="M320" i="1"/>
  <c r="M321" i="1" a="1"/>
  <c r="M321" i="1"/>
  <c r="M322" i="1" a="1"/>
  <c r="M322" i="1"/>
  <c r="M323" i="1" a="1"/>
  <c r="M323" i="1"/>
  <c r="M324" i="1" a="1"/>
  <c r="M324" i="1"/>
  <c r="M325" i="1" a="1"/>
  <c r="M325" i="1"/>
  <c r="M326" i="1" a="1"/>
  <c r="M326" i="1"/>
  <c r="M327" i="1" a="1"/>
  <c r="M327" i="1"/>
  <c r="M328" i="1" a="1"/>
  <c r="M328" i="1"/>
  <c r="M329" i="1" a="1"/>
  <c r="M329" i="1"/>
  <c r="M330" i="1" a="1"/>
  <c r="M330" i="1"/>
  <c r="M331" i="1" a="1"/>
  <c r="M331" i="1"/>
  <c r="M332" i="1" a="1"/>
  <c r="M332" i="1"/>
  <c r="M333" i="1" a="1"/>
  <c r="M333" i="1"/>
  <c r="M334" i="1" a="1"/>
  <c r="M334" i="1"/>
  <c r="M335" i="1" a="1"/>
  <c r="M335" i="1"/>
  <c r="M336" i="1" a="1"/>
  <c r="M336" i="1"/>
  <c r="M337" i="1" a="1"/>
  <c r="M337" i="1"/>
  <c r="M338" i="1" a="1"/>
  <c r="M338" i="1"/>
  <c r="M339" i="1" a="1"/>
  <c r="M339" i="1"/>
  <c r="M340" i="1" a="1"/>
  <c r="M340" i="1"/>
  <c r="M341" i="1" a="1"/>
  <c r="M341" i="1"/>
  <c r="M342" i="1" a="1"/>
  <c r="M342" i="1"/>
  <c r="M343" i="1" a="1"/>
  <c r="M343" i="1"/>
  <c r="M344" i="1" a="1"/>
  <c r="M344" i="1"/>
  <c r="M345" i="1" a="1"/>
  <c r="M345" i="1"/>
  <c r="M346" i="1" a="1"/>
  <c r="M346" i="1"/>
  <c r="M347" i="1" a="1"/>
  <c r="M347" i="1"/>
  <c r="M348" i="1" a="1"/>
  <c r="M348" i="1"/>
  <c r="M349" i="1" a="1"/>
  <c r="M349" i="1"/>
  <c r="M350" i="1" a="1"/>
  <c r="M350" i="1"/>
  <c r="M351" i="1" a="1"/>
  <c r="M351" i="1"/>
  <c r="M352" i="1" a="1"/>
  <c r="M352" i="1"/>
  <c r="M353" i="1" a="1"/>
  <c r="M353" i="1"/>
  <c r="M354" i="1" a="1"/>
  <c r="M354" i="1"/>
  <c r="M355" i="1" a="1"/>
  <c r="M355" i="1"/>
  <c r="M356" i="1" a="1"/>
  <c r="M356" i="1"/>
  <c r="M357" i="1" a="1"/>
  <c r="M357" i="1"/>
  <c r="M358" i="1" a="1"/>
  <c r="M358" i="1"/>
  <c r="M359" i="1" a="1"/>
  <c r="M359" i="1"/>
  <c r="M360" i="1" a="1"/>
  <c r="M360" i="1"/>
  <c r="M361" i="1" a="1"/>
  <c r="M361" i="1"/>
  <c r="M362" i="1" a="1"/>
  <c r="M362" i="1"/>
  <c r="M363" i="1" a="1"/>
  <c r="M363" i="1"/>
  <c r="M364" i="1" a="1"/>
  <c r="M364" i="1"/>
  <c r="M365" i="1" a="1"/>
  <c r="M365" i="1"/>
  <c r="M366" i="1" a="1"/>
  <c r="M366" i="1"/>
  <c r="M367" i="1" a="1"/>
  <c r="M367" i="1"/>
  <c r="M368" i="1" a="1"/>
  <c r="M368" i="1"/>
  <c r="M369" i="1" a="1"/>
  <c r="M369" i="1"/>
  <c r="M370" i="1" a="1"/>
  <c r="M370" i="1"/>
  <c r="M371" i="1" a="1"/>
  <c r="M371" i="1"/>
  <c r="M372" i="1" a="1"/>
  <c r="M372" i="1"/>
  <c r="M373" i="1" a="1"/>
  <c r="M373" i="1"/>
  <c r="M374" i="1" a="1"/>
  <c r="M374" i="1"/>
  <c r="M375" i="1" a="1"/>
  <c r="M375" i="1"/>
  <c r="M376" i="1" a="1"/>
  <c r="M376" i="1"/>
  <c r="M377" i="1" a="1"/>
  <c r="M377" i="1"/>
  <c r="M378" i="1" a="1"/>
  <c r="M378" i="1"/>
  <c r="M379" i="1" a="1"/>
  <c r="M379" i="1"/>
  <c r="M380" i="1" a="1"/>
  <c r="M380" i="1"/>
  <c r="M381" i="1" a="1"/>
  <c r="M381" i="1"/>
  <c r="M382" i="1" a="1"/>
  <c r="M382" i="1"/>
  <c r="M383" i="1" a="1"/>
  <c r="M383" i="1"/>
  <c r="M384" i="1" a="1"/>
  <c r="M384" i="1"/>
  <c r="M385" i="1" a="1"/>
  <c r="M385" i="1"/>
  <c r="M386" i="1" a="1"/>
  <c r="M386" i="1"/>
  <c r="M387" i="1" a="1"/>
  <c r="M387" i="1"/>
  <c r="M388" i="1" a="1"/>
  <c r="M388" i="1"/>
  <c r="M389" i="1" a="1"/>
  <c r="M389" i="1"/>
  <c r="M390" i="1" a="1"/>
  <c r="M390" i="1"/>
  <c r="M391" i="1" a="1"/>
  <c r="M391" i="1"/>
  <c r="M392" i="1" a="1"/>
  <c r="M392" i="1"/>
  <c r="M393" i="1" a="1"/>
  <c r="M393" i="1"/>
  <c r="M394" i="1" a="1"/>
  <c r="M394" i="1"/>
  <c r="M395" i="1" a="1"/>
  <c r="M395" i="1"/>
  <c r="M396" i="1" a="1"/>
  <c r="M396" i="1"/>
  <c r="M397" i="1" a="1"/>
  <c r="M397" i="1"/>
  <c r="M398" i="1" a="1"/>
  <c r="M398" i="1"/>
  <c r="M399" i="1" a="1"/>
  <c r="M399" i="1"/>
  <c r="M400" i="1" a="1"/>
  <c r="M400" i="1"/>
  <c r="M401" i="1" a="1"/>
  <c r="M401" i="1"/>
  <c r="M402" i="1" a="1"/>
  <c r="M402" i="1"/>
  <c r="M403" i="1" a="1"/>
  <c r="M403" i="1"/>
  <c r="M404" i="1" a="1"/>
  <c r="M404" i="1"/>
  <c r="M405" i="1" a="1"/>
  <c r="M405" i="1"/>
  <c r="M406" i="1" a="1"/>
  <c r="M406" i="1"/>
  <c r="M407" i="1" a="1"/>
  <c r="M407" i="1"/>
  <c r="M408" i="1" a="1"/>
  <c r="M408" i="1"/>
  <c r="M409" i="1" a="1"/>
  <c r="M409" i="1"/>
  <c r="M410" i="1" a="1"/>
  <c r="M410" i="1"/>
  <c r="M411" i="1" a="1"/>
  <c r="M411" i="1"/>
  <c r="M412" i="1" a="1"/>
  <c r="M412" i="1"/>
  <c r="M413" i="1" a="1"/>
  <c r="M413" i="1"/>
  <c r="M414" i="1" a="1"/>
  <c r="M414" i="1"/>
  <c r="M415" i="1" a="1"/>
  <c r="M415" i="1"/>
  <c r="M416" i="1" a="1"/>
  <c r="M416" i="1"/>
  <c r="M417" i="1" a="1"/>
  <c r="M417" i="1"/>
  <c r="M418" i="1" a="1"/>
  <c r="M418" i="1"/>
  <c r="M419" i="1" a="1"/>
  <c r="M419" i="1"/>
  <c r="M420" i="1" a="1"/>
  <c r="M420" i="1"/>
  <c r="M421" i="1" a="1"/>
  <c r="M421" i="1"/>
  <c r="M422" i="1" a="1"/>
  <c r="M422" i="1"/>
  <c r="M423" i="1" a="1"/>
  <c r="M423" i="1"/>
  <c r="M424" i="1" a="1"/>
  <c r="M424" i="1"/>
  <c r="M425" i="1" a="1"/>
  <c r="M425" i="1"/>
  <c r="M426" i="1" a="1"/>
  <c r="M426" i="1"/>
  <c r="M427" i="1" a="1"/>
  <c r="M427" i="1"/>
  <c r="M428" i="1" a="1"/>
  <c r="M428" i="1"/>
  <c r="M429" i="1" a="1"/>
  <c r="M429" i="1"/>
  <c r="M430" i="1" a="1"/>
  <c r="M430" i="1"/>
  <c r="M431" i="1" a="1"/>
  <c r="M431" i="1"/>
  <c r="M432" i="1" a="1"/>
  <c r="M432" i="1"/>
  <c r="M433" i="1" a="1"/>
  <c r="M433" i="1"/>
  <c r="M434" i="1" a="1"/>
  <c r="M434" i="1"/>
  <c r="M435" i="1" a="1"/>
  <c r="M435" i="1"/>
  <c r="M436" i="1" a="1"/>
  <c r="M436" i="1"/>
  <c r="M437" i="1" a="1"/>
  <c r="M437" i="1"/>
  <c r="M438" i="1" a="1"/>
  <c r="M438" i="1"/>
  <c r="M439" i="1" a="1"/>
  <c r="M439" i="1"/>
  <c r="M440" i="1" a="1"/>
  <c r="M440" i="1"/>
  <c r="M441" i="1" a="1"/>
  <c r="M441" i="1"/>
  <c r="M442" i="1" a="1"/>
  <c r="M442" i="1"/>
  <c r="M443" i="1" a="1"/>
  <c r="M443" i="1"/>
  <c r="M444" i="1" a="1"/>
  <c r="M444" i="1"/>
  <c r="M445" i="1" a="1"/>
  <c r="M445" i="1"/>
  <c r="M446" i="1" a="1"/>
  <c r="M446" i="1"/>
  <c r="M447" i="1" a="1"/>
  <c r="M447" i="1"/>
  <c r="M448" i="1" a="1"/>
  <c r="M448" i="1"/>
  <c r="M449" i="1" a="1"/>
  <c r="M449" i="1"/>
  <c r="M450" i="1" a="1"/>
  <c r="M450" i="1"/>
  <c r="M451" i="1" a="1"/>
  <c r="M451" i="1"/>
  <c r="M452" i="1" a="1"/>
  <c r="M452" i="1"/>
  <c r="M453" i="1" a="1"/>
  <c r="M453" i="1"/>
  <c r="M454" i="1" a="1"/>
  <c r="M454" i="1"/>
  <c r="M455" i="1" a="1"/>
  <c r="M455" i="1"/>
  <c r="M456" i="1" a="1"/>
  <c r="M456" i="1"/>
  <c r="M457" i="1" a="1"/>
  <c r="M457" i="1"/>
  <c r="M458" i="1" a="1"/>
  <c r="M458" i="1"/>
  <c r="M459" i="1" a="1"/>
  <c r="M459" i="1"/>
  <c r="M460" i="1" a="1"/>
  <c r="M460" i="1"/>
  <c r="M461" i="1" a="1"/>
  <c r="M461" i="1"/>
  <c r="M462" i="1" a="1"/>
  <c r="M462" i="1"/>
  <c r="M463" i="1" a="1"/>
  <c r="M463" i="1"/>
  <c r="M464" i="1" a="1"/>
  <c r="M464" i="1"/>
  <c r="M465" i="1" a="1"/>
  <c r="M465" i="1"/>
  <c r="M466" i="1" a="1"/>
  <c r="M466" i="1"/>
  <c r="M467" i="1" a="1"/>
  <c r="M467" i="1"/>
  <c r="M468" i="1" a="1"/>
  <c r="M468" i="1"/>
  <c r="M469" i="1" a="1"/>
  <c r="M469" i="1"/>
  <c r="M470" i="1" a="1"/>
  <c r="M470" i="1"/>
  <c r="M471" i="1" a="1"/>
  <c r="M471" i="1"/>
  <c r="M472" i="1" a="1"/>
  <c r="M472" i="1"/>
  <c r="M473" i="1" a="1"/>
  <c r="M473" i="1"/>
  <c r="M474" i="1" a="1"/>
  <c r="M474" i="1"/>
  <c r="M475" i="1" a="1"/>
  <c r="M475" i="1"/>
  <c r="M476" i="1" a="1"/>
  <c r="M476" i="1"/>
  <c r="M477" i="1" a="1"/>
  <c r="M477" i="1"/>
  <c r="M478" i="1" a="1"/>
  <c r="M478" i="1"/>
  <c r="M479" i="1" a="1"/>
  <c r="M479" i="1"/>
  <c r="M480" i="1" a="1"/>
  <c r="M480" i="1"/>
  <c r="M481" i="1" a="1"/>
  <c r="M481" i="1"/>
  <c r="M482" i="1" a="1"/>
  <c r="M482" i="1"/>
  <c r="M483" i="1" a="1"/>
  <c r="M483" i="1"/>
  <c r="M484" i="1" a="1"/>
  <c r="M484" i="1"/>
  <c r="M485" i="1" a="1"/>
  <c r="M485" i="1"/>
  <c r="M486" i="1" a="1"/>
  <c r="M486" i="1"/>
  <c r="M487" i="1" a="1"/>
  <c r="M487" i="1"/>
  <c r="M488" i="1" a="1"/>
  <c r="M488" i="1"/>
  <c r="M489" i="1" a="1"/>
  <c r="M489" i="1"/>
  <c r="M490" i="1" a="1"/>
  <c r="M490" i="1"/>
  <c r="M491" i="1" a="1"/>
  <c r="M491" i="1"/>
  <c r="M492" i="1" a="1"/>
  <c r="M492" i="1"/>
  <c r="M493" i="1" a="1"/>
  <c r="M493" i="1"/>
  <c r="M494" i="1" a="1"/>
  <c r="M494" i="1"/>
  <c r="M495" i="1" a="1"/>
  <c r="M495" i="1"/>
  <c r="M496" i="1" a="1"/>
  <c r="M496" i="1"/>
  <c r="M497" i="1" a="1"/>
  <c r="M497" i="1"/>
  <c r="M498" i="1" a="1"/>
  <c r="M498" i="1"/>
  <c r="M499" i="1" a="1"/>
  <c r="M499" i="1"/>
  <c r="M500" i="1" a="1"/>
  <c r="M500" i="1"/>
  <c r="M501" i="1" a="1"/>
  <c r="M501" i="1"/>
  <c r="L3" i="1" a="1"/>
  <c r="L3" i="1"/>
  <c r="L4" i="1" a="1"/>
  <c r="L4" i="1"/>
  <c r="L5" i="1" a="1"/>
  <c r="L5" i="1"/>
  <c r="L6" i="1" a="1"/>
  <c r="L6" i="1"/>
  <c r="L7" i="1" a="1"/>
  <c r="L7" i="1"/>
  <c r="L8" i="1" a="1"/>
  <c r="L8" i="1"/>
  <c r="L9" i="1" a="1"/>
  <c r="L9" i="1"/>
  <c r="L10" i="1" a="1"/>
  <c r="L10" i="1"/>
  <c r="L11" i="1" a="1"/>
  <c r="L11" i="1"/>
  <c r="L12" i="1" a="1"/>
  <c r="L12" i="1"/>
  <c r="L13" i="1" a="1"/>
  <c r="L13" i="1"/>
  <c r="L14" i="1" a="1"/>
  <c r="L14" i="1"/>
  <c r="L15" i="1" a="1"/>
  <c r="L15" i="1"/>
  <c r="L16" i="1" a="1"/>
  <c r="L16" i="1"/>
  <c r="L17" i="1" a="1"/>
  <c r="L17" i="1"/>
  <c r="L18" i="1" a="1"/>
  <c r="L18" i="1"/>
  <c r="L19" i="1" a="1"/>
  <c r="L19" i="1"/>
  <c r="L20" i="1" a="1"/>
  <c r="L20" i="1"/>
  <c r="L21" i="1" a="1"/>
  <c r="L21" i="1"/>
  <c r="L22" i="1" a="1"/>
  <c r="L22" i="1"/>
  <c r="L23" i="1" a="1"/>
  <c r="L23" i="1"/>
  <c r="L24" i="1" a="1"/>
  <c r="L24" i="1"/>
  <c r="L25" i="1" a="1"/>
  <c r="L25" i="1"/>
  <c r="L26" i="1" a="1"/>
  <c r="L26" i="1"/>
  <c r="L27" i="1" a="1"/>
  <c r="L27" i="1"/>
  <c r="L28" i="1" a="1"/>
  <c r="L28" i="1"/>
  <c r="L29" i="1" a="1"/>
  <c r="L29" i="1"/>
  <c r="L30" i="1" a="1"/>
  <c r="L30" i="1"/>
  <c r="L31" i="1" a="1"/>
  <c r="L31" i="1"/>
  <c r="L32" i="1" a="1"/>
  <c r="L32" i="1"/>
  <c r="L33" i="1" a="1"/>
  <c r="L33" i="1"/>
  <c r="L34" i="1" a="1"/>
  <c r="L34" i="1"/>
  <c r="L35" i="1" a="1"/>
  <c r="L35" i="1"/>
  <c r="L36" i="1" a="1"/>
  <c r="L36" i="1"/>
  <c r="L37" i="1" a="1"/>
  <c r="L37" i="1"/>
  <c r="L38" i="1" a="1"/>
  <c r="L38" i="1"/>
  <c r="L39" i="1" a="1"/>
  <c r="L39" i="1"/>
  <c r="L40" i="1" a="1"/>
  <c r="L40" i="1"/>
  <c r="L41" i="1" a="1"/>
  <c r="L41" i="1"/>
  <c r="L42" i="1" a="1"/>
  <c r="L42" i="1"/>
  <c r="L43" i="1" a="1"/>
  <c r="L43" i="1"/>
  <c r="L44" i="1" a="1"/>
  <c r="L44" i="1"/>
  <c r="L45" i="1" a="1"/>
  <c r="L45" i="1"/>
  <c r="L46" i="1" a="1"/>
  <c r="L46" i="1"/>
  <c r="L47" i="1" a="1"/>
  <c r="L47" i="1"/>
  <c r="L48" i="1" a="1"/>
  <c r="L48" i="1"/>
  <c r="L49" i="1" a="1"/>
  <c r="L49" i="1"/>
  <c r="L50" i="1" a="1"/>
  <c r="L50" i="1"/>
  <c r="L51" i="1" a="1"/>
  <c r="L51" i="1"/>
  <c r="L52" i="1" a="1"/>
  <c r="L52" i="1"/>
  <c r="L53" i="1" a="1"/>
  <c r="L53" i="1"/>
  <c r="L54" i="1" a="1"/>
  <c r="L54" i="1"/>
  <c r="L55" i="1" a="1"/>
  <c r="L55" i="1"/>
  <c r="L56" i="1" a="1"/>
  <c r="L56" i="1"/>
  <c r="L57" i="1" a="1"/>
  <c r="L57" i="1"/>
  <c r="L58" i="1" a="1"/>
  <c r="L58" i="1"/>
  <c r="L59" i="1" a="1"/>
  <c r="L59" i="1"/>
  <c r="L60" i="1" a="1"/>
  <c r="L60" i="1"/>
  <c r="L61" i="1" a="1"/>
  <c r="L61" i="1"/>
  <c r="L62" i="1" a="1"/>
  <c r="L62" i="1"/>
  <c r="L63" i="1" a="1"/>
  <c r="L63" i="1"/>
  <c r="L64" i="1" a="1"/>
  <c r="L64" i="1"/>
  <c r="L65" i="1" a="1"/>
  <c r="L65" i="1"/>
  <c r="L66" i="1" a="1"/>
  <c r="L66" i="1"/>
  <c r="L67" i="1" a="1"/>
  <c r="L67" i="1"/>
  <c r="L68" i="1" a="1"/>
  <c r="L68" i="1"/>
  <c r="L69" i="1" a="1"/>
  <c r="L69" i="1"/>
  <c r="L70" i="1" a="1"/>
  <c r="L70" i="1"/>
  <c r="L71" i="1" a="1"/>
  <c r="L71" i="1"/>
  <c r="L72" i="1" a="1"/>
  <c r="L72" i="1"/>
  <c r="L73" i="1" a="1"/>
  <c r="L73" i="1"/>
  <c r="L74" i="1" a="1"/>
  <c r="L74" i="1"/>
  <c r="L75" i="1" a="1"/>
  <c r="L75" i="1"/>
  <c r="L76" i="1" a="1"/>
  <c r="L76" i="1"/>
  <c r="L77" i="1" a="1"/>
  <c r="L77" i="1"/>
  <c r="L78" i="1" a="1"/>
  <c r="L78" i="1"/>
  <c r="L79" i="1" a="1"/>
  <c r="L79" i="1"/>
  <c r="L80" i="1" a="1"/>
  <c r="L80" i="1"/>
  <c r="L81" i="1" a="1"/>
  <c r="L81" i="1"/>
  <c r="L82" i="1" a="1"/>
  <c r="L82" i="1"/>
  <c r="L83" i="1" a="1"/>
  <c r="L83" i="1"/>
  <c r="L84" i="1" a="1"/>
  <c r="L84" i="1"/>
  <c r="L85" i="1" a="1"/>
  <c r="L85" i="1"/>
  <c r="L86" i="1" a="1"/>
  <c r="L86" i="1"/>
  <c r="L87" i="1" a="1"/>
  <c r="L87" i="1"/>
  <c r="L88" i="1" a="1"/>
  <c r="L88" i="1"/>
  <c r="L89" i="1" a="1"/>
  <c r="L89" i="1"/>
  <c r="L90" i="1" a="1"/>
  <c r="L90" i="1"/>
  <c r="L91" i="1" a="1"/>
  <c r="L91" i="1"/>
  <c r="L92" i="1" a="1"/>
  <c r="L92" i="1"/>
  <c r="L93" i="1" a="1"/>
  <c r="L93" i="1"/>
  <c r="L94" i="1" a="1"/>
  <c r="L94" i="1"/>
  <c r="L95" i="1" a="1"/>
  <c r="L95" i="1"/>
  <c r="L96" i="1" a="1"/>
  <c r="L96" i="1"/>
  <c r="L97" i="1" a="1"/>
  <c r="L97" i="1"/>
  <c r="L98" i="1" a="1"/>
  <c r="L98" i="1"/>
  <c r="L99" i="1" a="1"/>
  <c r="L99" i="1"/>
  <c r="L100" i="1" a="1"/>
  <c r="L100" i="1"/>
  <c r="L101" i="1" a="1"/>
  <c r="L101" i="1"/>
  <c r="L102" i="1" a="1"/>
  <c r="L102" i="1"/>
  <c r="L103" i="1" a="1"/>
  <c r="L103" i="1"/>
  <c r="L104" i="1" a="1"/>
  <c r="L104" i="1"/>
  <c r="L105" i="1" a="1"/>
  <c r="L105" i="1"/>
  <c r="L106" i="1" a="1"/>
  <c r="L106" i="1"/>
  <c r="L107" i="1" a="1"/>
  <c r="L107" i="1"/>
  <c r="L108" i="1" a="1"/>
  <c r="L108" i="1"/>
  <c r="L109" i="1" a="1"/>
  <c r="L109" i="1"/>
  <c r="L110" i="1" a="1"/>
  <c r="L110" i="1"/>
  <c r="L111" i="1" a="1"/>
  <c r="L111" i="1"/>
  <c r="L112" i="1" a="1"/>
  <c r="L112" i="1"/>
  <c r="L113" i="1" a="1"/>
  <c r="L113" i="1"/>
  <c r="L114" i="1" a="1"/>
  <c r="L114" i="1"/>
  <c r="L115" i="1" a="1"/>
  <c r="L115" i="1"/>
  <c r="L116" i="1" a="1"/>
  <c r="L116" i="1"/>
  <c r="L117" i="1" a="1"/>
  <c r="L117" i="1"/>
  <c r="L118" i="1" a="1"/>
  <c r="L118" i="1"/>
  <c r="L119" i="1" a="1"/>
  <c r="L119" i="1"/>
  <c r="L120" i="1" a="1"/>
  <c r="L120" i="1"/>
  <c r="L121" i="1" a="1"/>
  <c r="L121" i="1"/>
  <c r="L122" i="1" a="1"/>
  <c r="L122" i="1"/>
  <c r="L123" i="1" a="1"/>
  <c r="L123" i="1"/>
  <c r="L124" i="1" a="1"/>
  <c r="L124" i="1"/>
  <c r="L125" i="1" a="1"/>
  <c r="L125" i="1"/>
  <c r="L126" i="1" a="1"/>
  <c r="L126" i="1"/>
  <c r="L127" i="1" a="1"/>
  <c r="L127" i="1"/>
  <c r="L128" i="1" a="1"/>
  <c r="L128" i="1"/>
  <c r="L129" i="1" a="1"/>
  <c r="L129" i="1"/>
  <c r="L130" i="1" a="1"/>
  <c r="L130" i="1"/>
  <c r="L131" i="1" a="1"/>
  <c r="L131" i="1"/>
  <c r="L132" i="1" a="1"/>
  <c r="L132" i="1"/>
  <c r="L133" i="1" a="1"/>
  <c r="L133" i="1"/>
  <c r="L134" i="1" a="1"/>
  <c r="L134" i="1"/>
  <c r="L135" i="1" a="1"/>
  <c r="L135" i="1"/>
  <c r="L136" i="1" a="1"/>
  <c r="L136" i="1"/>
  <c r="L137" i="1" a="1"/>
  <c r="L137" i="1"/>
  <c r="L138" i="1" a="1"/>
  <c r="L138" i="1"/>
  <c r="L139" i="1" a="1"/>
  <c r="L139" i="1"/>
  <c r="L140" i="1" a="1"/>
  <c r="L140" i="1"/>
  <c r="L141" i="1" a="1"/>
  <c r="L141" i="1"/>
  <c r="L142" i="1" a="1"/>
  <c r="L142" i="1"/>
  <c r="L143" i="1" a="1"/>
  <c r="L143" i="1"/>
  <c r="L144" i="1" a="1"/>
  <c r="L144" i="1"/>
  <c r="L145" i="1" a="1"/>
  <c r="L145" i="1"/>
  <c r="L146" i="1" a="1"/>
  <c r="L146" i="1"/>
  <c r="L147" i="1" a="1"/>
  <c r="L147" i="1"/>
  <c r="L148" i="1" a="1"/>
  <c r="L148" i="1"/>
  <c r="L149" i="1" a="1"/>
  <c r="L149" i="1"/>
  <c r="L150" i="1" a="1"/>
  <c r="L150" i="1"/>
  <c r="L151" i="1" a="1"/>
  <c r="L151" i="1"/>
  <c r="L152" i="1" a="1"/>
  <c r="L152" i="1"/>
  <c r="L153" i="1" a="1"/>
  <c r="L153" i="1"/>
  <c r="L154" i="1" a="1"/>
  <c r="L154" i="1"/>
  <c r="L155" i="1" a="1"/>
  <c r="L155" i="1"/>
  <c r="L156" i="1" a="1"/>
  <c r="L156" i="1"/>
  <c r="L157" i="1" a="1"/>
  <c r="L157" i="1"/>
  <c r="L158" i="1" a="1"/>
  <c r="L158" i="1"/>
  <c r="L159" i="1" a="1"/>
  <c r="L159" i="1"/>
  <c r="L160" i="1" a="1"/>
  <c r="L160" i="1"/>
  <c r="L161" i="1" a="1"/>
  <c r="L161" i="1"/>
  <c r="L162" i="1" a="1"/>
  <c r="L162" i="1"/>
  <c r="L163" i="1" a="1"/>
  <c r="L163" i="1"/>
  <c r="L164" i="1" a="1"/>
  <c r="L164" i="1"/>
  <c r="L165" i="1" a="1"/>
  <c r="L165" i="1"/>
  <c r="L166" i="1" a="1"/>
  <c r="L166" i="1"/>
  <c r="L167" i="1" a="1"/>
  <c r="L167" i="1"/>
  <c r="L168" i="1" a="1"/>
  <c r="L168" i="1"/>
  <c r="L169" i="1" a="1"/>
  <c r="L169" i="1"/>
  <c r="L170" i="1" a="1"/>
  <c r="L170" i="1"/>
  <c r="L171" i="1" a="1"/>
  <c r="L171" i="1"/>
  <c r="L172" i="1" a="1"/>
  <c r="L172" i="1"/>
  <c r="L173" i="1" a="1"/>
  <c r="L173" i="1"/>
  <c r="L174" i="1" a="1"/>
  <c r="L174" i="1"/>
  <c r="L175" i="1" a="1"/>
  <c r="L175" i="1"/>
  <c r="L176" i="1" a="1"/>
  <c r="L176" i="1"/>
  <c r="L177" i="1" a="1"/>
  <c r="L177" i="1"/>
  <c r="L178" i="1" a="1"/>
  <c r="L178" i="1"/>
  <c r="L179" i="1" a="1"/>
  <c r="L179" i="1"/>
  <c r="L180" i="1" a="1"/>
  <c r="L180" i="1"/>
  <c r="L181" i="1" a="1"/>
  <c r="L181" i="1"/>
  <c r="L182" i="1" a="1"/>
  <c r="L182" i="1"/>
  <c r="L183" i="1" a="1"/>
  <c r="L183" i="1"/>
  <c r="L184" i="1" a="1"/>
  <c r="L184" i="1"/>
  <c r="L185" i="1" a="1"/>
  <c r="L185" i="1"/>
  <c r="L186" i="1" a="1"/>
  <c r="L186" i="1"/>
  <c r="L187" i="1" a="1"/>
  <c r="L187" i="1"/>
  <c r="L188" i="1" a="1"/>
  <c r="L188" i="1"/>
  <c r="L189" i="1" a="1"/>
  <c r="L189" i="1"/>
  <c r="L190" i="1" a="1"/>
  <c r="L190" i="1"/>
  <c r="L191" i="1" a="1"/>
  <c r="L191" i="1"/>
  <c r="L192" i="1" a="1"/>
  <c r="L192" i="1"/>
  <c r="L193" i="1" a="1"/>
  <c r="L193" i="1"/>
  <c r="L194" i="1" a="1"/>
  <c r="L194" i="1"/>
  <c r="L195" i="1" a="1"/>
  <c r="L195" i="1"/>
  <c r="L196" i="1" a="1"/>
  <c r="L196" i="1"/>
  <c r="L197" i="1" a="1"/>
  <c r="L197" i="1"/>
  <c r="L198" i="1" a="1"/>
  <c r="L198" i="1"/>
  <c r="L199" i="1" a="1"/>
  <c r="L199" i="1"/>
  <c r="L200" i="1" a="1"/>
  <c r="L200" i="1"/>
  <c r="L201" i="1" a="1"/>
  <c r="L201" i="1"/>
  <c r="L202" i="1" a="1"/>
  <c r="L202" i="1"/>
  <c r="L203" i="1" a="1"/>
  <c r="L203" i="1"/>
  <c r="L204" i="1" a="1"/>
  <c r="L204" i="1"/>
  <c r="L205" i="1" a="1"/>
  <c r="L205" i="1"/>
  <c r="L206" i="1" a="1"/>
  <c r="L206" i="1"/>
  <c r="L207" i="1" a="1"/>
  <c r="L207" i="1"/>
  <c r="L208" i="1" a="1"/>
  <c r="L208" i="1"/>
  <c r="L209" i="1" a="1"/>
  <c r="L209" i="1"/>
  <c r="L210" i="1" a="1"/>
  <c r="L210" i="1"/>
  <c r="L211" i="1" a="1"/>
  <c r="L211" i="1"/>
  <c r="L212" i="1" a="1"/>
  <c r="L212" i="1"/>
  <c r="L213" i="1" a="1"/>
  <c r="L213" i="1"/>
  <c r="L214" i="1" a="1"/>
  <c r="L214" i="1"/>
  <c r="L215" i="1" a="1"/>
  <c r="L215" i="1"/>
  <c r="L216" i="1" a="1"/>
  <c r="L216" i="1"/>
  <c r="L217" i="1" a="1"/>
  <c r="L217" i="1"/>
  <c r="L218" i="1" a="1"/>
  <c r="L218" i="1"/>
  <c r="L219" i="1" a="1"/>
  <c r="L219" i="1"/>
  <c r="L220" i="1" a="1"/>
  <c r="L220" i="1"/>
  <c r="L221" i="1" a="1"/>
  <c r="L221" i="1"/>
  <c r="L222" i="1" a="1"/>
  <c r="L222" i="1"/>
  <c r="L223" i="1" a="1"/>
  <c r="L223" i="1"/>
  <c r="L224" i="1" a="1"/>
  <c r="L224" i="1"/>
  <c r="L225" i="1" a="1"/>
  <c r="L225" i="1"/>
  <c r="L226" i="1" a="1"/>
  <c r="L226" i="1"/>
  <c r="L227" i="1" a="1"/>
  <c r="L227" i="1"/>
  <c r="L228" i="1" a="1"/>
  <c r="L228" i="1"/>
  <c r="L229" i="1" a="1"/>
  <c r="L229" i="1"/>
  <c r="L230" i="1" a="1"/>
  <c r="L230" i="1"/>
  <c r="L231" i="1" a="1"/>
  <c r="L231" i="1"/>
  <c r="L232" i="1" a="1"/>
  <c r="L232" i="1"/>
  <c r="L233" i="1" a="1"/>
  <c r="L233" i="1"/>
  <c r="L234" i="1" a="1"/>
  <c r="L234" i="1"/>
  <c r="L235" i="1" a="1"/>
  <c r="L235" i="1"/>
  <c r="L236" i="1" a="1"/>
  <c r="L236" i="1"/>
  <c r="L237" i="1" a="1"/>
  <c r="L237" i="1"/>
  <c r="L238" i="1" a="1"/>
  <c r="L238" i="1"/>
  <c r="L239" i="1" a="1"/>
  <c r="L239" i="1"/>
  <c r="L240" i="1" a="1"/>
  <c r="L240" i="1"/>
  <c r="L241" i="1" a="1"/>
  <c r="L241" i="1"/>
  <c r="L242" i="1" a="1"/>
  <c r="L242" i="1"/>
  <c r="L243" i="1" a="1"/>
  <c r="L243" i="1"/>
  <c r="L244" i="1" a="1"/>
  <c r="L244" i="1"/>
  <c r="L245" i="1" a="1"/>
  <c r="L245" i="1"/>
  <c r="L246" i="1" a="1"/>
  <c r="L246" i="1"/>
  <c r="L247" i="1" a="1"/>
  <c r="L247" i="1"/>
  <c r="L248" i="1" a="1"/>
  <c r="L248" i="1"/>
  <c r="L249" i="1" a="1"/>
  <c r="L249" i="1"/>
  <c r="L250" i="1" a="1"/>
  <c r="L250" i="1"/>
  <c r="L251" i="1" a="1"/>
  <c r="L251" i="1"/>
  <c r="L252" i="1" a="1"/>
  <c r="L252" i="1"/>
  <c r="L253" i="1" a="1"/>
  <c r="L253" i="1"/>
  <c r="L254" i="1" a="1"/>
  <c r="L254" i="1"/>
  <c r="L255" i="1" a="1"/>
  <c r="L255" i="1"/>
  <c r="L256" i="1" a="1"/>
  <c r="L256" i="1"/>
  <c r="L257" i="1" a="1"/>
  <c r="L257" i="1"/>
  <c r="L258" i="1" a="1"/>
  <c r="L258" i="1"/>
  <c r="L259" i="1" a="1"/>
  <c r="L259" i="1"/>
  <c r="L260" i="1" a="1"/>
  <c r="L260" i="1"/>
  <c r="L261" i="1" a="1"/>
  <c r="L261" i="1"/>
  <c r="L262" i="1" a="1"/>
  <c r="L262" i="1"/>
  <c r="L263" i="1" a="1"/>
  <c r="L263" i="1"/>
  <c r="L264" i="1" a="1"/>
  <c r="L264" i="1"/>
  <c r="L265" i="1" a="1"/>
  <c r="L265" i="1"/>
  <c r="L266" i="1" a="1"/>
  <c r="L266" i="1"/>
  <c r="L267" i="1" a="1"/>
  <c r="L267" i="1"/>
  <c r="L268" i="1" a="1"/>
  <c r="L268" i="1"/>
  <c r="L269" i="1" a="1"/>
  <c r="L269" i="1"/>
  <c r="L270" i="1" a="1"/>
  <c r="L270" i="1"/>
  <c r="L271" i="1" a="1"/>
  <c r="L271" i="1"/>
  <c r="L272" i="1" a="1"/>
  <c r="L272" i="1"/>
  <c r="L273" i="1" a="1"/>
  <c r="L273" i="1"/>
  <c r="L274" i="1" a="1"/>
  <c r="L274" i="1"/>
  <c r="L275" i="1" a="1"/>
  <c r="L275" i="1"/>
  <c r="L276" i="1" a="1"/>
  <c r="L276" i="1"/>
  <c r="L277" i="1" a="1"/>
  <c r="L277" i="1"/>
  <c r="L278" i="1" a="1"/>
  <c r="L278" i="1"/>
  <c r="L279" i="1" a="1"/>
  <c r="L279" i="1"/>
  <c r="L280" i="1" a="1"/>
  <c r="L280" i="1"/>
  <c r="L281" i="1" a="1"/>
  <c r="L281" i="1"/>
  <c r="L282" i="1" a="1"/>
  <c r="L282" i="1"/>
  <c r="L283" i="1" a="1"/>
  <c r="L283" i="1"/>
  <c r="L284" i="1" a="1"/>
  <c r="L284" i="1"/>
  <c r="L285" i="1" a="1"/>
  <c r="L285" i="1"/>
  <c r="L286" i="1" a="1"/>
  <c r="L286" i="1"/>
  <c r="L287" i="1" a="1"/>
  <c r="L287" i="1"/>
  <c r="L288" i="1" a="1"/>
  <c r="L288" i="1"/>
  <c r="L289" i="1" a="1"/>
  <c r="L289" i="1"/>
  <c r="L290" i="1" a="1"/>
  <c r="L290" i="1"/>
  <c r="L291" i="1" a="1"/>
  <c r="L291" i="1"/>
  <c r="L292" i="1" a="1"/>
  <c r="L292" i="1"/>
  <c r="L293" i="1" a="1"/>
  <c r="L293" i="1"/>
  <c r="L294" i="1" a="1"/>
  <c r="L294" i="1"/>
  <c r="L295" i="1" a="1"/>
  <c r="L295" i="1"/>
  <c r="L296" i="1" a="1"/>
  <c r="L296" i="1"/>
  <c r="L297" i="1" a="1"/>
  <c r="L297" i="1"/>
  <c r="L298" i="1" a="1"/>
  <c r="L298" i="1"/>
  <c r="L299" i="1" a="1"/>
  <c r="L299" i="1"/>
  <c r="L300" i="1" a="1"/>
  <c r="L300" i="1"/>
  <c r="L301" i="1" a="1"/>
  <c r="L301" i="1"/>
  <c r="L302" i="1" a="1"/>
  <c r="L302" i="1"/>
  <c r="L303" i="1" a="1"/>
  <c r="L303" i="1"/>
  <c r="L304" i="1" a="1"/>
  <c r="L304" i="1"/>
  <c r="L305" i="1" a="1"/>
  <c r="L305" i="1"/>
  <c r="L306" i="1" a="1"/>
  <c r="L306" i="1"/>
  <c r="L307" i="1" a="1"/>
  <c r="L307" i="1"/>
  <c r="L308" i="1" a="1"/>
  <c r="L308" i="1"/>
  <c r="L309" i="1" a="1"/>
  <c r="L309" i="1"/>
  <c r="L310" i="1" a="1"/>
  <c r="L310" i="1"/>
  <c r="L311" i="1" a="1"/>
  <c r="L311" i="1"/>
  <c r="L312" i="1" a="1"/>
  <c r="L312" i="1"/>
  <c r="L313" i="1" a="1"/>
  <c r="L313" i="1"/>
  <c r="L314" i="1" a="1"/>
  <c r="L314" i="1"/>
  <c r="L315" i="1" a="1"/>
  <c r="L315" i="1"/>
  <c r="L316" i="1" a="1"/>
  <c r="L316" i="1"/>
  <c r="L317" i="1" a="1"/>
  <c r="L317" i="1"/>
  <c r="L318" i="1" a="1"/>
  <c r="L318" i="1"/>
  <c r="L319" i="1" a="1"/>
  <c r="L319" i="1"/>
  <c r="L320" i="1" a="1"/>
  <c r="L320" i="1"/>
  <c r="L321" i="1" a="1"/>
  <c r="L321" i="1"/>
  <c r="L322" i="1" a="1"/>
  <c r="L322" i="1"/>
  <c r="L323" i="1" a="1"/>
  <c r="L323" i="1"/>
  <c r="L324" i="1" a="1"/>
  <c r="L324" i="1"/>
  <c r="L325" i="1" a="1"/>
  <c r="L325" i="1"/>
  <c r="L326" i="1" a="1"/>
  <c r="L326" i="1"/>
  <c r="L327" i="1" a="1"/>
  <c r="L327" i="1"/>
  <c r="L328" i="1" a="1"/>
  <c r="L328" i="1"/>
  <c r="L329" i="1" a="1"/>
  <c r="L329" i="1"/>
  <c r="L330" i="1" a="1"/>
  <c r="L330" i="1"/>
  <c r="L331" i="1" a="1"/>
  <c r="L331" i="1"/>
  <c r="L332" i="1" a="1"/>
  <c r="L332" i="1"/>
  <c r="L333" i="1" a="1"/>
  <c r="L333" i="1"/>
  <c r="L334" i="1" a="1"/>
  <c r="L334" i="1"/>
  <c r="L335" i="1" a="1"/>
  <c r="L335" i="1"/>
  <c r="L336" i="1" a="1"/>
  <c r="L336" i="1"/>
  <c r="L337" i="1" a="1"/>
  <c r="L337" i="1"/>
  <c r="L338" i="1" a="1"/>
  <c r="L338" i="1"/>
  <c r="L339" i="1" a="1"/>
  <c r="L339" i="1"/>
  <c r="L340" i="1" a="1"/>
  <c r="L340" i="1"/>
  <c r="L341" i="1" a="1"/>
  <c r="L341" i="1"/>
  <c r="L342" i="1" a="1"/>
  <c r="L342" i="1"/>
  <c r="L343" i="1" a="1"/>
  <c r="L343" i="1"/>
  <c r="L344" i="1" a="1"/>
  <c r="L344" i="1"/>
  <c r="L345" i="1" a="1"/>
  <c r="L345" i="1"/>
  <c r="L346" i="1" a="1"/>
  <c r="L346" i="1"/>
  <c r="L347" i="1" a="1"/>
  <c r="L347" i="1"/>
  <c r="L348" i="1" a="1"/>
  <c r="L348" i="1"/>
  <c r="L349" i="1" a="1"/>
  <c r="L349" i="1"/>
  <c r="L350" i="1" a="1"/>
  <c r="L350" i="1"/>
  <c r="L351" i="1" a="1"/>
  <c r="L351" i="1"/>
  <c r="L352" i="1" a="1"/>
  <c r="L352" i="1"/>
  <c r="L353" i="1" a="1"/>
  <c r="L353" i="1"/>
  <c r="L354" i="1" a="1"/>
  <c r="L354" i="1"/>
  <c r="L355" i="1" a="1"/>
  <c r="L355" i="1"/>
  <c r="L356" i="1" a="1"/>
  <c r="L356" i="1"/>
  <c r="L357" i="1" a="1"/>
  <c r="L357" i="1"/>
  <c r="L358" i="1" a="1"/>
  <c r="L358" i="1"/>
  <c r="L359" i="1" a="1"/>
  <c r="L359" i="1"/>
  <c r="L360" i="1" a="1"/>
  <c r="L360" i="1"/>
  <c r="L361" i="1" a="1"/>
  <c r="L361" i="1"/>
  <c r="L362" i="1" a="1"/>
  <c r="L362" i="1"/>
  <c r="L363" i="1" a="1"/>
  <c r="L363" i="1"/>
  <c r="L364" i="1" a="1"/>
  <c r="L364" i="1"/>
  <c r="L365" i="1" a="1"/>
  <c r="L365" i="1"/>
  <c r="L366" i="1" a="1"/>
  <c r="L366" i="1"/>
  <c r="L367" i="1" a="1"/>
  <c r="L367" i="1"/>
  <c r="L368" i="1" a="1"/>
  <c r="L368" i="1"/>
  <c r="L369" i="1" a="1"/>
  <c r="L369" i="1"/>
  <c r="L370" i="1" a="1"/>
  <c r="L370" i="1"/>
  <c r="L371" i="1" a="1"/>
  <c r="L371" i="1"/>
  <c r="L372" i="1" a="1"/>
  <c r="L372" i="1"/>
  <c r="L373" i="1" a="1"/>
  <c r="L373" i="1"/>
  <c r="L374" i="1" a="1"/>
  <c r="L374" i="1"/>
  <c r="L375" i="1" a="1"/>
  <c r="L375" i="1"/>
  <c r="L376" i="1" a="1"/>
  <c r="L376" i="1"/>
  <c r="L377" i="1" a="1"/>
  <c r="L377" i="1"/>
  <c r="L378" i="1" a="1"/>
  <c r="L378" i="1"/>
  <c r="L379" i="1" a="1"/>
  <c r="L379" i="1"/>
  <c r="L380" i="1" a="1"/>
  <c r="L380" i="1"/>
  <c r="L381" i="1" a="1"/>
  <c r="L381" i="1"/>
  <c r="L382" i="1" a="1"/>
  <c r="L382" i="1"/>
  <c r="L383" i="1" a="1"/>
  <c r="L383" i="1"/>
  <c r="L384" i="1" a="1"/>
  <c r="L384" i="1"/>
  <c r="L385" i="1" a="1"/>
  <c r="L385" i="1"/>
  <c r="L386" i="1" a="1"/>
  <c r="L386" i="1"/>
  <c r="L387" i="1" a="1"/>
  <c r="L387" i="1"/>
  <c r="L388" i="1" a="1"/>
  <c r="L388" i="1"/>
  <c r="L389" i="1" a="1"/>
  <c r="L389" i="1"/>
  <c r="L390" i="1" a="1"/>
  <c r="L390" i="1"/>
  <c r="L391" i="1" a="1"/>
  <c r="L391" i="1"/>
  <c r="L392" i="1" a="1"/>
  <c r="L392" i="1"/>
  <c r="L393" i="1" a="1"/>
  <c r="L393" i="1"/>
  <c r="L394" i="1" a="1"/>
  <c r="L394" i="1"/>
  <c r="L395" i="1" a="1"/>
  <c r="L395" i="1"/>
  <c r="L396" i="1" a="1"/>
  <c r="L396" i="1"/>
  <c r="L397" i="1" a="1"/>
  <c r="L397" i="1"/>
  <c r="L398" i="1" a="1"/>
  <c r="L398" i="1"/>
  <c r="L399" i="1" a="1"/>
  <c r="L399" i="1"/>
  <c r="L400" i="1" a="1"/>
  <c r="L400" i="1"/>
  <c r="L401" i="1" a="1"/>
  <c r="L401" i="1"/>
  <c r="L402" i="1" a="1"/>
  <c r="L402" i="1"/>
  <c r="L403" i="1" a="1"/>
  <c r="L403" i="1"/>
  <c r="L404" i="1" a="1"/>
  <c r="L404" i="1"/>
  <c r="L405" i="1" a="1"/>
  <c r="L405" i="1"/>
  <c r="L406" i="1" a="1"/>
  <c r="L406" i="1"/>
  <c r="L407" i="1" a="1"/>
  <c r="L407" i="1"/>
  <c r="L408" i="1" a="1"/>
  <c r="L408" i="1"/>
  <c r="L409" i="1" a="1"/>
  <c r="L409" i="1"/>
  <c r="L410" i="1" a="1"/>
  <c r="L410" i="1"/>
  <c r="L411" i="1" a="1"/>
  <c r="L411" i="1"/>
  <c r="L412" i="1" a="1"/>
  <c r="L412" i="1"/>
  <c r="L413" i="1" a="1"/>
  <c r="L413" i="1"/>
  <c r="L414" i="1" a="1"/>
  <c r="L414" i="1"/>
  <c r="L415" i="1" a="1"/>
  <c r="L415" i="1"/>
  <c r="L416" i="1" a="1"/>
  <c r="L416" i="1"/>
  <c r="L417" i="1" a="1"/>
  <c r="L417" i="1"/>
  <c r="L418" i="1" a="1"/>
  <c r="L418" i="1"/>
  <c r="L419" i="1" a="1"/>
  <c r="L419" i="1"/>
  <c r="L420" i="1" a="1"/>
  <c r="L420" i="1"/>
  <c r="L421" i="1" a="1"/>
  <c r="L421" i="1"/>
  <c r="L422" i="1" a="1"/>
  <c r="L422" i="1"/>
  <c r="L423" i="1" a="1"/>
  <c r="L423" i="1"/>
  <c r="L424" i="1" a="1"/>
  <c r="L424" i="1"/>
  <c r="L425" i="1" a="1"/>
  <c r="L425" i="1"/>
  <c r="L426" i="1" a="1"/>
  <c r="L426" i="1"/>
  <c r="L427" i="1" a="1"/>
  <c r="L427" i="1"/>
  <c r="L428" i="1" a="1"/>
  <c r="L428" i="1"/>
  <c r="L429" i="1" a="1"/>
  <c r="L429" i="1"/>
  <c r="L430" i="1" a="1"/>
  <c r="L430" i="1"/>
  <c r="L431" i="1" a="1"/>
  <c r="L431" i="1"/>
  <c r="L432" i="1" a="1"/>
  <c r="L432" i="1"/>
  <c r="L433" i="1" a="1"/>
  <c r="L433" i="1"/>
  <c r="L434" i="1" a="1"/>
  <c r="L434" i="1"/>
  <c r="L435" i="1" a="1"/>
  <c r="L435" i="1"/>
  <c r="L436" i="1" a="1"/>
  <c r="L436" i="1"/>
  <c r="L437" i="1" a="1"/>
  <c r="L437" i="1"/>
  <c r="L438" i="1" a="1"/>
  <c r="L438" i="1"/>
  <c r="L439" i="1" a="1"/>
  <c r="L439" i="1"/>
  <c r="L440" i="1" a="1"/>
  <c r="L440" i="1"/>
  <c r="L441" i="1" a="1"/>
  <c r="L441" i="1"/>
  <c r="L442" i="1" a="1"/>
  <c r="L442" i="1"/>
  <c r="L443" i="1" a="1"/>
  <c r="L443" i="1"/>
  <c r="L444" i="1" a="1"/>
  <c r="L444" i="1"/>
  <c r="L445" i="1" a="1"/>
  <c r="L445" i="1"/>
  <c r="L446" i="1" a="1"/>
  <c r="L446" i="1"/>
  <c r="L447" i="1" a="1"/>
  <c r="L447" i="1"/>
  <c r="L448" i="1" a="1"/>
  <c r="L448" i="1"/>
  <c r="L449" i="1" a="1"/>
  <c r="L449" i="1"/>
  <c r="L450" i="1" a="1"/>
  <c r="L450" i="1"/>
  <c r="L451" i="1" a="1"/>
  <c r="L451" i="1"/>
  <c r="L452" i="1" a="1"/>
  <c r="L452" i="1"/>
  <c r="L453" i="1" a="1"/>
  <c r="L453" i="1"/>
  <c r="L454" i="1" a="1"/>
  <c r="L454" i="1"/>
  <c r="L455" i="1" a="1"/>
  <c r="L455" i="1"/>
  <c r="L456" i="1" a="1"/>
  <c r="L456" i="1"/>
  <c r="L457" i="1" a="1"/>
  <c r="L457" i="1"/>
  <c r="L458" i="1" a="1"/>
  <c r="L458" i="1"/>
  <c r="L459" i="1" a="1"/>
  <c r="L459" i="1"/>
  <c r="L460" i="1" a="1"/>
  <c r="L460" i="1"/>
  <c r="L461" i="1" a="1"/>
  <c r="L461" i="1"/>
  <c r="L462" i="1" a="1"/>
  <c r="L462" i="1"/>
  <c r="L463" i="1" a="1"/>
  <c r="L463" i="1"/>
  <c r="L464" i="1" a="1"/>
  <c r="L464" i="1"/>
  <c r="L465" i="1" a="1"/>
  <c r="L465" i="1"/>
  <c r="L466" i="1" a="1"/>
  <c r="L466" i="1"/>
  <c r="L467" i="1" a="1"/>
  <c r="L467" i="1"/>
  <c r="L468" i="1" a="1"/>
  <c r="L468" i="1"/>
  <c r="L469" i="1" a="1"/>
  <c r="L469" i="1"/>
  <c r="L470" i="1" a="1"/>
  <c r="L470" i="1"/>
  <c r="L471" i="1" a="1"/>
  <c r="L471" i="1"/>
  <c r="L472" i="1" a="1"/>
  <c r="L472" i="1"/>
  <c r="L473" i="1" a="1"/>
  <c r="L473" i="1"/>
  <c r="L474" i="1" a="1"/>
  <c r="L474" i="1"/>
  <c r="L475" i="1" a="1"/>
  <c r="L475" i="1"/>
  <c r="L476" i="1" a="1"/>
  <c r="L476" i="1"/>
  <c r="L477" i="1" a="1"/>
  <c r="L477" i="1"/>
  <c r="L478" i="1" a="1"/>
  <c r="L478" i="1"/>
  <c r="L479" i="1" a="1"/>
  <c r="L479" i="1"/>
  <c r="L480" i="1" a="1"/>
  <c r="L480" i="1"/>
  <c r="L481" i="1" a="1"/>
  <c r="L481" i="1"/>
  <c r="L482" i="1" a="1"/>
  <c r="L482" i="1"/>
  <c r="L483" i="1" a="1"/>
  <c r="L483" i="1"/>
  <c r="L484" i="1" a="1"/>
  <c r="L484" i="1"/>
  <c r="L485" i="1" a="1"/>
  <c r="L485" i="1"/>
  <c r="L486" i="1" a="1"/>
  <c r="L486" i="1"/>
  <c r="L487" i="1" a="1"/>
  <c r="L487" i="1"/>
  <c r="L488" i="1" a="1"/>
  <c r="L488" i="1"/>
  <c r="L489" i="1" a="1"/>
  <c r="L489" i="1"/>
  <c r="L490" i="1" a="1"/>
  <c r="L490" i="1"/>
  <c r="L491" i="1" a="1"/>
  <c r="L491" i="1"/>
  <c r="L492" i="1" a="1"/>
  <c r="L492" i="1"/>
  <c r="L493" i="1" a="1"/>
  <c r="L493" i="1"/>
  <c r="L494" i="1" a="1"/>
  <c r="L494" i="1"/>
  <c r="L495" i="1" a="1"/>
  <c r="L495" i="1"/>
  <c r="L496" i="1" a="1"/>
  <c r="L496" i="1"/>
  <c r="L497" i="1" a="1"/>
  <c r="L497" i="1"/>
  <c r="L498" i="1" a="1"/>
  <c r="L498" i="1"/>
  <c r="L499" i="1" a="1"/>
  <c r="L499" i="1"/>
  <c r="L500" i="1" a="1"/>
  <c r="L500" i="1"/>
  <c r="L501" i="1" a="1"/>
  <c r="L501" i="1"/>
  <c r="L2" i="1" a="1"/>
  <c r="L2" i="1"/>
  <c r="C2" i="2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B92" i="2"/>
  <c r="B93" i="2"/>
  <c r="B94" i="2"/>
  <c r="B95" i="2"/>
  <c r="B96" i="2"/>
  <c r="B97" i="2"/>
  <c r="B98" i="2"/>
  <c r="B99" i="2"/>
  <c r="B100" i="2"/>
  <c r="B101" i="2"/>
  <c r="B102" i="2"/>
  <c r="B103" i="2"/>
  <c r="B104" i="2"/>
  <c r="B105" i="2"/>
  <c r="B106" i="2"/>
  <c r="B107" i="2"/>
  <c r="B108" i="2"/>
  <c r="B109" i="2"/>
  <c r="B110" i="2"/>
  <c r="B111" i="2"/>
  <c r="B112" i="2"/>
  <c r="B113" i="2"/>
  <c r="B114" i="2"/>
  <c r="B115" i="2"/>
  <c r="B116" i="2"/>
  <c r="B117" i="2"/>
  <c r="B118" i="2"/>
  <c r="B119" i="2"/>
  <c r="B120" i="2"/>
  <c r="B121" i="2"/>
  <c r="B122" i="2"/>
  <c r="B123" i="2"/>
  <c r="B124" i="2"/>
  <c r="B125" i="2"/>
  <c r="B126" i="2"/>
  <c r="B127" i="2"/>
  <c r="B128" i="2"/>
  <c r="B129" i="2"/>
  <c r="B130" i="2"/>
  <c r="B131" i="2"/>
  <c r="B132" i="2"/>
  <c r="B133" i="2"/>
  <c r="B134" i="2"/>
  <c r="B135" i="2"/>
  <c r="B136" i="2"/>
  <c r="B137" i="2"/>
  <c r="B138" i="2"/>
  <c r="B139" i="2"/>
  <c r="B140" i="2"/>
  <c r="B141" i="2"/>
  <c r="B142" i="2"/>
  <c r="B143" i="2"/>
  <c r="B144" i="2"/>
  <c r="B145" i="2"/>
  <c r="B146" i="2"/>
  <c r="B147" i="2"/>
  <c r="B148" i="2"/>
  <c r="B149" i="2"/>
  <c r="B150" i="2"/>
  <c r="B151" i="2"/>
  <c r="B152" i="2"/>
  <c r="B153" i="2"/>
  <c r="B154" i="2"/>
  <c r="B155" i="2"/>
  <c r="B156" i="2"/>
  <c r="B157" i="2"/>
  <c r="B158" i="2"/>
  <c r="B159" i="2"/>
  <c r="B160" i="2"/>
  <c r="B161" i="2"/>
  <c r="B162" i="2"/>
  <c r="B163" i="2"/>
  <c r="B164" i="2"/>
  <c r="B165" i="2"/>
  <c r="B166" i="2"/>
  <c r="B167" i="2"/>
  <c r="B168" i="2"/>
  <c r="B169" i="2"/>
  <c r="B170" i="2"/>
  <c r="B171" i="2"/>
  <c r="B172" i="2"/>
  <c r="B173" i="2"/>
  <c r="B174" i="2"/>
  <c r="B175" i="2"/>
  <c r="B176" i="2"/>
  <c r="B177" i="2"/>
  <c r="B178" i="2"/>
  <c r="B179" i="2"/>
  <c r="B180" i="2"/>
  <c r="B181" i="2"/>
  <c r="B182" i="2"/>
  <c r="B183" i="2"/>
  <c r="B184" i="2"/>
  <c r="B185" i="2"/>
  <c r="B186" i="2"/>
  <c r="B187" i="2"/>
  <c r="B188" i="2"/>
  <c r="B189" i="2"/>
  <c r="B190" i="2"/>
  <c r="B191" i="2"/>
  <c r="B192" i="2"/>
  <c r="B193" i="2"/>
  <c r="B194" i="2"/>
  <c r="B195" i="2"/>
  <c r="B196" i="2"/>
  <c r="B197" i="2"/>
  <c r="B198" i="2"/>
  <c r="B199" i="2"/>
  <c r="B200" i="2"/>
  <c r="B201" i="2"/>
  <c r="B202" i="2"/>
  <c r="B203" i="2"/>
  <c r="B204" i="2"/>
  <c r="B205" i="2"/>
  <c r="B206" i="2"/>
  <c r="B207" i="2"/>
  <c r="B208" i="2"/>
  <c r="B209" i="2"/>
  <c r="B210" i="2"/>
  <c r="B211" i="2"/>
  <c r="B212" i="2"/>
  <c r="B213" i="2"/>
  <c r="B214" i="2"/>
  <c r="B215" i="2"/>
  <c r="B216" i="2"/>
  <c r="B217" i="2"/>
  <c r="B218" i="2"/>
  <c r="B219" i="2"/>
  <c r="B220" i="2"/>
  <c r="B221" i="2"/>
  <c r="B222" i="2"/>
  <c r="B223" i="2"/>
  <c r="B224" i="2"/>
  <c r="B225" i="2"/>
  <c r="B226" i="2"/>
  <c r="B227" i="2"/>
  <c r="B228" i="2"/>
  <c r="B229" i="2"/>
  <c r="B230" i="2"/>
  <c r="B231" i="2"/>
  <c r="B232" i="2"/>
  <c r="B233" i="2"/>
  <c r="B234" i="2"/>
  <c r="B235" i="2"/>
  <c r="B236" i="2"/>
  <c r="B237" i="2"/>
  <c r="B238" i="2"/>
  <c r="B239" i="2"/>
  <c r="B240" i="2"/>
  <c r="B241" i="2"/>
  <c r="B242" i="2"/>
  <c r="B243" i="2"/>
  <c r="B244" i="2"/>
  <c r="B245" i="2"/>
  <c r="B246" i="2"/>
  <c r="B247" i="2"/>
  <c r="B248" i="2"/>
  <c r="B249" i="2"/>
  <c r="B250" i="2"/>
  <c r="B251" i="2"/>
  <c r="B252" i="2"/>
  <c r="B253" i="2"/>
  <c r="B254" i="2"/>
  <c r="B255" i="2"/>
  <c r="B256" i="2"/>
  <c r="B257" i="2"/>
  <c r="B258" i="2"/>
  <c r="B259" i="2"/>
  <c r="B260" i="2"/>
  <c r="B261" i="2"/>
  <c r="B262" i="2"/>
  <c r="B263" i="2"/>
  <c r="B264" i="2"/>
  <c r="B265" i="2"/>
  <c r="B266" i="2"/>
  <c r="B267" i="2"/>
  <c r="B268" i="2"/>
  <c r="B269" i="2"/>
  <c r="B270" i="2"/>
  <c r="B271" i="2"/>
  <c r="B272" i="2"/>
  <c r="B273" i="2"/>
  <c r="B274" i="2"/>
  <c r="B275" i="2"/>
  <c r="B276" i="2"/>
  <c r="B277" i="2"/>
  <c r="B278" i="2"/>
  <c r="B279" i="2"/>
  <c r="B280" i="2"/>
  <c r="B281" i="2"/>
  <c r="B282" i="2"/>
  <c r="B283" i="2"/>
  <c r="B284" i="2"/>
  <c r="B285" i="2"/>
  <c r="B286" i="2"/>
  <c r="B287" i="2"/>
  <c r="B288" i="2"/>
  <c r="B289" i="2"/>
  <c r="B290" i="2"/>
  <c r="B291" i="2"/>
  <c r="B292" i="2"/>
  <c r="B293" i="2"/>
  <c r="B294" i="2"/>
  <c r="B295" i="2"/>
  <c r="B296" i="2"/>
  <c r="B297" i="2"/>
  <c r="B298" i="2"/>
  <c r="B299" i="2"/>
  <c r="B300" i="2"/>
  <c r="B301" i="2"/>
  <c r="B302" i="2"/>
  <c r="B303" i="2"/>
  <c r="B304" i="2"/>
  <c r="B305" i="2"/>
  <c r="B306" i="2"/>
  <c r="B307" i="2"/>
  <c r="B308" i="2"/>
  <c r="B309" i="2"/>
  <c r="B310" i="2"/>
  <c r="B311" i="2"/>
  <c r="B312" i="2"/>
  <c r="B313" i="2"/>
  <c r="B314" i="2"/>
  <c r="B315" i="2"/>
  <c r="B316" i="2"/>
  <c r="B317" i="2"/>
  <c r="B318" i="2"/>
  <c r="B319" i="2"/>
  <c r="B320" i="2"/>
  <c r="B321" i="2"/>
  <c r="B322" i="2"/>
  <c r="B323" i="2"/>
  <c r="B324" i="2"/>
  <c r="B325" i="2"/>
  <c r="B326" i="2"/>
  <c r="B327" i="2"/>
  <c r="B328" i="2"/>
  <c r="B329" i="2"/>
  <c r="B330" i="2"/>
  <c r="B331" i="2"/>
  <c r="B332" i="2"/>
  <c r="B333" i="2"/>
  <c r="B334" i="2"/>
  <c r="B335" i="2"/>
  <c r="B336" i="2"/>
  <c r="B337" i="2"/>
  <c r="B338" i="2"/>
  <c r="B339" i="2"/>
  <c r="B340" i="2"/>
  <c r="B341" i="2"/>
  <c r="B342" i="2"/>
  <c r="B343" i="2"/>
  <c r="B344" i="2"/>
  <c r="B345" i="2"/>
  <c r="B346" i="2"/>
  <c r="B347" i="2"/>
  <c r="B348" i="2"/>
  <c r="B349" i="2"/>
  <c r="B350" i="2"/>
  <c r="B351" i="2"/>
  <c r="B352" i="2"/>
  <c r="B353" i="2"/>
  <c r="B354" i="2"/>
  <c r="B355" i="2"/>
  <c r="B356" i="2"/>
  <c r="B357" i="2"/>
  <c r="B358" i="2"/>
  <c r="B359" i="2"/>
  <c r="B360" i="2"/>
  <c r="B361" i="2"/>
  <c r="B362" i="2"/>
  <c r="B363" i="2"/>
  <c r="B364" i="2"/>
  <c r="B365" i="2"/>
  <c r="B366" i="2"/>
  <c r="B367" i="2"/>
  <c r="B368" i="2"/>
  <c r="B369" i="2"/>
  <c r="B370" i="2"/>
  <c r="B371" i="2"/>
  <c r="B372" i="2"/>
  <c r="B373" i="2"/>
  <c r="B374" i="2"/>
  <c r="B375" i="2"/>
  <c r="B376" i="2"/>
  <c r="B377" i="2"/>
  <c r="B378" i="2"/>
  <c r="B379" i="2"/>
  <c r="B380" i="2"/>
  <c r="B381" i="2"/>
  <c r="B382" i="2"/>
  <c r="B383" i="2"/>
  <c r="B384" i="2"/>
  <c r="B385" i="2"/>
  <c r="B386" i="2"/>
  <c r="B387" i="2"/>
  <c r="B388" i="2"/>
  <c r="B389" i="2"/>
  <c r="B390" i="2"/>
  <c r="B391" i="2"/>
  <c r="B392" i="2"/>
  <c r="B393" i="2"/>
  <c r="B394" i="2"/>
  <c r="B395" i="2"/>
  <c r="B396" i="2"/>
  <c r="B397" i="2"/>
  <c r="B398" i="2"/>
  <c r="B399" i="2"/>
  <c r="B400" i="2"/>
  <c r="B401" i="2"/>
  <c r="B402" i="2"/>
  <c r="B403" i="2"/>
  <c r="B404" i="2"/>
  <c r="B405" i="2"/>
  <c r="B406" i="2"/>
  <c r="B407" i="2"/>
  <c r="B408" i="2"/>
  <c r="B409" i="2"/>
  <c r="B410" i="2"/>
  <c r="B411" i="2"/>
  <c r="B412" i="2"/>
  <c r="B413" i="2"/>
  <c r="B414" i="2"/>
  <c r="B415" i="2"/>
  <c r="B416" i="2"/>
  <c r="B417" i="2"/>
  <c r="B418" i="2"/>
  <c r="B419" i="2"/>
  <c r="B420" i="2"/>
  <c r="B421" i="2"/>
  <c r="B422" i="2"/>
  <c r="B423" i="2"/>
  <c r="B424" i="2"/>
  <c r="B425" i="2"/>
  <c r="B426" i="2"/>
  <c r="B427" i="2"/>
  <c r="B428" i="2"/>
  <c r="B429" i="2"/>
  <c r="B430" i="2"/>
  <c r="B431" i="2"/>
  <c r="B432" i="2"/>
  <c r="B433" i="2"/>
  <c r="B434" i="2"/>
  <c r="B435" i="2"/>
  <c r="B436" i="2"/>
  <c r="B437" i="2"/>
  <c r="B438" i="2"/>
  <c r="B439" i="2"/>
  <c r="B440" i="2"/>
  <c r="B441" i="2"/>
  <c r="B442" i="2"/>
  <c r="B443" i="2"/>
  <c r="B444" i="2"/>
  <c r="B445" i="2"/>
  <c r="B446" i="2"/>
  <c r="B447" i="2"/>
  <c r="B448" i="2"/>
  <c r="B449" i="2"/>
  <c r="B450" i="2"/>
  <c r="B451" i="2"/>
  <c r="B452" i="2"/>
  <c r="B453" i="2"/>
  <c r="B454" i="2"/>
  <c r="B455" i="2"/>
  <c r="B456" i="2"/>
  <c r="B457" i="2"/>
  <c r="B458" i="2"/>
  <c r="B459" i="2"/>
  <c r="B460" i="2"/>
  <c r="B461" i="2"/>
  <c r="B462" i="2"/>
  <c r="B463" i="2"/>
  <c r="B464" i="2"/>
  <c r="B465" i="2"/>
  <c r="B466" i="2"/>
  <c r="B467" i="2"/>
  <c r="B468" i="2"/>
  <c r="B469" i="2"/>
  <c r="B470" i="2"/>
  <c r="B471" i="2"/>
  <c r="B472" i="2"/>
  <c r="B473" i="2"/>
  <c r="B474" i="2"/>
  <c r="B475" i="2"/>
  <c r="B476" i="2"/>
  <c r="B477" i="2"/>
  <c r="B478" i="2"/>
  <c r="B479" i="2"/>
  <c r="B480" i="2"/>
  <c r="B481" i="2"/>
  <c r="B482" i="2"/>
  <c r="B483" i="2"/>
  <c r="B484" i="2"/>
  <c r="B485" i="2"/>
  <c r="B486" i="2"/>
  <c r="B487" i="2"/>
  <c r="B488" i="2"/>
  <c r="B489" i="2"/>
  <c r="B490" i="2"/>
  <c r="B491" i="2"/>
  <c r="B492" i="2"/>
  <c r="B493" i="2"/>
  <c r="B494" i="2"/>
  <c r="B495" i="2"/>
  <c r="B496" i="2"/>
  <c r="B497" i="2"/>
  <c r="B498" i="2"/>
  <c r="B499" i="2"/>
  <c r="B500" i="2"/>
  <c r="B501" i="2"/>
  <c r="B2" i="2"/>
  <c r="A3" i="2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66" i="2"/>
  <c r="A67" i="2"/>
  <c r="A68" i="2"/>
  <c r="A69" i="2"/>
  <c r="A70" i="2"/>
  <c r="A71" i="2"/>
  <c r="A72" i="2"/>
  <c r="A73" i="2"/>
  <c r="A74" i="2"/>
  <c r="A75" i="2"/>
  <c r="A76" i="2"/>
  <c r="A77" i="2"/>
  <c r="A78" i="2"/>
  <c r="A79" i="2"/>
  <c r="A80" i="2"/>
  <c r="A81" i="2"/>
  <c r="A82" i="2"/>
  <c r="A83" i="2"/>
  <c r="A84" i="2"/>
  <c r="A85" i="2"/>
  <c r="A86" i="2"/>
  <c r="A87" i="2"/>
  <c r="A88" i="2"/>
  <c r="A89" i="2"/>
  <c r="A90" i="2"/>
  <c r="A91" i="2"/>
  <c r="A92" i="2"/>
  <c r="A93" i="2"/>
  <c r="A94" i="2"/>
  <c r="A95" i="2"/>
  <c r="A96" i="2"/>
  <c r="A97" i="2"/>
  <c r="A98" i="2"/>
  <c r="A99" i="2"/>
  <c r="A100" i="2"/>
  <c r="A101" i="2"/>
  <c r="A102" i="2"/>
  <c r="A103" i="2"/>
  <c r="A104" i="2"/>
  <c r="A105" i="2"/>
  <c r="A106" i="2"/>
  <c r="A107" i="2"/>
  <c r="A108" i="2"/>
  <c r="A109" i="2"/>
  <c r="A110" i="2"/>
  <c r="A111" i="2"/>
  <c r="A112" i="2"/>
  <c r="A113" i="2"/>
  <c r="A114" i="2"/>
  <c r="A115" i="2"/>
  <c r="A116" i="2"/>
  <c r="A117" i="2"/>
  <c r="A118" i="2"/>
  <c r="A119" i="2"/>
  <c r="A120" i="2"/>
  <c r="A121" i="2"/>
  <c r="A122" i="2"/>
  <c r="A123" i="2"/>
  <c r="A124" i="2"/>
  <c r="A125" i="2"/>
  <c r="A126" i="2"/>
  <c r="A127" i="2"/>
  <c r="A128" i="2"/>
  <c r="A129" i="2"/>
  <c r="A130" i="2"/>
  <c r="A131" i="2"/>
  <c r="A132" i="2"/>
  <c r="A133" i="2"/>
  <c r="A134" i="2"/>
  <c r="A135" i="2"/>
  <c r="A136" i="2"/>
  <c r="A137" i="2"/>
  <c r="A138" i="2"/>
  <c r="A139" i="2"/>
  <c r="A140" i="2"/>
  <c r="A141" i="2"/>
  <c r="A142" i="2"/>
  <c r="A143" i="2"/>
  <c r="A144" i="2"/>
  <c r="A145" i="2"/>
  <c r="A146" i="2"/>
  <c r="A147" i="2"/>
  <c r="A148" i="2"/>
  <c r="A149" i="2"/>
  <c r="A150" i="2"/>
  <c r="A151" i="2"/>
  <c r="A152" i="2"/>
  <c r="A153" i="2"/>
  <c r="A154" i="2"/>
  <c r="A155" i="2"/>
  <c r="A156" i="2"/>
  <c r="A157" i="2"/>
  <c r="A158" i="2"/>
  <c r="A159" i="2"/>
  <c r="A160" i="2"/>
  <c r="A161" i="2"/>
  <c r="A162" i="2"/>
  <c r="A163" i="2"/>
  <c r="A164" i="2"/>
  <c r="A165" i="2"/>
  <c r="A166" i="2"/>
  <c r="A167" i="2"/>
  <c r="A168" i="2"/>
  <c r="A169" i="2"/>
  <c r="A170" i="2"/>
  <c r="A171" i="2"/>
  <c r="A172" i="2"/>
  <c r="A173" i="2"/>
  <c r="A174" i="2"/>
  <c r="A175" i="2"/>
  <c r="A176" i="2"/>
  <c r="A177" i="2"/>
  <c r="A178" i="2"/>
  <c r="A179" i="2"/>
  <c r="A180" i="2"/>
  <c r="A181" i="2"/>
  <c r="A182" i="2"/>
  <c r="A183" i="2"/>
  <c r="A184" i="2"/>
  <c r="A185" i="2"/>
  <c r="A186" i="2"/>
  <c r="A187" i="2"/>
  <c r="A188" i="2"/>
  <c r="A189" i="2"/>
  <c r="A190" i="2"/>
  <c r="A191" i="2"/>
  <c r="A192" i="2"/>
  <c r="A193" i="2"/>
  <c r="A194" i="2"/>
  <c r="A195" i="2"/>
  <c r="A196" i="2"/>
  <c r="A197" i="2"/>
  <c r="A198" i="2"/>
  <c r="A199" i="2"/>
  <c r="A200" i="2"/>
  <c r="A201" i="2"/>
  <c r="A202" i="2"/>
  <c r="A203" i="2"/>
  <c r="A204" i="2"/>
  <c r="A205" i="2"/>
  <c r="A206" i="2"/>
  <c r="A207" i="2"/>
  <c r="A208" i="2"/>
  <c r="A209" i="2"/>
  <c r="A210" i="2"/>
  <c r="A211" i="2"/>
  <c r="A212" i="2"/>
  <c r="A213" i="2"/>
  <c r="A214" i="2"/>
  <c r="A215" i="2"/>
  <c r="A216" i="2"/>
  <c r="A217" i="2"/>
  <c r="A218" i="2"/>
  <c r="A219" i="2"/>
  <c r="A220" i="2"/>
  <c r="A221" i="2"/>
  <c r="A222" i="2"/>
  <c r="A223" i="2"/>
  <c r="A224" i="2"/>
  <c r="A225" i="2"/>
  <c r="A226" i="2"/>
  <c r="A227" i="2"/>
  <c r="A228" i="2"/>
  <c r="A229" i="2"/>
  <c r="A230" i="2"/>
  <c r="A231" i="2"/>
  <c r="A232" i="2"/>
  <c r="A233" i="2"/>
  <c r="A234" i="2"/>
  <c r="A235" i="2"/>
  <c r="A236" i="2"/>
  <c r="A237" i="2"/>
  <c r="A238" i="2"/>
  <c r="A239" i="2"/>
  <c r="A240" i="2"/>
  <c r="A241" i="2"/>
  <c r="A242" i="2"/>
  <c r="A243" i="2"/>
  <c r="A244" i="2"/>
  <c r="A245" i="2"/>
  <c r="A246" i="2"/>
  <c r="A247" i="2"/>
  <c r="A248" i="2"/>
  <c r="A249" i="2"/>
  <c r="A250" i="2"/>
  <c r="A251" i="2"/>
  <c r="A252" i="2"/>
  <c r="A253" i="2"/>
  <c r="A254" i="2"/>
  <c r="A255" i="2"/>
  <c r="A256" i="2"/>
  <c r="A257" i="2"/>
  <c r="A258" i="2"/>
  <c r="A259" i="2"/>
  <c r="A260" i="2"/>
  <c r="A261" i="2"/>
  <c r="A262" i="2"/>
  <c r="A263" i="2"/>
  <c r="A264" i="2"/>
  <c r="A265" i="2"/>
  <c r="A266" i="2"/>
  <c r="A267" i="2"/>
  <c r="A268" i="2"/>
  <c r="A269" i="2"/>
  <c r="A270" i="2"/>
  <c r="A271" i="2"/>
  <c r="A272" i="2"/>
  <c r="A273" i="2"/>
  <c r="A274" i="2"/>
  <c r="A275" i="2"/>
  <c r="A276" i="2"/>
  <c r="A277" i="2"/>
  <c r="A278" i="2"/>
  <c r="A279" i="2"/>
  <c r="A280" i="2"/>
  <c r="A281" i="2"/>
  <c r="A282" i="2"/>
  <c r="A283" i="2"/>
  <c r="A284" i="2"/>
  <c r="A285" i="2"/>
  <c r="A286" i="2"/>
  <c r="A287" i="2"/>
  <c r="A288" i="2"/>
  <c r="A289" i="2"/>
  <c r="A290" i="2"/>
  <c r="A291" i="2"/>
  <c r="A292" i="2"/>
  <c r="A293" i="2"/>
  <c r="A294" i="2"/>
  <c r="A295" i="2"/>
  <c r="A296" i="2"/>
  <c r="A297" i="2"/>
  <c r="A298" i="2"/>
  <c r="A299" i="2"/>
  <c r="A300" i="2"/>
  <c r="A301" i="2"/>
  <c r="A302" i="2"/>
  <c r="A303" i="2"/>
  <c r="A304" i="2"/>
  <c r="A305" i="2"/>
  <c r="A306" i="2"/>
  <c r="A307" i="2"/>
  <c r="A308" i="2"/>
  <c r="A309" i="2"/>
  <c r="A310" i="2"/>
  <c r="A311" i="2"/>
  <c r="A312" i="2"/>
  <c r="A313" i="2"/>
  <c r="A314" i="2"/>
  <c r="A315" i="2"/>
  <c r="A316" i="2"/>
  <c r="A317" i="2"/>
  <c r="A318" i="2"/>
  <c r="A319" i="2"/>
  <c r="A320" i="2"/>
  <c r="A321" i="2"/>
  <c r="A322" i="2"/>
  <c r="A323" i="2"/>
  <c r="A324" i="2"/>
  <c r="A325" i="2"/>
  <c r="A326" i="2"/>
  <c r="A327" i="2"/>
  <c r="A328" i="2"/>
  <c r="A329" i="2"/>
  <c r="A330" i="2"/>
  <c r="A331" i="2"/>
  <c r="A332" i="2"/>
  <c r="A333" i="2"/>
  <c r="A334" i="2"/>
  <c r="A335" i="2"/>
  <c r="A336" i="2"/>
  <c r="A337" i="2"/>
  <c r="A338" i="2"/>
  <c r="A339" i="2"/>
  <c r="A340" i="2"/>
  <c r="A341" i="2"/>
  <c r="A342" i="2"/>
  <c r="A343" i="2"/>
  <c r="A344" i="2"/>
  <c r="A345" i="2"/>
  <c r="A346" i="2"/>
  <c r="A347" i="2"/>
  <c r="A348" i="2"/>
  <c r="A349" i="2"/>
  <c r="A350" i="2"/>
  <c r="A351" i="2"/>
  <c r="A352" i="2"/>
  <c r="A353" i="2"/>
  <c r="A354" i="2"/>
  <c r="A355" i="2"/>
  <c r="A356" i="2"/>
  <c r="A357" i="2"/>
  <c r="A358" i="2"/>
  <c r="A359" i="2"/>
  <c r="A360" i="2"/>
  <c r="A361" i="2"/>
  <c r="A362" i="2"/>
  <c r="A363" i="2"/>
  <c r="A364" i="2"/>
  <c r="A365" i="2"/>
  <c r="A366" i="2"/>
  <c r="A367" i="2"/>
  <c r="A368" i="2"/>
  <c r="A369" i="2"/>
  <c r="A370" i="2"/>
  <c r="A371" i="2"/>
  <c r="A372" i="2"/>
  <c r="A373" i="2"/>
  <c r="A374" i="2"/>
  <c r="A375" i="2"/>
  <c r="A376" i="2"/>
  <c r="A377" i="2"/>
  <c r="A378" i="2"/>
  <c r="A379" i="2"/>
  <c r="A380" i="2"/>
  <c r="A381" i="2"/>
  <c r="A382" i="2"/>
  <c r="A383" i="2"/>
  <c r="A384" i="2"/>
  <c r="A385" i="2"/>
  <c r="A386" i="2"/>
  <c r="A387" i="2"/>
  <c r="A388" i="2"/>
  <c r="A389" i="2"/>
  <c r="A390" i="2"/>
  <c r="A391" i="2"/>
  <c r="A392" i="2"/>
  <c r="A393" i="2"/>
  <c r="A394" i="2"/>
  <c r="A395" i="2"/>
  <c r="A396" i="2"/>
  <c r="A397" i="2"/>
  <c r="A398" i="2"/>
  <c r="A399" i="2"/>
  <c r="A400" i="2"/>
  <c r="A401" i="2"/>
  <c r="A402" i="2"/>
  <c r="A403" i="2"/>
  <c r="A404" i="2"/>
  <c r="A405" i="2"/>
  <c r="A406" i="2"/>
  <c r="A407" i="2"/>
  <c r="A408" i="2"/>
  <c r="A409" i="2"/>
  <c r="A410" i="2"/>
  <c r="A411" i="2"/>
  <c r="A412" i="2"/>
  <c r="A413" i="2"/>
  <c r="A414" i="2"/>
  <c r="A415" i="2"/>
  <c r="A416" i="2"/>
  <c r="A417" i="2"/>
  <c r="A418" i="2"/>
  <c r="A419" i="2"/>
  <c r="A420" i="2"/>
  <c r="A421" i="2"/>
  <c r="A422" i="2"/>
  <c r="A423" i="2"/>
  <c r="A424" i="2"/>
  <c r="A425" i="2"/>
  <c r="A426" i="2"/>
  <c r="A427" i="2"/>
  <c r="A428" i="2"/>
  <c r="A429" i="2"/>
  <c r="A430" i="2"/>
  <c r="A431" i="2"/>
  <c r="A432" i="2"/>
  <c r="A433" i="2"/>
  <c r="A434" i="2"/>
  <c r="A435" i="2"/>
  <c r="A436" i="2"/>
  <c r="A437" i="2"/>
  <c r="A438" i="2"/>
  <c r="A439" i="2"/>
  <c r="A440" i="2"/>
  <c r="A441" i="2"/>
  <c r="A442" i="2"/>
  <c r="A443" i="2"/>
  <c r="A444" i="2"/>
  <c r="A445" i="2"/>
  <c r="A446" i="2"/>
  <c r="A447" i="2"/>
  <c r="A448" i="2"/>
  <c r="A449" i="2"/>
  <c r="A450" i="2"/>
  <c r="A451" i="2"/>
  <c r="A452" i="2"/>
  <c r="A453" i="2"/>
  <c r="A454" i="2"/>
  <c r="A455" i="2"/>
  <c r="A456" i="2"/>
  <c r="A457" i="2"/>
  <c r="A458" i="2"/>
  <c r="A459" i="2"/>
  <c r="A460" i="2"/>
  <c r="A461" i="2"/>
  <c r="A462" i="2"/>
  <c r="A463" i="2"/>
  <c r="A464" i="2"/>
  <c r="A465" i="2"/>
  <c r="A466" i="2"/>
  <c r="A467" i="2"/>
  <c r="A468" i="2"/>
  <c r="A469" i="2"/>
  <c r="A470" i="2"/>
  <c r="A471" i="2"/>
  <c r="A472" i="2"/>
  <c r="A473" i="2"/>
  <c r="A474" i="2"/>
  <c r="A475" i="2"/>
  <c r="A476" i="2"/>
  <c r="A477" i="2"/>
  <c r="A478" i="2"/>
  <c r="A479" i="2"/>
  <c r="A480" i="2"/>
  <c r="A481" i="2"/>
  <c r="A482" i="2"/>
  <c r="A483" i="2"/>
  <c r="A484" i="2"/>
  <c r="A485" i="2"/>
  <c r="A486" i="2"/>
  <c r="A487" i="2"/>
  <c r="A488" i="2"/>
  <c r="A489" i="2"/>
  <c r="A490" i="2"/>
  <c r="A491" i="2"/>
  <c r="A492" i="2"/>
  <c r="A493" i="2"/>
  <c r="A494" i="2"/>
  <c r="A495" i="2"/>
  <c r="A496" i="2"/>
  <c r="A497" i="2"/>
  <c r="A498" i="2"/>
  <c r="A499" i="2"/>
  <c r="A500" i="2"/>
  <c r="A501" i="2"/>
  <c r="A2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<sst xmlns="http://schemas.openxmlformats.org/spreadsheetml/2006/main" count="4096" uniqueCount="107">
  <si>
    <t>Visitor_ID</t>
  </si>
  <si>
    <t>Visitor_Name</t>
  </si>
  <si>
    <t>Park_Name</t>
  </si>
  <si>
    <t>Activity_Type</t>
  </si>
  <si>
    <t>Date</t>
  </si>
  <si>
    <t>Duration (mins)</t>
  </si>
  <si>
    <t>Weather</t>
  </si>
  <si>
    <t>Rating</t>
  </si>
  <si>
    <t>Entry_Fee (₹)</t>
  </si>
  <si>
    <t>Comments</t>
  </si>
  <si>
    <t>Sundarbans</t>
  </si>
  <si>
    <t>Bandhavgarh</t>
  </si>
  <si>
    <t>Periyar</t>
  </si>
  <si>
    <t>Gir</t>
  </si>
  <si>
    <t>Jim Corbett</t>
  </si>
  <si>
    <t>Ranthambore</t>
  </si>
  <si>
    <t>Kanha</t>
  </si>
  <si>
    <t>Kaziranga</t>
  </si>
  <si>
    <t>Photography</t>
  </si>
  <si>
    <t>Safari</t>
  </si>
  <si>
    <t>Hiking</t>
  </si>
  <si>
    <t>Bird Watching</t>
  </si>
  <si>
    <t>Camping</t>
  </si>
  <si>
    <t>Boating</t>
  </si>
  <si>
    <t>Windy</t>
  </si>
  <si>
    <t>Sunny</t>
  </si>
  <si>
    <t>Rainy</t>
  </si>
  <si>
    <t>Cloudy</t>
  </si>
  <si>
    <t>Too crowded</t>
  </si>
  <si>
    <t>Excellent wildlife view</t>
  </si>
  <si>
    <t>Good guide support</t>
  </si>
  <si>
    <t>No comments</t>
  </si>
  <si>
    <t>Very enjoyable</t>
  </si>
  <si>
    <t>Saw rare species</t>
  </si>
  <si>
    <t>Could be cleaner</t>
  </si>
  <si>
    <t>Amazing experience</t>
  </si>
  <si>
    <t>Average service</t>
  </si>
  <si>
    <t>Peaceful environment</t>
  </si>
  <si>
    <t>performance</t>
  </si>
  <si>
    <t>date and time now</t>
  </si>
  <si>
    <t>today</t>
  </si>
  <si>
    <t>total duration</t>
  </si>
  <si>
    <t>min</t>
  </si>
  <si>
    <t>max</t>
  </si>
  <si>
    <t>average</t>
  </si>
  <si>
    <t>comments</t>
  </si>
  <si>
    <t>activity duration</t>
  </si>
  <si>
    <t>left</t>
  </si>
  <si>
    <t>upper</t>
  </si>
  <si>
    <t>length</t>
  </si>
  <si>
    <t>vlookup</t>
  </si>
  <si>
    <t>Column1</t>
  </si>
  <si>
    <t>hlookup</t>
  </si>
  <si>
    <t xml:space="preserve"> visitor</t>
  </si>
  <si>
    <t>indexand match</t>
  </si>
  <si>
    <t>decimal</t>
  </si>
  <si>
    <t>first name</t>
  </si>
  <si>
    <t>last name</t>
  </si>
  <si>
    <t>rahul</t>
  </si>
  <si>
    <t>priya</t>
  </si>
  <si>
    <t>aditi</t>
  </si>
  <si>
    <t>arjun</t>
  </si>
  <si>
    <t>divya</t>
  </si>
  <si>
    <t>kiran</t>
  </si>
  <si>
    <t>anita</t>
  </si>
  <si>
    <t>sneha</t>
  </si>
  <si>
    <t>vikram</t>
  </si>
  <si>
    <t>sanjay</t>
  </si>
  <si>
    <t>mehta</t>
  </si>
  <si>
    <t>patel</t>
  </si>
  <si>
    <t>nair</t>
  </si>
  <si>
    <t>das</t>
  </si>
  <si>
    <t>verma</t>
  </si>
  <si>
    <t>menon</t>
  </si>
  <si>
    <t>iyer</t>
  </si>
  <si>
    <t>singh</t>
  </si>
  <si>
    <t>sharma</t>
  </si>
  <si>
    <t>reddy</t>
  </si>
  <si>
    <t>Column2</t>
  </si>
  <si>
    <t>Rahul</t>
  </si>
  <si>
    <t>Mehta</t>
  </si>
  <si>
    <t>Patel</t>
  </si>
  <si>
    <t>Priya</t>
  </si>
  <si>
    <t>Nair</t>
  </si>
  <si>
    <t>Kiran</t>
  </si>
  <si>
    <t>Das</t>
  </si>
  <si>
    <t>Vikram</t>
  </si>
  <si>
    <t>Verma</t>
  </si>
  <si>
    <t>Sanjay</t>
  </si>
  <si>
    <t>Menon</t>
  </si>
  <si>
    <t>Aditi</t>
  </si>
  <si>
    <t>Arjun</t>
  </si>
  <si>
    <t>Divya</t>
  </si>
  <si>
    <t>Iyer</t>
  </si>
  <si>
    <t>Anita</t>
  </si>
  <si>
    <t>Singh</t>
  </si>
  <si>
    <t>Sharma</t>
  </si>
  <si>
    <t>Sneha</t>
  </si>
  <si>
    <t>Reddy</t>
  </si>
  <si>
    <t>Row Labels</t>
  </si>
  <si>
    <t>(blank)</t>
  </si>
  <si>
    <t>Grand Total</t>
  </si>
  <si>
    <t>Count of Activity_Type</t>
  </si>
  <si>
    <t>Count of Visitor_Name</t>
  </si>
  <si>
    <t>Average of Rating</t>
  </si>
  <si>
    <t>Sum of Entry_Fee (₹)</t>
  </si>
  <si>
    <t>Average of Duration (mins)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</si>
</sst>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22" fontId="0" fillId="0" borderId="0" xfId="0" applyNumberFormat="1"/>
    <xf numFmtId="14" fontId="0" fillId="0" borderId="0" xfId="0" applyNumberFormat="1"/>
    <xf numFmtId="0" fontId="0" fillId="0" borderId="0" xfId="0" applyAlignment="1">
      <alignment horizontal="left" vertical="top"/>
    </xf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18"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yyyy\-mm\-dd\ hh:mm:ss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[National_Park_Activities lab4.xlsx]Sheet9!PivotTable8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effectLst/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>
            <a:gsLst>
              <a:gs pos="0">
                <a:schemeClr val="accent6"/>
              </a:gs>
              <a:gs pos="100000">
                <a:schemeClr val="accent6">
                  <a:lumMod val="84000"/>
                </a:schemeClr>
              </a:gs>
            </a:gsLst>
            <a:lin ang="5400000" scaled="1"/>
          </a:gradFill>
          <a:ln>
            <a:noFill/>
          </a:ln>
          <a:effectLst>
            <a:outerShdw blurRad="76200" dir="18900000" sy="23000" kx="-1200000" algn="bl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Sheet9!$B$3</c:f>
              <c:strCache>
                <c:ptCount val="1"/>
                <c:pt idx="0">
                  <c:v>Total</c:v>
                </c:pt>
              </c:strCache>
            </c:strRef>
          </c:tx>
          <c:spPr>
            <a:gradFill>
              <a:gsLst>
                <a:gs pos="0">
                  <a:schemeClr val="accent6"/>
                </a:gs>
                <a:gs pos="100000">
                  <a:schemeClr val="accent6">
                    <a:lumMod val="84000"/>
                  </a:schemeClr>
                </a:gs>
              </a:gsLst>
              <a:lin ang="5400000" scaled="1"/>
            </a:gradFill>
            <a:ln>
              <a:noFill/>
            </a:ln>
            <a:effectLst>
              <a:outerShdw blurRad="76200" dir="18900000" sy="23000" kx="-1200000" algn="bl" rotWithShape="0">
                <a:prstClr val="black">
                  <a:alpha val="20000"/>
                </a:prst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Sheet9!$A$4:$A$13</c:f>
              <c:strCache>
                <c:ptCount val="9"/>
                <c:pt idx="0">
                  <c:v>Bandhavgarh</c:v>
                </c:pt>
                <c:pt idx="1">
                  <c:v>Gir</c:v>
                </c:pt>
                <c:pt idx="2">
                  <c:v>Jim Corbett</c:v>
                </c:pt>
                <c:pt idx="3">
                  <c:v>Kanha</c:v>
                </c:pt>
                <c:pt idx="4">
                  <c:v>Kaziranga</c:v>
                </c:pt>
                <c:pt idx="5">
                  <c:v>Periyar</c:v>
                </c:pt>
                <c:pt idx="6">
                  <c:v>Ranthambore</c:v>
                </c:pt>
                <c:pt idx="7">
                  <c:v>Sundarbans</c:v>
                </c:pt>
                <c:pt idx="8">
                  <c:v>(blank)</c:v>
                </c:pt>
              </c:strCache>
            </c:strRef>
          </c:cat>
          <c:val>
            <c:numRef>
              <c:f>Sheet9!$B$4:$B$13</c:f>
              <c:numCache>
                <c:formatCode>General</c:formatCode>
                <c:ptCount val="9"/>
                <c:pt idx="0">
                  <c:v>66</c:v>
                </c:pt>
                <c:pt idx="1">
                  <c:v>71</c:v>
                </c:pt>
                <c:pt idx="2">
                  <c:v>67</c:v>
                </c:pt>
                <c:pt idx="3">
                  <c:v>61</c:v>
                </c:pt>
                <c:pt idx="4">
                  <c:v>52</c:v>
                </c:pt>
                <c:pt idx="5">
                  <c:v>59</c:v>
                </c:pt>
                <c:pt idx="6">
                  <c:v>57</c:v>
                </c:pt>
                <c:pt idx="7">
                  <c:v>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35A-4895-88C5-CDE5D4A736CB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41"/>
        <c:axId val="372177295"/>
        <c:axId val="372168175"/>
      </c:barChart>
      <c:catAx>
        <c:axId val="3721772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2168175"/>
        <c:crosses val="autoZero"/>
        <c:auto val="1"/>
        <c:lblAlgn val="ctr"/>
        <c:lblOffset val="100"/>
        <c:noMultiLvlLbl val="0"/>
      </c:catAx>
      <c:valAx>
        <c:axId val="372168175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3721772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68000">
          <a:schemeClr val="lt1">
            <a:lumMod val="85000"/>
          </a:schemeClr>
        </a:gs>
        <a:gs pos="100000">
          <a:schemeClr val="lt1"/>
        </a:gs>
      </a:gsLst>
      <a:lin ang="5400000" scaled="1"/>
      <a:tileRect/>
    </a:gra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>
      <a:effectLst/>
    </cs:defRPr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68000">
            <a:schemeClr val="lt1">
              <a:lumMod val="85000"/>
            </a:schemeClr>
          </a:gs>
          <a:gs pos="100000">
            <a:schemeClr val="lt1"/>
          </a:gs>
        </a:gsLst>
        <a:lin ang="5400000" scaled="1"/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spPr/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gradFill>
          <a:gsLst>
            <a:gs pos="0">
              <a:schemeClr val="phClr"/>
            </a:gs>
            <a:gs pos="100000">
              <a:schemeClr val="phClr">
                <a:lumMod val="84000"/>
              </a:schemeClr>
            </a:gs>
          </a:gsLst>
          <a:lin ang="5400000" scaled="1"/>
        </a:gra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kern="1200">
      <a:effectLst/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dk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38099</xdr:colOff>
      <xdr:row>1</xdr:row>
      <xdr:rowOff>147637</xdr:rowOff>
    </xdr:from>
    <xdr:to>
      <xdr:col>9</xdr:col>
      <xdr:colOff>428624</xdr:colOff>
      <xdr:row>13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229E56B-2154-4A72-EEF9-16F8286B3C9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" refreshedDate="45978.531665740738" createdVersion="8" refreshedVersion="8" minRefreshableVersion="3" recordCount="503" xr:uid="{901E416C-21A3-4E0F-8683-01505360AAB4}">
  <cacheSource type="worksheet">
    <worksheetSource ref="A1:W1048576" sheet="Activity_Data"/>
  </cacheSource>
  <cacheFields count="23">
    <cacheField name="Visitor_ID" numFmtId="0">
      <sharedItems containsString="0" containsBlank="1" containsNumber="1" containsInteger="1" minValue="1001" maxValue="1500"/>
    </cacheField>
    <cacheField name="Visitor_Name" numFmtId="0">
      <sharedItems containsBlank="1"/>
    </cacheField>
    <cacheField name="Column2" numFmtId="0">
      <sharedItems containsBlank="1"/>
    </cacheField>
    <cacheField name="Activity_Type" numFmtId="0">
      <sharedItems containsBlank="1" count="7">
        <s v="Photography"/>
        <s v="Safari"/>
        <s v="Hiking"/>
        <s v="Bird Watching"/>
        <s v="Camping"/>
        <s v="Boating"/>
        <m/>
      </sharedItems>
    </cacheField>
    <cacheField name="Date" numFmtId="164">
      <sharedItems containsNonDate="0" containsDate="1" containsString="0" containsBlank="1" minDate="2024-01-01T00:00:00" maxDate="2025-01-01T00:00:00"/>
    </cacheField>
    <cacheField name="Duration (mins)" numFmtId="0">
      <sharedItems containsString="0" containsBlank="1" containsNumber="1" containsInteger="1" minValue="20" maxValue="240"/>
    </cacheField>
    <cacheField name="Weather" numFmtId="0">
      <sharedItems containsBlank="1" count="5">
        <s v="Windy"/>
        <s v="Sunny"/>
        <s v="Rainy"/>
        <s v="Cloudy"/>
        <m/>
      </sharedItems>
    </cacheField>
    <cacheField name="Rating" numFmtId="0">
      <sharedItems containsString="0" containsBlank="1" containsNumber="1" minValue="2.5" maxValue="5"/>
    </cacheField>
    <cacheField name="Entry_Fee (₹)" numFmtId="0">
      <sharedItems containsString="0" containsBlank="1" containsNumber="1" containsInteger="1" minValue="101" maxValue="500"/>
    </cacheField>
    <cacheField name="Comments" numFmtId="0">
      <sharedItems containsBlank="1"/>
    </cacheField>
    <cacheField name="min" numFmtId="0">
      <sharedItems containsBlank="1" containsMixedTypes="1" containsNumber="1" minValue="3.746199999999996" maxValue="67411"/>
    </cacheField>
    <cacheField name="performance" numFmtId="0">
      <sharedItems containsBlank="1"/>
    </cacheField>
    <cacheField name="activity duration" numFmtId="0">
      <sharedItems containsBlank="1"/>
    </cacheField>
    <cacheField name="left" numFmtId="0">
      <sharedItems containsBlank="1"/>
    </cacheField>
    <cacheField name="upper" numFmtId="0">
      <sharedItems containsBlank="1"/>
    </cacheField>
    <cacheField name="length" numFmtId="0">
      <sharedItems containsString="0" containsBlank="1" containsNumber="1" containsInteger="1" minValue="0" maxValue="6"/>
    </cacheField>
    <cacheField name="vlookup" numFmtId="0">
      <sharedItems containsBlank="1" containsMixedTypes="1" containsNumber="1" containsInteger="1" minValue="160" maxValue="1021"/>
    </cacheField>
    <cacheField name="Column1" numFmtId="0">
      <sharedItems containsBlank="1" containsMixedTypes="1" containsNumber="1" minValue="2.6" maxValue="2.6"/>
    </cacheField>
    <cacheField name="decimal" numFmtId="0">
      <sharedItems containsString="0" containsBlank="1" containsNumber="1" containsInteger="1" minValue="0" maxValue="5"/>
    </cacheField>
    <cacheField name="last name" numFmtId="0">
      <sharedItems containsBlank="1"/>
    </cacheField>
    <cacheField name="first name" numFmtId="0">
      <sharedItems containsBlank="1"/>
    </cacheField>
    <cacheField name="Park_Name" numFmtId="0">
      <sharedItems containsBlank="1" count="9">
        <s v="Sundarbans"/>
        <s v="Bandhavgarh"/>
        <s v="Periyar"/>
        <s v="Gir"/>
        <s v="Jim Corbett"/>
        <s v="Ranthambore"/>
        <s v="Kanha"/>
        <s v="Kaziranga"/>
        <m/>
      </sharedItems>
    </cacheField>
    <cacheField name="Duration (mins)2" numFmtId="0">
      <sharedItems containsString="0" containsBlank="1" containsNumber="1" containsInteger="1" minValue="20" maxValue="24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3">
  <r>
    <n v="1001"/>
    <s v="Rahul"/>
    <s v="Mehta"/>
    <x v="0"/>
    <d v="2024-04-25T00:00:00"/>
    <n v="33"/>
    <x v="0"/>
    <n v="3.9"/>
    <n v="109"/>
    <s v="Too crowded"/>
    <n v="20"/>
    <s v="good"/>
    <s v="medium"/>
    <s v="Pho"/>
    <s v="MEHTA"/>
    <n v="5"/>
    <n v="1021"/>
    <s v="Anita"/>
    <n v="4"/>
    <s v="mehta"/>
    <s v="rahul"/>
    <x v="0"/>
    <n v="24"/>
  </r>
  <r>
    <n v="1002"/>
    <s v="Rahul"/>
    <s v="Patel"/>
    <x v="1"/>
    <d v="2024-05-30T00:00:00"/>
    <n v="171"/>
    <x v="1"/>
    <n v="4.5999999999999996"/>
    <n v="362"/>
    <s v="Excellent wildlife view"/>
    <s v="max"/>
    <s v="good"/>
    <s v="long"/>
    <s v="Saf"/>
    <s v="PATEL"/>
    <n v="5"/>
    <n v="1021"/>
    <n v="2.6"/>
    <n v="5"/>
    <s v="patel"/>
    <s v="rahul"/>
    <x v="1"/>
    <n v="32"/>
  </r>
  <r>
    <n v="1003"/>
    <s v="Priya"/>
    <s v="Nair"/>
    <x v="2"/>
    <d v="2024-04-06T00:00:00"/>
    <n v="197"/>
    <x v="0"/>
    <n v="4.5999999999999996"/>
    <n v="224"/>
    <s v="Good guide support"/>
    <n v="240"/>
    <s v="good"/>
    <s v="very long"/>
    <s v="Hik"/>
    <s v="NAIR"/>
    <n v="5"/>
    <m/>
    <m/>
    <n v="5"/>
    <s v="nair"/>
    <s v="priya"/>
    <x v="2"/>
    <n v="33"/>
  </r>
  <r>
    <n v="1004"/>
    <s v="Kiran"/>
    <s v="Das"/>
    <x v="2"/>
    <d v="2024-05-24T00:00:00"/>
    <n v="64"/>
    <x v="0"/>
    <n v="4.5999999999999996"/>
    <n v="270"/>
    <s v="No comments"/>
    <m/>
    <s v="good"/>
    <s v="medium"/>
    <s v="Hik"/>
    <s v="DAS"/>
    <n v="5"/>
    <m/>
    <m/>
    <n v="5"/>
    <s v="das"/>
    <s v="kiran"/>
    <x v="1"/>
    <n v="43"/>
  </r>
  <r>
    <n v="1005"/>
    <s v="Vikram"/>
    <s v="Verma"/>
    <x v="0"/>
    <d v="2024-03-26T00:00:00"/>
    <n v="221"/>
    <x v="1"/>
    <n v="4.2"/>
    <n v="232"/>
    <s v="Very enjoyable"/>
    <s v="total duration"/>
    <s v="good"/>
    <s v="very long"/>
    <s v="Pho"/>
    <s v="VERMA"/>
    <n v="6"/>
    <s v="hlookup"/>
    <m/>
    <n v="4"/>
    <s v="verma"/>
    <s v="vikram"/>
    <x v="3"/>
    <n v="43"/>
  </r>
  <r>
    <n v="1006"/>
    <s v="Sanjay"/>
    <s v="Patel"/>
    <x v="3"/>
    <d v="2024-12-28T00:00:00"/>
    <n v="85"/>
    <x v="2"/>
    <n v="4.0999999999999996"/>
    <n v="125"/>
    <s v="Very enjoyable"/>
    <n v="67411"/>
    <s v="good"/>
    <s v="medium"/>
    <s v="Bir"/>
    <s v="PATEL"/>
    <n v="6"/>
    <s v=" visitor"/>
    <s v="Hiking"/>
    <n v="4"/>
    <s v="patel"/>
    <s v="sanjay"/>
    <x v="2"/>
    <n v="44"/>
  </r>
  <r>
    <n v="1007"/>
    <s v="Priya"/>
    <s v="Menon"/>
    <x v="3"/>
    <d v="2024-04-12T00:00:00"/>
    <n v="181"/>
    <x v="0"/>
    <n v="4.3"/>
    <n v="212"/>
    <s v="Too crowded"/>
    <m/>
    <s v="good"/>
    <s v="very long"/>
    <s v="Bir"/>
    <s v="MENON"/>
    <n v="5"/>
    <m/>
    <m/>
    <n v="4"/>
    <s v="menon"/>
    <s v="priya"/>
    <x v="3"/>
    <n v="56"/>
  </r>
  <r>
    <n v="1008"/>
    <s v="Aditi"/>
    <s v="Patel"/>
    <x v="3"/>
    <d v="2024-02-07T00:00:00"/>
    <n v="160"/>
    <x v="1"/>
    <n v="3.8"/>
    <n v="249"/>
    <s v="Excellent wildlife view"/>
    <s v="average"/>
    <s v="good"/>
    <s v="long"/>
    <s v="Bir"/>
    <s v="PATEL"/>
    <n v="5"/>
    <s v="indexand match"/>
    <m/>
    <n v="4"/>
    <s v="patel"/>
    <s v="aditi"/>
    <x v="4"/>
    <n v="56"/>
  </r>
  <r>
    <n v="1009"/>
    <s v="Arjun"/>
    <s v="Das"/>
    <x v="0"/>
    <d v="2024-10-12T00:00:00"/>
    <n v="231"/>
    <x v="1"/>
    <n v="2.7"/>
    <n v="447"/>
    <s v="Good guide support"/>
    <n v="3.746199999999996"/>
    <s v="good"/>
    <s v="very long"/>
    <s v="Pho"/>
    <s v="DAS"/>
    <n v="5"/>
    <n v="160"/>
    <m/>
    <n v="3"/>
    <s v="das"/>
    <s v="arjun"/>
    <x v="5"/>
    <n v="59"/>
  </r>
  <r>
    <n v="1010"/>
    <s v="Divya"/>
    <s v="Mehta"/>
    <x v="1"/>
    <d v="2024-11-05T00:00:00"/>
    <n v="116"/>
    <x v="3"/>
    <n v="4.4000000000000004"/>
    <n v="402"/>
    <s v="Too crowded"/>
    <m/>
    <s v="good"/>
    <s v="long"/>
    <s v="Saf"/>
    <s v="MEHTA"/>
    <n v="5"/>
    <m/>
    <m/>
    <n v="4"/>
    <s v="mehta"/>
    <s v="divya"/>
    <x v="6"/>
    <n v="64"/>
  </r>
  <r>
    <n v="1011"/>
    <s v="Kiran"/>
    <s v="Iyer"/>
    <x v="4"/>
    <d v="2024-07-23T00:00:00"/>
    <n v="191"/>
    <x v="2"/>
    <n v="4.7"/>
    <n v="137"/>
    <s v="Excellent wildlife view"/>
    <s v="comments"/>
    <s v="good"/>
    <s v="very long"/>
    <s v="Cam"/>
    <s v="IYER"/>
    <n v="5"/>
    <m/>
    <m/>
    <n v="5"/>
    <s v="iyer"/>
    <s v="kiran"/>
    <x v="1"/>
    <n v="65"/>
  </r>
  <r>
    <n v="1012"/>
    <s v="Rahul"/>
    <s v="Verma"/>
    <x v="3"/>
    <d v="2024-12-22T00:00:00"/>
    <n v="223"/>
    <x v="3"/>
    <n v="3.6"/>
    <n v="496"/>
    <s v="Saw rare species"/>
    <n v="500"/>
    <s v="good"/>
    <s v="very long"/>
    <s v="Bir"/>
    <s v="VERMA"/>
    <n v="5"/>
    <m/>
    <m/>
    <n v="4"/>
    <s v="verma"/>
    <s v="rahul"/>
    <x v="1"/>
    <n v="73"/>
  </r>
  <r>
    <n v="1013"/>
    <s v="Arjun"/>
    <s v="Mehta"/>
    <x v="5"/>
    <d v="2024-07-18T00:00:00"/>
    <n v="199"/>
    <x v="2"/>
    <n v="3.3"/>
    <n v="229"/>
    <s v="Could be cleaner"/>
    <m/>
    <s v="good"/>
    <s v="very long"/>
    <s v="Boa"/>
    <s v="MEHTA"/>
    <n v="5"/>
    <m/>
    <m/>
    <n v="3"/>
    <s v="mehta"/>
    <s v="arjun"/>
    <x v="7"/>
    <n v="73"/>
  </r>
  <r>
    <n v="1014"/>
    <s v="Anita"/>
    <s v="Singh"/>
    <x v="5"/>
    <d v="2024-12-01T00:00:00"/>
    <n v="92"/>
    <x v="2"/>
    <n v="3.3"/>
    <n v="284"/>
    <s v="Very enjoyable"/>
    <m/>
    <s v="good"/>
    <s v="long"/>
    <s v="Boa"/>
    <s v="SINGH"/>
    <n v="5"/>
    <m/>
    <m/>
    <n v="3"/>
    <s v="singh"/>
    <s v="anita"/>
    <x v="2"/>
    <n v="78"/>
  </r>
  <r>
    <n v="1015"/>
    <s v="Aditi"/>
    <s v="Sharma"/>
    <x v="2"/>
    <d v="2024-07-14T00:00:00"/>
    <n v="198"/>
    <x v="2"/>
    <n v="2.7"/>
    <n v="311"/>
    <s v="Good guide support"/>
    <m/>
    <s v="good"/>
    <s v="very long"/>
    <s v="Hik"/>
    <s v="SHARMA"/>
    <n v="5"/>
    <m/>
    <m/>
    <n v="3"/>
    <s v="sharma"/>
    <s v="aditi"/>
    <x v="3"/>
    <n v="82"/>
  </r>
  <r>
    <n v="1016"/>
    <s v="Sneha"/>
    <s v="Mehta"/>
    <x v="5"/>
    <d v="2024-05-11T00:00:00"/>
    <n v="160"/>
    <x v="0"/>
    <n v="3.1"/>
    <n v="414"/>
    <s v="Very enjoyable"/>
    <m/>
    <s v="good"/>
    <s v="long"/>
    <s v="Boa"/>
    <s v="MEHTA"/>
    <n v="5"/>
    <m/>
    <m/>
    <n v="3"/>
    <s v="mehta"/>
    <s v="sneha"/>
    <x v="0"/>
    <n v="82"/>
  </r>
  <r>
    <n v="1017"/>
    <s v="Arjun"/>
    <s v="Iyer"/>
    <x v="1"/>
    <d v="2024-04-17T00:00:00"/>
    <n v="207"/>
    <x v="2"/>
    <n v="4.4000000000000004"/>
    <n v="419"/>
    <s v="Very enjoyable"/>
    <m/>
    <s v="good"/>
    <s v="very long"/>
    <s v="Saf"/>
    <s v="IYER"/>
    <n v="5"/>
    <m/>
    <m/>
    <n v="4"/>
    <s v="iyer"/>
    <s v="arjun"/>
    <x v="4"/>
    <n v="84"/>
  </r>
  <r>
    <n v="1018"/>
    <s v="Rahul"/>
    <s v="Reddy"/>
    <x v="5"/>
    <d v="2024-02-28T00:00:00"/>
    <n v="197"/>
    <x v="0"/>
    <n v="3.8"/>
    <n v="387"/>
    <s v="Good guide support"/>
    <m/>
    <s v="good"/>
    <s v="very long"/>
    <s v="Boa"/>
    <s v="REDDY"/>
    <n v="5"/>
    <m/>
    <m/>
    <n v="4"/>
    <s v="reddy"/>
    <s v="rahul"/>
    <x v="2"/>
    <n v="85"/>
  </r>
  <r>
    <n v="1019"/>
    <s v="Arjun"/>
    <s v="Menon"/>
    <x v="1"/>
    <d v="2024-05-17T00:00:00"/>
    <n v="102"/>
    <x v="3"/>
    <n v="4.5"/>
    <n v="163"/>
    <s v="Saw rare species"/>
    <m/>
    <s v="good"/>
    <s v="long"/>
    <s v="Saf"/>
    <s v="MENON"/>
    <n v="5"/>
    <m/>
    <m/>
    <n v="5"/>
    <s v="menon"/>
    <s v="arjun"/>
    <x v="2"/>
    <n v="92"/>
  </r>
  <r>
    <n v="1020"/>
    <s v="Aditi"/>
    <s v="Singh"/>
    <x v="0"/>
    <d v="2024-08-26T00:00:00"/>
    <n v="223"/>
    <x v="3"/>
    <n v="4.3"/>
    <n v="460"/>
    <s v="Good guide support"/>
    <m/>
    <s v="good"/>
    <s v="very long"/>
    <s v="Pho"/>
    <s v="SINGH"/>
    <n v="5"/>
    <m/>
    <m/>
    <n v="4"/>
    <s v="singh"/>
    <s v="aditi"/>
    <x v="0"/>
    <n v="102"/>
  </r>
  <r>
    <n v="1021"/>
    <s v="Anita"/>
    <s v="Iyer"/>
    <x v="3"/>
    <d v="2024-11-11T00:00:00"/>
    <n v="240"/>
    <x v="3"/>
    <n v="2.6"/>
    <n v="230"/>
    <s v="No comments"/>
    <m/>
    <s v="good"/>
    <s v="very long"/>
    <s v="Bir"/>
    <s v="IYER"/>
    <n v="5"/>
    <m/>
    <m/>
    <n v="3"/>
    <s v="iyer"/>
    <s v="anita"/>
    <x v="2"/>
    <n v="103"/>
  </r>
  <r>
    <n v="1022"/>
    <s v="Sanjay"/>
    <s v="Das"/>
    <x v="0"/>
    <d v="2024-02-15T00:00:00"/>
    <n v="128"/>
    <x v="3"/>
    <n v="4.0999999999999996"/>
    <n v="427"/>
    <s v="Saw rare species"/>
    <m/>
    <s v="good"/>
    <s v="long"/>
    <s v="Pho"/>
    <s v="DAS"/>
    <n v="6"/>
    <m/>
    <m/>
    <n v="4"/>
    <s v="das"/>
    <s v="sanjay"/>
    <x v="7"/>
    <n v="113"/>
  </r>
  <r>
    <n v="1023"/>
    <s v="Vikram"/>
    <s v="Verma"/>
    <x v="2"/>
    <d v="2024-08-23T00:00:00"/>
    <n v="162"/>
    <x v="0"/>
    <n v="4.9000000000000004"/>
    <n v="430"/>
    <s v="Too crowded"/>
    <m/>
    <s v="good"/>
    <s v="long"/>
    <s v="Hik"/>
    <s v="VERMA"/>
    <n v="6"/>
    <m/>
    <m/>
    <n v="5"/>
    <s v="verma"/>
    <s v="vikram"/>
    <x v="4"/>
    <n v="116"/>
  </r>
  <r>
    <n v="1024"/>
    <s v="Aditi"/>
    <s v="Verma"/>
    <x v="5"/>
    <d v="2024-10-03T00:00:00"/>
    <n v="199"/>
    <x v="0"/>
    <n v="3.5"/>
    <n v="463"/>
    <s v="Saw rare species"/>
    <m/>
    <s v="good"/>
    <s v="very long"/>
    <s v="Boa"/>
    <s v="VERMA"/>
    <n v="5"/>
    <m/>
    <m/>
    <n v="4"/>
    <s v="verma"/>
    <s v="aditi"/>
    <x v="2"/>
    <n v="116"/>
  </r>
  <r>
    <n v="1025"/>
    <s v="Vikram"/>
    <s v="Patel"/>
    <x v="2"/>
    <d v="2024-08-31T00:00:00"/>
    <n v="43"/>
    <x v="1"/>
    <n v="4.0999999999999996"/>
    <n v="124"/>
    <s v="No comments"/>
    <m/>
    <s v="good"/>
    <s v="medium"/>
    <s v="Hik"/>
    <s v="PATEL"/>
    <n v="6"/>
    <m/>
    <m/>
    <n v="4"/>
    <s v="patel"/>
    <s v="vikram"/>
    <x v="2"/>
    <n v="125"/>
  </r>
  <r>
    <n v="1026"/>
    <s v="Aditi"/>
    <s v="Singh"/>
    <x v="5"/>
    <d v="2024-09-19T00:00:00"/>
    <n v="103"/>
    <x v="0"/>
    <n v="3.1"/>
    <n v="392"/>
    <s v="Amazing experience"/>
    <m/>
    <s v="good"/>
    <s v="long"/>
    <s v="Boa"/>
    <s v="SINGH"/>
    <n v="5"/>
    <m/>
    <m/>
    <n v="3"/>
    <s v="singh"/>
    <s v="aditi"/>
    <x v="1"/>
    <n v="128"/>
  </r>
  <r>
    <n v="1027"/>
    <s v="Divya"/>
    <s v="Menon"/>
    <x v="4"/>
    <d v="2024-10-15T00:00:00"/>
    <n v="188"/>
    <x v="2"/>
    <n v="4.8"/>
    <n v="355"/>
    <s v="Saw rare species"/>
    <m/>
    <s v="good"/>
    <s v="very long"/>
    <s v="Cam"/>
    <s v="MENON"/>
    <n v="5"/>
    <m/>
    <m/>
    <n v="5"/>
    <s v="menon"/>
    <s v="divya"/>
    <x v="5"/>
    <n v="128"/>
  </r>
  <r>
    <n v="1028"/>
    <s v="Aditi"/>
    <s v="Singh"/>
    <x v="0"/>
    <d v="2024-12-22T00:00:00"/>
    <n v="211"/>
    <x v="1"/>
    <n v="5"/>
    <n v="193"/>
    <s v="Saw rare species"/>
    <m/>
    <s v="good"/>
    <s v="very long"/>
    <s v="Pho"/>
    <s v="SINGH"/>
    <n v="5"/>
    <m/>
    <m/>
    <n v="5"/>
    <s v="singh"/>
    <s v="aditi"/>
    <x v="5"/>
    <n v="131"/>
  </r>
  <r>
    <n v="1029"/>
    <s v="Anita"/>
    <s v="Iyer"/>
    <x v="3"/>
    <d v="2024-01-29T00:00:00"/>
    <n v="43"/>
    <x v="2"/>
    <n v="3.5"/>
    <n v="284"/>
    <s v="Average service"/>
    <m/>
    <s v="good"/>
    <s v="medium"/>
    <s v="Bir"/>
    <s v="IYER"/>
    <n v="5"/>
    <m/>
    <m/>
    <n v="4"/>
    <s v="iyer"/>
    <s v="anita"/>
    <x v="3"/>
    <n v="131"/>
  </r>
  <r>
    <n v="1030"/>
    <s v="Arjun"/>
    <s v="Sharma"/>
    <x v="1"/>
    <d v="2024-06-22T00:00:00"/>
    <n v="116"/>
    <x v="3"/>
    <n v="3.5"/>
    <n v="152"/>
    <s v="Excellent wildlife view"/>
    <m/>
    <s v="good"/>
    <s v="long"/>
    <s v="Saf"/>
    <s v="SHARMA"/>
    <n v="5"/>
    <m/>
    <m/>
    <n v="4"/>
    <s v="sharma"/>
    <s v="arjun"/>
    <x v="6"/>
    <n v="134"/>
  </r>
  <r>
    <n v="1031"/>
    <s v="Sanjay"/>
    <s v="Mehta"/>
    <x v="5"/>
    <d v="2024-02-20T00:00:00"/>
    <n v="113"/>
    <x v="0"/>
    <n v="4.5"/>
    <n v="432"/>
    <s v="No comments"/>
    <m/>
    <s v="good"/>
    <s v="long"/>
    <s v="Boa"/>
    <s v="MEHTA"/>
    <n v="6"/>
    <m/>
    <m/>
    <n v="5"/>
    <s v="mehta"/>
    <s v="sanjay"/>
    <x v="6"/>
    <n v="148"/>
  </r>
  <r>
    <n v="1032"/>
    <s v="Sneha"/>
    <s v="Singh"/>
    <x v="2"/>
    <d v="2024-02-07T00:00:00"/>
    <n v="196"/>
    <x v="0"/>
    <n v="4.3"/>
    <n v="430"/>
    <s v="Average service"/>
    <m/>
    <s v="good"/>
    <s v="very long"/>
    <s v="Hik"/>
    <s v="SINGH"/>
    <n v="5"/>
    <m/>
    <m/>
    <n v="4"/>
    <s v="singh"/>
    <s v="sneha"/>
    <x v="4"/>
    <n v="158"/>
  </r>
  <r>
    <n v="1033"/>
    <s v="Anita"/>
    <s v="Nair"/>
    <x v="2"/>
    <d v="2024-11-10T00:00:00"/>
    <n v="78"/>
    <x v="2"/>
    <n v="3.3"/>
    <n v="336"/>
    <s v="Peaceful environment"/>
    <m/>
    <s v="good"/>
    <s v="medium"/>
    <s v="Hik"/>
    <s v="NAIR"/>
    <n v="5"/>
    <m/>
    <m/>
    <n v="3"/>
    <s v="nair"/>
    <s v="anita"/>
    <x v="3"/>
    <n v="160"/>
  </r>
  <r>
    <n v="1034"/>
    <s v="Arjun"/>
    <s v="Nair"/>
    <x v="2"/>
    <d v="2024-10-09T00:00:00"/>
    <n v="82"/>
    <x v="1"/>
    <n v="4.5999999999999996"/>
    <n v="443"/>
    <s v="Very enjoyable"/>
    <m/>
    <s v="good"/>
    <s v="medium"/>
    <s v="Hik"/>
    <s v="NAIR"/>
    <n v="5"/>
    <m/>
    <m/>
    <n v="5"/>
    <s v="nair"/>
    <s v="arjun"/>
    <x v="5"/>
    <n v="160"/>
  </r>
  <r>
    <n v="1035"/>
    <s v="Vikram"/>
    <s v="Menon"/>
    <x v="3"/>
    <d v="2024-03-28T00:00:00"/>
    <n v="236"/>
    <x v="0"/>
    <n v="3.7"/>
    <n v="299"/>
    <s v="Excellent wildlife view"/>
    <m/>
    <s v="good"/>
    <s v="very long"/>
    <s v="Bir"/>
    <s v="MENON"/>
    <n v="6"/>
    <m/>
    <m/>
    <n v="4"/>
    <s v="menon"/>
    <s v="vikram"/>
    <x v="4"/>
    <n v="161"/>
  </r>
  <r>
    <n v="1036"/>
    <s v="Kiran"/>
    <s v="Verma"/>
    <x v="0"/>
    <d v="2024-06-19T00:00:00"/>
    <n v="128"/>
    <x v="3"/>
    <n v="3"/>
    <n v="285"/>
    <s v="Very enjoyable"/>
    <m/>
    <s v="good"/>
    <s v="long"/>
    <s v="Pho"/>
    <s v="VERMA"/>
    <n v="5"/>
    <m/>
    <m/>
    <n v="3"/>
    <s v="verma"/>
    <s v="kiran"/>
    <x v="0"/>
    <n v="162"/>
  </r>
  <r>
    <n v="1037"/>
    <s v="Aditi"/>
    <s v="Iyer"/>
    <x v="3"/>
    <d v="2024-11-22T00:00:00"/>
    <n v="131"/>
    <x v="2"/>
    <n v="3.6"/>
    <n v="102"/>
    <s v="Saw rare species"/>
    <m/>
    <s v="good"/>
    <s v="long"/>
    <s v="Bir"/>
    <s v="IYER"/>
    <n v="5"/>
    <m/>
    <m/>
    <n v="4"/>
    <s v="iyer"/>
    <s v="aditi"/>
    <x v="4"/>
    <n v="167"/>
  </r>
  <r>
    <n v="1038"/>
    <s v="Rahul"/>
    <s v="Iyer"/>
    <x v="5"/>
    <d v="2024-06-22T00:00:00"/>
    <n v="24"/>
    <x v="1"/>
    <n v="3"/>
    <n v="373"/>
    <s v="No comments"/>
    <m/>
    <s v="good"/>
    <s v="short"/>
    <s v="Boa"/>
    <s v="IYER"/>
    <n v="5"/>
    <m/>
    <m/>
    <n v="3"/>
    <s v="iyer"/>
    <s v="rahul"/>
    <x v="7"/>
    <n v="171"/>
  </r>
  <r>
    <n v="1039"/>
    <s v="Vikram"/>
    <s v="Iyer"/>
    <x v="0"/>
    <d v="2024-08-19T00:00:00"/>
    <n v="228"/>
    <x v="1"/>
    <n v="2.6"/>
    <n v="435"/>
    <s v="Peaceful environment"/>
    <m/>
    <s v="good"/>
    <s v="very long"/>
    <s v="Pho"/>
    <s v="IYER"/>
    <n v="6"/>
    <m/>
    <m/>
    <n v="3"/>
    <s v="iyer"/>
    <s v="vikram"/>
    <x v="1"/>
    <n v="173"/>
  </r>
  <r>
    <n v="1040"/>
    <s v="Rahul"/>
    <s v="Sharma"/>
    <x v="5"/>
    <d v="2024-08-02T00:00:00"/>
    <n v="73"/>
    <x v="0"/>
    <n v="3.5"/>
    <n v="133"/>
    <s v="Too crowded"/>
    <m/>
    <s v="good"/>
    <s v="medium"/>
    <s v="Boa"/>
    <s v="SHARMA"/>
    <n v="5"/>
    <m/>
    <m/>
    <n v="4"/>
    <s v="sharma"/>
    <s v="rahul"/>
    <x v="4"/>
    <n v="177"/>
  </r>
  <r>
    <n v="1041"/>
    <s v="Kiran"/>
    <s v="Das"/>
    <x v="0"/>
    <d v="2024-10-26T00:00:00"/>
    <n v="32"/>
    <x v="1"/>
    <n v="4.0999999999999996"/>
    <n v="218"/>
    <s v="Very enjoyable"/>
    <m/>
    <s v="good"/>
    <s v="medium"/>
    <s v="Pho"/>
    <s v="DAS"/>
    <n v="5"/>
    <m/>
    <m/>
    <n v="4"/>
    <s v="das"/>
    <s v="kiran"/>
    <x v="3"/>
    <n v="178"/>
  </r>
  <r>
    <n v="1042"/>
    <s v="Arjun"/>
    <s v="Reddy"/>
    <x v="2"/>
    <d v="2024-07-20T00:00:00"/>
    <n v="73"/>
    <x v="1"/>
    <n v="2.5"/>
    <n v="480"/>
    <s v="Good guide support"/>
    <m/>
    <s v="neutral"/>
    <s v="medium"/>
    <s v="Hik"/>
    <s v="REDDY"/>
    <n v="5"/>
    <m/>
    <m/>
    <n v="3"/>
    <s v="reddy"/>
    <s v="arjun"/>
    <x v="4"/>
    <n v="181"/>
  </r>
  <r>
    <n v="1043"/>
    <s v="Rahul"/>
    <s v="Mehta"/>
    <x v="0"/>
    <d v="2024-04-09T00:00:00"/>
    <n v="167"/>
    <x v="1"/>
    <n v="4.3"/>
    <n v="472"/>
    <s v="Amazing experience"/>
    <m/>
    <s v="good"/>
    <s v="long"/>
    <s v="Pho"/>
    <s v="MEHTA"/>
    <n v="5"/>
    <m/>
    <m/>
    <n v="4"/>
    <s v="mehta"/>
    <s v="rahul"/>
    <x v="7"/>
    <n v="185"/>
  </r>
  <r>
    <n v="1044"/>
    <s v="Vikram"/>
    <s v="Nair"/>
    <x v="3"/>
    <d v="2024-01-09T00:00:00"/>
    <n v="207"/>
    <x v="0"/>
    <n v="4.2"/>
    <n v="290"/>
    <s v="Excellent wildlife view"/>
    <m/>
    <s v="good"/>
    <s v="very long"/>
    <s v="Bir"/>
    <s v="NAIR"/>
    <n v="6"/>
    <m/>
    <m/>
    <n v="4"/>
    <s v="nair"/>
    <s v="vikram"/>
    <x v="3"/>
    <n v="188"/>
  </r>
  <r>
    <n v="1045"/>
    <s v="Priya"/>
    <s v="Singh"/>
    <x v="2"/>
    <d v="2024-09-11T00:00:00"/>
    <n v="220"/>
    <x v="3"/>
    <n v="4.2"/>
    <n v="158"/>
    <s v="No comments"/>
    <m/>
    <s v="good"/>
    <s v="very long"/>
    <s v="Hik"/>
    <s v="SINGH"/>
    <n v="5"/>
    <m/>
    <m/>
    <n v="4"/>
    <s v="singh"/>
    <s v="priya"/>
    <x v="5"/>
    <n v="191"/>
  </r>
  <r>
    <n v="1046"/>
    <s v="Sanjay"/>
    <s v="Menon"/>
    <x v="0"/>
    <d v="2024-08-28T00:00:00"/>
    <n v="201"/>
    <x v="2"/>
    <n v="3.3"/>
    <n v="364"/>
    <s v="No comments"/>
    <m/>
    <s v="good"/>
    <s v="very long"/>
    <s v="Pho"/>
    <s v="MENON"/>
    <n v="6"/>
    <m/>
    <m/>
    <n v="3"/>
    <s v="menon"/>
    <s v="sanjay"/>
    <x v="0"/>
    <n v="196"/>
  </r>
  <r>
    <n v="1047"/>
    <s v="Rahul"/>
    <s v="Das"/>
    <x v="0"/>
    <d v="2024-06-07T00:00:00"/>
    <n v="56"/>
    <x v="2"/>
    <n v="3"/>
    <n v="381"/>
    <s v="Amazing experience"/>
    <m/>
    <s v="good"/>
    <s v="medium"/>
    <s v="Pho"/>
    <s v="DAS"/>
    <n v="5"/>
    <m/>
    <m/>
    <n v="3"/>
    <s v="das"/>
    <s v="rahul"/>
    <x v="4"/>
    <n v="197"/>
  </r>
  <r>
    <n v="1048"/>
    <s v="Aditi"/>
    <s v="Nair"/>
    <x v="1"/>
    <d v="2024-06-15T00:00:00"/>
    <n v="56"/>
    <x v="0"/>
    <n v="4.9000000000000004"/>
    <n v="267"/>
    <s v="Could be cleaner"/>
    <m/>
    <s v="good"/>
    <s v="medium"/>
    <s v="Saf"/>
    <s v="NAIR"/>
    <n v="5"/>
    <m/>
    <m/>
    <n v="5"/>
    <s v="nair"/>
    <s v="aditi"/>
    <x v="3"/>
    <n v="197"/>
  </r>
  <r>
    <n v="1049"/>
    <s v="Sanjay"/>
    <s v="Menon"/>
    <x v="5"/>
    <d v="2024-01-18T00:00:00"/>
    <n v="84"/>
    <x v="3"/>
    <n v="3.5"/>
    <n v="420"/>
    <s v="Amazing experience"/>
    <m/>
    <s v="good"/>
    <s v="medium"/>
    <s v="Boa"/>
    <s v="MENON"/>
    <n v="6"/>
    <m/>
    <m/>
    <n v="4"/>
    <s v="menon"/>
    <s v="sanjay"/>
    <x v="1"/>
    <n v="198"/>
  </r>
  <r>
    <n v="1050"/>
    <s v="Kiran"/>
    <s v="Nair"/>
    <x v="3"/>
    <d v="2024-12-25T00:00:00"/>
    <n v="233"/>
    <x v="3"/>
    <n v="4.0999999999999996"/>
    <n v="411"/>
    <s v="Very enjoyable"/>
    <m/>
    <s v="good"/>
    <s v="very long"/>
    <s v="Bir"/>
    <s v="NAIR"/>
    <n v="5"/>
    <m/>
    <m/>
    <n v="4"/>
    <s v="nair"/>
    <s v="kiran"/>
    <x v="4"/>
    <n v="199"/>
  </r>
  <r>
    <n v="1051"/>
    <s v="Vikram"/>
    <s v="Verma"/>
    <x v="4"/>
    <d v="2024-05-13T00:00:00"/>
    <n v="177"/>
    <x v="1"/>
    <n v="4.8"/>
    <n v="127"/>
    <s v="Very enjoyable"/>
    <m/>
    <s v="good"/>
    <s v="long"/>
    <s v="Cam"/>
    <s v="VERMA"/>
    <n v="6"/>
    <m/>
    <m/>
    <n v="5"/>
    <s v="verma"/>
    <s v="vikram"/>
    <x v="2"/>
    <n v="199"/>
  </r>
  <r>
    <n v="1052"/>
    <s v="Vikram"/>
    <s v="Sharma"/>
    <x v="4"/>
    <d v="2024-04-08T00:00:00"/>
    <n v="131"/>
    <x v="1"/>
    <n v="4.2"/>
    <n v="396"/>
    <s v="Peaceful environment"/>
    <m/>
    <s v="good"/>
    <s v="long"/>
    <s v="Cam"/>
    <s v="SHARMA"/>
    <n v="6"/>
    <m/>
    <m/>
    <n v="4"/>
    <s v="sharma"/>
    <s v="vikram"/>
    <x v="1"/>
    <n v="201"/>
  </r>
  <r>
    <n v="1053"/>
    <s v="Kiran"/>
    <s v="Das"/>
    <x v="0"/>
    <d v="2024-10-20T00:00:00"/>
    <n v="59"/>
    <x v="0"/>
    <n v="3.4"/>
    <n v="165"/>
    <s v="Average service"/>
    <m/>
    <s v="good"/>
    <s v="medium"/>
    <s v="Pho"/>
    <s v="DAS"/>
    <n v="5"/>
    <m/>
    <m/>
    <n v="3"/>
    <s v="das"/>
    <s v="kiran"/>
    <x v="3"/>
    <n v="207"/>
  </r>
  <r>
    <n v="1054"/>
    <s v="Kiran"/>
    <s v="Singh"/>
    <x v="4"/>
    <d v="2024-08-08T00:00:00"/>
    <n v="211"/>
    <x v="2"/>
    <n v="3.7"/>
    <n v="253"/>
    <s v="Could be cleaner"/>
    <m/>
    <s v="good"/>
    <s v="very long"/>
    <s v="Cam"/>
    <s v="SINGH"/>
    <n v="5"/>
    <m/>
    <m/>
    <n v="4"/>
    <s v="singh"/>
    <s v="kiran"/>
    <x v="4"/>
    <n v="207"/>
  </r>
  <r>
    <n v="1055"/>
    <s v="Sanjay"/>
    <s v="Reddy"/>
    <x v="4"/>
    <d v="2024-10-05T00:00:00"/>
    <n v="185"/>
    <x v="3"/>
    <n v="4.9000000000000004"/>
    <n v="369"/>
    <s v="Could be cleaner"/>
    <m/>
    <s v="good"/>
    <s v="very long"/>
    <s v="Cam"/>
    <s v="REDDY"/>
    <n v="6"/>
    <m/>
    <m/>
    <n v="5"/>
    <s v="reddy"/>
    <s v="sanjay"/>
    <x v="5"/>
    <n v="211"/>
  </r>
  <r>
    <n v="1056"/>
    <s v="Divya"/>
    <s v="Mehta"/>
    <x v="1"/>
    <d v="2024-06-04T00:00:00"/>
    <n v="158"/>
    <x v="1"/>
    <n v="2.9"/>
    <n v="290"/>
    <s v="Too crowded"/>
    <m/>
    <s v="good"/>
    <s v="long"/>
    <s v="Saf"/>
    <s v="MEHTA"/>
    <n v="5"/>
    <m/>
    <m/>
    <n v="3"/>
    <s v="mehta"/>
    <s v="divya"/>
    <x v="6"/>
    <n v="211"/>
  </r>
  <r>
    <n v="1057"/>
    <s v="Vikram"/>
    <s v="Patel"/>
    <x v="3"/>
    <d v="2024-09-28T00:00:00"/>
    <n v="225"/>
    <x v="0"/>
    <n v="3.9"/>
    <n v="425"/>
    <s v="Average service"/>
    <m/>
    <s v="good"/>
    <s v="very long"/>
    <s v="Bir"/>
    <s v="PATEL"/>
    <n v="6"/>
    <m/>
    <m/>
    <n v="4"/>
    <s v="patel"/>
    <s v="vikram"/>
    <x v="1"/>
    <n v="220"/>
  </r>
  <r>
    <n v="1058"/>
    <s v="Sanjay"/>
    <s v="Sharma"/>
    <x v="4"/>
    <d v="2024-02-01T00:00:00"/>
    <n v="125"/>
    <x v="3"/>
    <n v="4.0999999999999996"/>
    <n v="264"/>
    <s v="Very enjoyable"/>
    <m/>
    <s v="good"/>
    <s v="long"/>
    <s v="Cam"/>
    <s v="SHARMA"/>
    <n v="6"/>
    <m/>
    <m/>
    <n v="4"/>
    <s v="sharma"/>
    <s v="sanjay"/>
    <x v="1"/>
    <n v="221"/>
  </r>
  <r>
    <n v="1059"/>
    <s v="Aditi"/>
    <s v="Reddy"/>
    <x v="3"/>
    <d v="2024-01-06T00:00:00"/>
    <n v="65"/>
    <x v="1"/>
    <n v="4.9000000000000004"/>
    <n v="160"/>
    <s v="Saw rare species"/>
    <m/>
    <s v="good"/>
    <s v="medium"/>
    <s v="Bir"/>
    <s v="REDDY"/>
    <n v="5"/>
    <m/>
    <m/>
    <n v="5"/>
    <s v="reddy"/>
    <s v="aditi"/>
    <x v="4"/>
    <n v="223"/>
  </r>
  <r>
    <n v="1060"/>
    <s v="Sneha"/>
    <s v="Singh"/>
    <x v="1"/>
    <d v="2024-11-28T00:00:00"/>
    <n v="134"/>
    <x v="1"/>
    <n v="3.3"/>
    <n v="429"/>
    <s v="Excellent wildlife view"/>
    <m/>
    <s v="good"/>
    <s v="long"/>
    <s v="Saf"/>
    <s v="SINGH"/>
    <n v="5"/>
    <m/>
    <m/>
    <n v="3"/>
    <s v="singh"/>
    <s v="sneha"/>
    <x v="6"/>
    <n v="223"/>
  </r>
  <r>
    <n v="1061"/>
    <s v="Kiran"/>
    <s v="Nair"/>
    <x v="1"/>
    <d v="2024-06-27T00:00:00"/>
    <n v="44"/>
    <x v="3"/>
    <n v="3.8"/>
    <n v="180"/>
    <s v="Average service"/>
    <m/>
    <s v="good"/>
    <s v="medium"/>
    <s v="Saf"/>
    <s v="NAIR"/>
    <n v="5"/>
    <m/>
    <m/>
    <n v="4"/>
    <s v="nair"/>
    <s v="kiran"/>
    <x v="1"/>
    <n v="225"/>
  </r>
  <r>
    <n v="1062"/>
    <s v="Arjun"/>
    <s v="Reddy"/>
    <x v="1"/>
    <d v="2024-08-22T00:00:00"/>
    <n v="173"/>
    <x v="0"/>
    <n v="2.9"/>
    <n v="300"/>
    <s v="No comments"/>
    <m/>
    <s v="good"/>
    <s v="long"/>
    <s v="Saf"/>
    <s v="REDDY"/>
    <n v="5"/>
    <m/>
    <m/>
    <n v="3"/>
    <s v="reddy"/>
    <s v="arjun"/>
    <x v="2"/>
    <n v="228"/>
  </r>
  <r>
    <n v="1063"/>
    <s v="Rahul"/>
    <s v="Das"/>
    <x v="5"/>
    <d v="2024-03-17T00:00:00"/>
    <n v="82"/>
    <x v="1"/>
    <n v="3.5"/>
    <n v="454"/>
    <s v="Too crowded"/>
    <m/>
    <s v="good"/>
    <s v="medium"/>
    <s v="Boa"/>
    <s v="DAS"/>
    <n v="5"/>
    <m/>
    <m/>
    <n v="4"/>
    <s v="das"/>
    <s v="rahul"/>
    <x v="6"/>
    <n v="231"/>
  </r>
  <r>
    <n v="1064"/>
    <s v="Arjun"/>
    <s v="Sharma"/>
    <x v="2"/>
    <d v="2024-09-13T00:00:00"/>
    <n v="178"/>
    <x v="0"/>
    <n v="3.8"/>
    <n v="172"/>
    <s v="Too crowded"/>
    <m/>
    <s v="good"/>
    <s v="long"/>
    <s v="Hik"/>
    <s v="SHARMA"/>
    <n v="5"/>
    <m/>
    <m/>
    <n v="4"/>
    <s v="sharma"/>
    <s v="arjun"/>
    <x v="7"/>
    <n v="233"/>
  </r>
  <r>
    <n v="1065"/>
    <s v="Anita"/>
    <s v="Mehta"/>
    <x v="1"/>
    <d v="2024-03-26T00:00:00"/>
    <n v="161"/>
    <x v="1"/>
    <n v="5"/>
    <n v="455"/>
    <s v="Could be cleaner"/>
    <m/>
    <s v="good"/>
    <s v="long"/>
    <s v="Saf"/>
    <s v="MEHTA"/>
    <n v="5"/>
    <m/>
    <m/>
    <n v="5"/>
    <s v="mehta"/>
    <s v="anita"/>
    <x v="6"/>
    <n v="236"/>
  </r>
  <r>
    <n v="1066"/>
    <s v="Anita"/>
    <s v="Das"/>
    <x v="2"/>
    <d v="2024-09-14T00:00:00"/>
    <n v="148"/>
    <x v="0"/>
    <n v="4.2"/>
    <n v="276"/>
    <s v="Too crowded"/>
    <m/>
    <s v="good"/>
    <s v="long"/>
    <s v="Hik"/>
    <s v="DAS"/>
    <n v="5"/>
    <m/>
    <m/>
    <n v="4"/>
    <s v="das"/>
    <s v="anita"/>
    <x v="3"/>
    <n v="240"/>
  </r>
  <r>
    <n v="1067"/>
    <s v="Arjun"/>
    <s v="Singh"/>
    <x v="1"/>
    <d v="2024-02-21T00:00:00"/>
    <n v="161"/>
    <x v="0"/>
    <n v="3.7"/>
    <n v="283"/>
    <s v="Too crowded"/>
    <m/>
    <s v="good"/>
    <s v="long"/>
    <s v="Saf"/>
    <s v="SINGH"/>
    <n v="5"/>
    <m/>
    <m/>
    <n v="4"/>
    <s v="singh"/>
    <s v="arjun"/>
    <x v="5"/>
    <n v="25"/>
  </r>
  <r>
    <n v="1068"/>
    <s v="Rahul"/>
    <s v="Nair"/>
    <x v="3"/>
    <d v="2024-03-23T00:00:00"/>
    <n v="181"/>
    <x v="1"/>
    <n v="2.9"/>
    <n v="375"/>
    <s v="No comments"/>
    <m/>
    <s v="good"/>
    <s v="very long"/>
    <s v="Bir"/>
    <s v="NAIR"/>
    <n v="5"/>
    <m/>
    <m/>
    <n v="3"/>
    <s v="nair"/>
    <s v="rahul"/>
    <x v="0"/>
    <n v="25"/>
  </r>
  <r>
    <n v="1069"/>
    <s v="Rahul"/>
    <s v="Patel"/>
    <x v="2"/>
    <d v="2024-12-06T00:00:00"/>
    <n v="95"/>
    <x v="1"/>
    <n v="3.2"/>
    <n v="436"/>
    <s v="Saw rare species"/>
    <m/>
    <s v="good"/>
    <s v="long"/>
    <s v="Hik"/>
    <s v="PATEL"/>
    <n v="5"/>
    <m/>
    <m/>
    <n v="3"/>
    <s v="patel"/>
    <s v="rahul"/>
    <x v="0"/>
    <n v="26"/>
  </r>
  <r>
    <n v="1070"/>
    <s v="Sneha"/>
    <s v="Verma"/>
    <x v="5"/>
    <d v="2024-11-30T00:00:00"/>
    <n v="69"/>
    <x v="0"/>
    <n v="3.8"/>
    <n v="237"/>
    <s v="Amazing experience"/>
    <m/>
    <s v="good"/>
    <s v="medium"/>
    <s v="Boa"/>
    <s v="VERMA"/>
    <n v="5"/>
    <m/>
    <m/>
    <n v="4"/>
    <s v="verma"/>
    <s v="sneha"/>
    <x v="3"/>
    <n v="39"/>
  </r>
  <r>
    <n v="1071"/>
    <s v="Priya"/>
    <s v="Menon"/>
    <x v="5"/>
    <d v="2024-08-02T00:00:00"/>
    <n v="129"/>
    <x v="0"/>
    <n v="4.9000000000000004"/>
    <n v="329"/>
    <s v="Average service"/>
    <m/>
    <s v="good"/>
    <s v="long"/>
    <s v="Boa"/>
    <s v="MENON"/>
    <n v="5"/>
    <m/>
    <m/>
    <n v="5"/>
    <s v="menon"/>
    <s v="priya"/>
    <x v="2"/>
    <n v="47"/>
  </r>
  <r>
    <n v="1072"/>
    <s v="Sanjay"/>
    <s v="Nair"/>
    <x v="1"/>
    <d v="2024-03-20T00:00:00"/>
    <n v="81"/>
    <x v="0"/>
    <n v="4.9000000000000004"/>
    <n v="136"/>
    <s v="Very enjoyable"/>
    <m/>
    <s v="good"/>
    <s v="medium"/>
    <s v="Saf"/>
    <s v="NAIR"/>
    <n v="6"/>
    <m/>
    <m/>
    <n v="5"/>
    <s v="nair"/>
    <s v="sanjay"/>
    <x v="0"/>
    <n v="49"/>
  </r>
  <r>
    <n v="1073"/>
    <s v="Arjun"/>
    <s v="Nair"/>
    <x v="5"/>
    <d v="2024-08-22T00:00:00"/>
    <n v="159"/>
    <x v="1"/>
    <n v="2.9"/>
    <n v="409"/>
    <s v="Could be cleaner"/>
    <m/>
    <s v="good"/>
    <s v="long"/>
    <s v="Boa"/>
    <s v="NAIR"/>
    <n v="5"/>
    <m/>
    <m/>
    <n v="3"/>
    <s v="nair"/>
    <s v="arjun"/>
    <x v="6"/>
    <n v="51"/>
  </r>
  <r>
    <n v="1074"/>
    <s v="Kiran"/>
    <s v="Das"/>
    <x v="5"/>
    <d v="2024-09-08T00:00:00"/>
    <n v="185"/>
    <x v="3"/>
    <n v="4.4000000000000004"/>
    <n v="440"/>
    <s v="No comments"/>
    <m/>
    <s v="good"/>
    <s v="very long"/>
    <s v="Boa"/>
    <s v="DAS"/>
    <n v="5"/>
    <m/>
    <m/>
    <n v="4"/>
    <s v="das"/>
    <s v="kiran"/>
    <x v="5"/>
    <n v="54"/>
  </r>
  <r>
    <n v="1075"/>
    <s v="Anita"/>
    <s v="Patel"/>
    <x v="2"/>
    <d v="2024-02-21T00:00:00"/>
    <n v="148"/>
    <x v="0"/>
    <n v="2.7"/>
    <n v="239"/>
    <s v="Could be cleaner"/>
    <m/>
    <s v="good"/>
    <s v="long"/>
    <s v="Hik"/>
    <s v="PATEL"/>
    <n v="5"/>
    <m/>
    <m/>
    <n v="3"/>
    <s v="patel"/>
    <s v="anita"/>
    <x v="3"/>
    <n v="57"/>
  </r>
  <r>
    <n v="1076"/>
    <s v="Arjun"/>
    <s v="Patel"/>
    <x v="3"/>
    <d v="2024-01-16T00:00:00"/>
    <n v="25"/>
    <x v="2"/>
    <n v="2.5"/>
    <n v="239"/>
    <s v="Too crowded"/>
    <m/>
    <s v="neutral"/>
    <s v="short"/>
    <s v="Bir"/>
    <s v="PATEL"/>
    <n v="5"/>
    <m/>
    <m/>
    <n v="3"/>
    <s v="patel"/>
    <s v="arjun"/>
    <x v="1"/>
    <n v="58"/>
  </r>
  <r>
    <n v="1077"/>
    <s v="Arjun"/>
    <s v="Sharma"/>
    <x v="4"/>
    <d v="2024-08-31T00:00:00"/>
    <n v="111"/>
    <x v="3"/>
    <n v="2.6"/>
    <n v="480"/>
    <s v="Average service"/>
    <m/>
    <s v="good"/>
    <s v="long"/>
    <s v="Cam"/>
    <s v="SHARMA"/>
    <n v="5"/>
    <m/>
    <m/>
    <n v="3"/>
    <s v="sharma"/>
    <s v="arjun"/>
    <x v="3"/>
    <n v="61"/>
  </r>
  <r>
    <n v="1078"/>
    <s v="Vikram"/>
    <s v="Iyer"/>
    <x v="5"/>
    <d v="2024-12-10T00:00:00"/>
    <n v="127"/>
    <x v="1"/>
    <n v="4.0999999999999996"/>
    <n v="371"/>
    <s v="Amazing experience"/>
    <m/>
    <s v="good"/>
    <s v="long"/>
    <s v="Boa"/>
    <s v="IYER"/>
    <n v="6"/>
    <m/>
    <m/>
    <n v="4"/>
    <s v="iyer"/>
    <s v="vikram"/>
    <x v="1"/>
    <n v="63"/>
  </r>
  <r>
    <n v="1079"/>
    <s v="Anita"/>
    <s v="Menon"/>
    <x v="2"/>
    <d v="2024-07-21T00:00:00"/>
    <n v="78"/>
    <x v="2"/>
    <n v="4.3"/>
    <n v="111"/>
    <s v="Average service"/>
    <m/>
    <s v="good"/>
    <s v="medium"/>
    <s v="Hik"/>
    <s v="MENON"/>
    <n v="5"/>
    <m/>
    <m/>
    <n v="4"/>
    <s v="menon"/>
    <s v="anita"/>
    <x v="2"/>
    <n v="68"/>
  </r>
  <r>
    <n v="1080"/>
    <s v="Aditi"/>
    <s v="Singh"/>
    <x v="0"/>
    <d v="2024-07-27T00:00:00"/>
    <n v="58"/>
    <x v="3"/>
    <n v="4"/>
    <n v="219"/>
    <s v="Very enjoyable"/>
    <m/>
    <s v="good"/>
    <s v="medium"/>
    <s v="Pho"/>
    <s v="SINGH"/>
    <n v="5"/>
    <m/>
    <m/>
    <n v="4"/>
    <s v="singh"/>
    <s v="aditi"/>
    <x v="3"/>
    <n v="69"/>
  </r>
  <r>
    <n v="1081"/>
    <s v="Rahul"/>
    <s v="Verma"/>
    <x v="0"/>
    <d v="2024-12-13T00:00:00"/>
    <n v="121"/>
    <x v="0"/>
    <n v="3"/>
    <n v="390"/>
    <s v="Average service"/>
    <m/>
    <s v="good"/>
    <s v="long"/>
    <s v="Pho"/>
    <s v="VERMA"/>
    <n v="5"/>
    <m/>
    <m/>
    <n v="3"/>
    <s v="verma"/>
    <s v="rahul"/>
    <x v="2"/>
    <n v="73"/>
  </r>
  <r>
    <n v="1082"/>
    <s v="Sanjay"/>
    <s v="Singh"/>
    <x v="5"/>
    <d v="2024-03-19T00:00:00"/>
    <n v="49"/>
    <x v="2"/>
    <n v="2.9"/>
    <n v="119"/>
    <s v="Amazing experience"/>
    <m/>
    <s v="good"/>
    <s v="medium"/>
    <s v="Boa"/>
    <s v="SINGH"/>
    <n v="6"/>
    <m/>
    <m/>
    <n v="3"/>
    <s v="singh"/>
    <s v="sanjay"/>
    <x v="3"/>
    <n v="75"/>
  </r>
  <r>
    <n v="1083"/>
    <s v="Sneha"/>
    <s v="Reddy"/>
    <x v="2"/>
    <d v="2024-05-01T00:00:00"/>
    <n v="158"/>
    <x v="1"/>
    <n v="3.4"/>
    <n v="366"/>
    <s v="Could be cleaner"/>
    <m/>
    <s v="good"/>
    <s v="long"/>
    <s v="Hik"/>
    <s v="REDDY"/>
    <n v="5"/>
    <m/>
    <m/>
    <n v="3"/>
    <s v="reddy"/>
    <s v="sneha"/>
    <x v="5"/>
    <n v="75"/>
  </r>
  <r>
    <n v="1084"/>
    <s v="Rahul"/>
    <s v="Patel"/>
    <x v="0"/>
    <d v="2024-10-13T00:00:00"/>
    <n v="227"/>
    <x v="3"/>
    <n v="3.5"/>
    <n v="413"/>
    <s v="Too crowded"/>
    <m/>
    <s v="good"/>
    <s v="very long"/>
    <s v="Pho"/>
    <s v="PATEL"/>
    <n v="5"/>
    <m/>
    <m/>
    <n v="4"/>
    <s v="patel"/>
    <s v="rahul"/>
    <x v="7"/>
    <n v="76"/>
  </r>
  <r>
    <n v="1085"/>
    <s v="Anita"/>
    <s v="Nair"/>
    <x v="0"/>
    <d v="2024-06-12T00:00:00"/>
    <n v="108"/>
    <x v="0"/>
    <n v="4.8"/>
    <n v="500"/>
    <s v="Average service"/>
    <m/>
    <s v="good"/>
    <s v="long"/>
    <s v="Pho"/>
    <s v="NAIR"/>
    <n v="5"/>
    <m/>
    <m/>
    <n v="5"/>
    <s v="nair"/>
    <s v="anita"/>
    <x v="4"/>
    <n v="78"/>
  </r>
  <r>
    <n v="1086"/>
    <s v="Vikram"/>
    <s v="Verma"/>
    <x v="5"/>
    <d v="2024-11-23T00:00:00"/>
    <n v="194"/>
    <x v="2"/>
    <n v="4.0999999999999996"/>
    <n v="314"/>
    <s v="Saw rare species"/>
    <m/>
    <s v="good"/>
    <s v="very long"/>
    <s v="Boa"/>
    <s v="VERMA"/>
    <n v="6"/>
    <m/>
    <m/>
    <n v="4"/>
    <s v="verma"/>
    <s v="vikram"/>
    <x v="4"/>
    <n v="78"/>
  </r>
  <r>
    <n v="1087"/>
    <s v="Kiran"/>
    <s v="Menon"/>
    <x v="4"/>
    <d v="2024-02-27T00:00:00"/>
    <n v="232"/>
    <x v="3"/>
    <n v="4.0999999999999996"/>
    <n v="470"/>
    <s v="Excellent wildlife view"/>
    <m/>
    <s v="good"/>
    <s v="very long"/>
    <s v="Cam"/>
    <s v="MENON"/>
    <n v="5"/>
    <m/>
    <m/>
    <n v="4"/>
    <s v="menon"/>
    <s v="kiran"/>
    <x v="4"/>
    <n v="81"/>
  </r>
  <r>
    <n v="1088"/>
    <s v="Kiran"/>
    <s v="Sharma"/>
    <x v="4"/>
    <d v="2024-03-19T00:00:00"/>
    <n v="145"/>
    <x v="0"/>
    <n v="2.8"/>
    <n v="180"/>
    <s v="Peaceful environment"/>
    <m/>
    <s v="good"/>
    <s v="long"/>
    <s v="Cam"/>
    <s v="SHARMA"/>
    <n v="5"/>
    <m/>
    <m/>
    <n v="3"/>
    <s v="sharma"/>
    <s v="kiran"/>
    <x v="1"/>
    <n v="87"/>
  </r>
  <r>
    <n v="1089"/>
    <s v="Anita"/>
    <s v="Sharma"/>
    <x v="3"/>
    <d v="2024-01-04T00:00:00"/>
    <n v="73"/>
    <x v="1"/>
    <n v="4.9000000000000004"/>
    <n v="156"/>
    <s v="Average service"/>
    <m/>
    <s v="good"/>
    <s v="medium"/>
    <s v="Bir"/>
    <s v="SHARMA"/>
    <n v="5"/>
    <m/>
    <m/>
    <n v="5"/>
    <s v="sharma"/>
    <s v="anita"/>
    <x v="4"/>
    <n v="95"/>
  </r>
  <r>
    <n v="1090"/>
    <s v="Arjun"/>
    <s v="Singh"/>
    <x v="0"/>
    <d v="2024-01-13T00:00:00"/>
    <n v="156"/>
    <x v="2"/>
    <n v="3.1"/>
    <n v="114"/>
    <s v="Too crowded"/>
    <m/>
    <s v="good"/>
    <s v="long"/>
    <s v="Pho"/>
    <s v="SINGH"/>
    <n v="5"/>
    <m/>
    <m/>
    <n v="3"/>
    <s v="singh"/>
    <s v="arjun"/>
    <x v="3"/>
    <n v="97"/>
  </r>
  <r>
    <n v="1091"/>
    <s v="Kiran"/>
    <s v="Verma"/>
    <x v="4"/>
    <d v="2024-01-15T00:00:00"/>
    <n v="217"/>
    <x v="0"/>
    <n v="2.8"/>
    <n v="215"/>
    <s v="Very enjoyable"/>
    <m/>
    <s v="good"/>
    <s v="very long"/>
    <s v="Cam"/>
    <s v="VERMA"/>
    <n v="5"/>
    <m/>
    <m/>
    <n v="3"/>
    <s v="verma"/>
    <s v="kiran"/>
    <x v="3"/>
    <n v="108"/>
  </r>
  <r>
    <n v="1092"/>
    <s v="Rahul"/>
    <s v="Nair"/>
    <x v="5"/>
    <d v="2024-12-04T00:00:00"/>
    <n v="226"/>
    <x v="0"/>
    <n v="3.8"/>
    <n v="284"/>
    <s v="Saw rare species"/>
    <m/>
    <s v="good"/>
    <s v="very long"/>
    <s v="Boa"/>
    <s v="NAIR"/>
    <n v="5"/>
    <m/>
    <m/>
    <n v="4"/>
    <s v="nair"/>
    <s v="rahul"/>
    <x v="4"/>
    <n v="111"/>
  </r>
  <r>
    <n v="1093"/>
    <s v="Rahul"/>
    <s v="Reddy"/>
    <x v="3"/>
    <d v="2024-12-13T00:00:00"/>
    <n v="191"/>
    <x v="3"/>
    <n v="4.2"/>
    <n v="300"/>
    <s v="Good guide support"/>
    <m/>
    <s v="good"/>
    <s v="very long"/>
    <s v="Bir"/>
    <s v="REDDY"/>
    <n v="5"/>
    <m/>
    <m/>
    <n v="4"/>
    <s v="reddy"/>
    <s v="rahul"/>
    <x v="3"/>
    <n v="121"/>
  </r>
  <r>
    <n v="1094"/>
    <s v="Vikram"/>
    <s v="Verma"/>
    <x v="3"/>
    <d v="2024-02-18T00:00:00"/>
    <n v="235"/>
    <x v="0"/>
    <n v="3.5"/>
    <n v="338"/>
    <s v="Saw rare species"/>
    <m/>
    <s v="good"/>
    <s v="very long"/>
    <s v="Bir"/>
    <s v="VERMA"/>
    <n v="6"/>
    <m/>
    <m/>
    <n v="4"/>
    <s v="verma"/>
    <s v="vikram"/>
    <x v="2"/>
    <n v="126"/>
  </r>
  <r>
    <n v="1095"/>
    <s v="Rahul"/>
    <s v="Mehta"/>
    <x v="3"/>
    <d v="2024-01-01T00:00:00"/>
    <n v="75"/>
    <x v="1"/>
    <n v="4.7"/>
    <n v="162"/>
    <s v="Amazing experience"/>
    <m/>
    <s v="good"/>
    <s v="medium"/>
    <s v="Bir"/>
    <s v="MEHTA"/>
    <n v="5"/>
    <m/>
    <m/>
    <n v="5"/>
    <s v="mehta"/>
    <s v="rahul"/>
    <x v="6"/>
    <n v="127"/>
  </r>
  <r>
    <n v="1096"/>
    <s v="Sneha"/>
    <s v="Menon"/>
    <x v="0"/>
    <d v="2024-09-22T00:00:00"/>
    <n v="182"/>
    <x v="0"/>
    <n v="5"/>
    <n v="434"/>
    <s v="Amazing experience"/>
    <m/>
    <s v="good"/>
    <s v="very long"/>
    <s v="Pho"/>
    <s v="MENON"/>
    <n v="5"/>
    <m/>
    <m/>
    <n v="5"/>
    <s v="menon"/>
    <s v="sneha"/>
    <x v="6"/>
    <n v="127"/>
  </r>
  <r>
    <n v="1097"/>
    <s v="Arjun"/>
    <s v="Mehta"/>
    <x v="5"/>
    <d v="2024-02-17T00:00:00"/>
    <n v="134"/>
    <x v="2"/>
    <n v="4.7"/>
    <n v="185"/>
    <s v="Saw rare species"/>
    <m/>
    <s v="good"/>
    <s v="long"/>
    <s v="Boa"/>
    <s v="MEHTA"/>
    <n v="5"/>
    <m/>
    <m/>
    <n v="5"/>
    <s v="mehta"/>
    <s v="arjun"/>
    <x v="3"/>
    <n v="129"/>
  </r>
  <r>
    <n v="1098"/>
    <s v="Anita"/>
    <s v="Patel"/>
    <x v="4"/>
    <d v="2024-02-17T00:00:00"/>
    <n v="47"/>
    <x v="3"/>
    <n v="4.9000000000000004"/>
    <n v="110"/>
    <s v="Excellent wildlife view"/>
    <m/>
    <s v="good"/>
    <s v="medium"/>
    <s v="Cam"/>
    <s v="PATEL"/>
    <n v="5"/>
    <m/>
    <m/>
    <n v="5"/>
    <s v="patel"/>
    <s v="anita"/>
    <x v="1"/>
    <n v="134"/>
  </r>
  <r>
    <n v="1099"/>
    <s v="Sneha"/>
    <s v="Nair"/>
    <x v="5"/>
    <d v="2024-04-12T00:00:00"/>
    <n v="196"/>
    <x v="2"/>
    <n v="4.5999999999999996"/>
    <n v="112"/>
    <s v="Very enjoyable"/>
    <m/>
    <s v="good"/>
    <s v="very long"/>
    <s v="Boa"/>
    <s v="NAIR"/>
    <n v="5"/>
    <m/>
    <m/>
    <n v="5"/>
    <s v="nair"/>
    <s v="sneha"/>
    <x v="5"/>
    <n v="134"/>
  </r>
  <r>
    <n v="1100"/>
    <s v="Rahul"/>
    <s v="Verma"/>
    <x v="5"/>
    <d v="2024-07-23T00:00:00"/>
    <n v="127"/>
    <x v="0"/>
    <n v="4.3"/>
    <n v="422"/>
    <s v="Saw rare species"/>
    <m/>
    <s v="good"/>
    <s v="long"/>
    <s v="Boa"/>
    <s v="VERMA"/>
    <n v="5"/>
    <m/>
    <m/>
    <n v="4"/>
    <s v="verma"/>
    <s v="rahul"/>
    <x v="4"/>
    <n v="136"/>
  </r>
  <r>
    <n v="1101"/>
    <s v="Rahul"/>
    <s v="Sharma"/>
    <x v="1"/>
    <d v="2024-12-09T00:00:00"/>
    <n v="203"/>
    <x v="2"/>
    <n v="4.0999999999999996"/>
    <n v="321"/>
    <s v="Could be cleaner"/>
    <m/>
    <s v="good"/>
    <s v="very long"/>
    <s v="Saf"/>
    <s v="SHARMA"/>
    <n v="5"/>
    <m/>
    <m/>
    <n v="4"/>
    <s v="sharma"/>
    <s v="rahul"/>
    <x v="4"/>
    <n v="136"/>
  </r>
  <r>
    <n v="1102"/>
    <s v="Anita"/>
    <s v="Sharma"/>
    <x v="5"/>
    <d v="2024-09-14T00:00:00"/>
    <n v="87"/>
    <x v="1"/>
    <n v="2.5"/>
    <n v="169"/>
    <s v="Good guide support"/>
    <m/>
    <s v="neutral"/>
    <s v="medium"/>
    <s v="Boa"/>
    <s v="SHARMA"/>
    <n v="5"/>
    <m/>
    <m/>
    <n v="3"/>
    <s v="sharma"/>
    <s v="anita"/>
    <x v="0"/>
    <n v="143"/>
  </r>
  <r>
    <n v="1103"/>
    <s v="Rahul"/>
    <s v="Singh"/>
    <x v="5"/>
    <d v="2024-08-07T00:00:00"/>
    <n v="186"/>
    <x v="3"/>
    <n v="4.5"/>
    <n v="201"/>
    <s v="Could be cleaner"/>
    <m/>
    <s v="good"/>
    <s v="very long"/>
    <s v="Boa"/>
    <s v="SINGH"/>
    <n v="5"/>
    <m/>
    <m/>
    <n v="5"/>
    <s v="singh"/>
    <s v="rahul"/>
    <x v="4"/>
    <n v="145"/>
  </r>
  <r>
    <n v="1104"/>
    <s v="Arjun"/>
    <s v="Singh"/>
    <x v="5"/>
    <d v="2024-02-19T00:00:00"/>
    <n v="230"/>
    <x v="2"/>
    <n v="4.8"/>
    <n v="149"/>
    <s v="Peaceful environment"/>
    <m/>
    <s v="good"/>
    <s v="very long"/>
    <s v="Boa"/>
    <s v="SINGH"/>
    <n v="5"/>
    <m/>
    <m/>
    <n v="5"/>
    <s v="singh"/>
    <s v="arjun"/>
    <x v="7"/>
    <n v="146"/>
  </r>
  <r>
    <n v="1105"/>
    <s v="Rahul"/>
    <s v="Menon"/>
    <x v="4"/>
    <d v="2024-04-18T00:00:00"/>
    <n v="134"/>
    <x v="2"/>
    <n v="3.1"/>
    <n v="311"/>
    <s v="Amazing experience"/>
    <m/>
    <s v="good"/>
    <s v="long"/>
    <s v="Cam"/>
    <s v="MENON"/>
    <n v="5"/>
    <m/>
    <m/>
    <n v="3"/>
    <s v="menon"/>
    <s v="rahul"/>
    <x v="3"/>
    <n v="148"/>
  </r>
  <r>
    <n v="1106"/>
    <s v="Anita"/>
    <s v="Reddy"/>
    <x v="2"/>
    <d v="2024-01-20T00:00:00"/>
    <n v="126"/>
    <x v="2"/>
    <n v="4.8"/>
    <n v="398"/>
    <s v="No comments"/>
    <m/>
    <s v="good"/>
    <s v="long"/>
    <s v="Hik"/>
    <s v="REDDY"/>
    <n v="5"/>
    <m/>
    <m/>
    <n v="5"/>
    <s v="reddy"/>
    <s v="anita"/>
    <x v="5"/>
    <n v="150"/>
  </r>
  <r>
    <n v="1107"/>
    <s v="Kiran"/>
    <s v="Verma"/>
    <x v="2"/>
    <d v="2024-12-15T00:00:00"/>
    <n v="97"/>
    <x v="3"/>
    <n v="4.9000000000000004"/>
    <n v="483"/>
    <s v="Amazing experience"/>
    <m/>
    <s v="good"/>
    <s v="long"/>
    <s v="Hik"/>
    <s v="VERMA"/>
    <n v="5"/>
    <m/>
    <m/>
    <n v="5"/>
    <s v="verma"/>
    <s v="kiran"/>
    <x v="5"/>
    <n v="156"/>
  </r>
  <r>
    <n v="1108"/>
    <s v="Rahul"/>
    <s v="Singh"/>
    <x v="5"/>
    <d v="2024-05-12T00:00:00"/>
    <n v="25"/>
    <x v="3"/>
    <n v="4.7"/>
    <n v="401"/>
    <s v="Peaceful environment"/>
    <m/>
    <s v="good"/>
    <s v="short"/>
    <s v="Boa"/>
    <s v="SINGH"/>
    <n v="5"/>
    <m/>
    <m/>
    <n v="5"/>
    <s v="singh"/>
    <s v="rahul"/>
    <x v="7"/>
    <n v="158"/>
  </r>
  <r>
    <n v="1109"/>
    <s v="Vikram"/>
    <s v="Nair"/>
    <x v="3"/>
    <d v="2024-01-07T00:00:00"/>
    <n v="188"/>
    <x v="2"/>
    <n v="2.6"/>
    <n v="498"/>
    <s v="Peaceful environment"/>
    <m/>
    <s v="good"/>
    <s v="very long"/>
    <s v="Bir"/>
    <s v="NAIR"/>
    <n v="6"/>
    <m/>
    <m/>
    <n v="3"/>
    <s v="nair"/>
    <s v="vikram"/>
    <x v="5"/>
    <n v="159"/>
  </r>
  <r>
    <n v="1110"/>
    <s v="Priya"/>
    <s v="Sharma"/>
    <x v="4"/>
    <d v="2024-11-07T00:00:00"/>
    <n v="75"/>
    <x v="2"/>
    <n v="4.8"/>
    <n v="459"/>
    <s v="Very enjoyable"/>
    <m/>
    <s v="good"/>
    <s v="medium"/>
    <s v="Cam"/>
    <s v="SHARMA"/>
    <n v="5"/>
    <m/>
    <m/>
    <n v="5"/>
    <s v="sharma"/>
    <s v="priya"/>
    <x v="0"/>
    <n v="161"/>
  </r>
  <r>
    <n v="1111"/>
    <s v="Arjun"/>
    <s v="Nair"/>
    <x v="3"/>
    <d v="2024-06-23T00:00:00"/>
    <n v="63"/>
    <x v="1"/>
    <n v="3.7"/>
    <n v="308"/>
    <s v="No comments"/>
    <m/>
    <s v="good"/>
    <s v="medium"/>
    <s v="Bir"/>
    <s v="NAIR"/>
    <n v="5"/>
    <m/>
    <m/>
    <n v="4"/>
    <s v="nair"/>
    <s v="arjun"/>
    <x v="6"/>
    <n v="161"/>
  </r>
  <r>
    <n v="1112"/>
    <s v="Aditi"/>
    <s v="Nair"/>
    <x v="0"/>
    <d v="2024-07-17T00:00:00"/>
    <n v="161"/>
    <x v="1"/>
    <n v="4.4000000000000004"/>
    <n v="410"/>
    <s v="Saw rare species"/>
    <m/>
    <s v="good"/>
    <s v="long"/>
    <s v="Pho"/>
    <s v="NAIR"/>
    <n v="5"/>
    <m/>
    <m/>
    <n v="4"/>
    <s v="nair"/>
    <s v="aditi"/>
    <x v="7"/>
    <n v="161"/>
  </r>
  <r>
    <n v="1113"/>
    <s v="Kiran"/>
    <s v="Das"/>
    <x v="3"/>
    <d v="2024-06-10T00:00:00"/>
    <n v="181"/>
    <x v="1"/>
    <n v="4.5"/>
    <n v="393"/>
    <s v="Saw rare species"/>
    <m/>
    <s v="good"/>
    <s v="very long"/>
    <s v="Bir"/>
    <s v="DAS"/>
    <n v="5"/>
    <m/>
    <m/>
    <n v="5"/>
    <s v="das"/>
    <s v="kiran"/>
    <x v="0"/>
    <n v="173"/>
  </r>
  <r>
    <n v="1114"/>
    <s v="Priya"/>
    <s v="Mehta"/>
    <x v="1"/>
    <d v="2024-04-11T00:00:00"/>
    <n v="136"/>
    <x v="1"/>
    <n v="4.0999999999999996"/>
    <n v="271"/>
    <s v="Peaceful environment"/>
    <m/>
    <s v="good"/>
    <s v="long"/>
    <s v="Saf"/>
    <s v="MEHTA"/>
    <n v="5"/>
    <m/>
    <m/>
    <n v="4"/>
    <s v="mehta"/>
    <s v="priya"/>
    <x v="0"/>
    <n v="181"/>
  </r>
  <r>
    <n v="1115"/>
    <s v="Aditi"/>
    <s v="Verma"/>
    <x v="1"/>
    <d v="2024-08-05T00:00:00"/>
    <n v="136"/>
    <x v="0"/>
    <n v="2.8"/>
    <n v="141"/>
    <s v="Amazing experience"/>
    <m/>
    <s v="good"/>
    <s v="long"/>
    <s v="Saf"/>
    <s v="VERMA"/>
    <n v="5"/>
    <m/>
    <m/>
    <n v="3"/>
    <s v="verma"/>
    <s v="aditi"/>
    <x v="1"/>
    <n v="181"/>
  </r>
  <r>
    <n v="1116"/>
    <s v="Divya"/>
    <s v="Mehta"/>
    <x v="2"/>
    <d v="2024-05-11T00:00:00"/>
    <n v="161"/>
    <x v="1"/>
    <n v="4"/>
    <n v="320"/>
    <s v="Peaceful environment"/>
    <m/>
    <s v="good"/>
    <s v="long"/>
    <s v="Hik"/>
    <s v="MEHTA"/>
    <n v="5"/>
    <m/>
    <m/>
    <n v="4"/>
    <s v="mehta"/>
    <s v="divya"/>
    <x v="1"/>
    <n v="181"/>
  </r>
  <r>
    <n v="1117"/>
    <s v="Aditi"/>
    <s v="Mehta"/>
    <x v="1"/>
    <d v="2024-12-09T00:00:00"/>
    <n v="173"/>
    <x v="3"/>
    <n v="4.0999999999999996"/>
    <n v="449"/>
    <s v="Good guide support"/>
    <m/>
    <s v="good"/>
    <s v="long"/>
    <s v="Saf"/>
    <s v="MEHTA"/>
    <n v="5"/>
    <m/>
    <m/>
    <n v="4"/>
    <s v="mehta"/>
    <s v="aditi"/>
    <x v="5"/>
    <n v="182"/>
  </r>
  <r>
    <n v="1118"/>
    <s v="Aditi"/>
    <s v="Patel"/>
    <x v="2"/>
    <d v="2024-04-28T00:00:00"/>
    <n v="76"/>
    <x v="0"/>
    <n v="4.4000000000000004"/>
    <n v="171"/>
    <s v="Good guide support"/>
    <m/>
    <s v="good"/>
    <s v="medium"/>
    <s v="Hik"/>
    <s v="PATEL"/>
    <n v="5"/>
    <m/>
    <m/>
    <n v="4"/>
    <s v="patel"/>
    <s v="aditi"/>
    <x v="3"/>
    <n v="185"/>
  </r>
  <r>
    <n v="1119"/>
    <s v="Anita"/>
    <s v="Das"/>
    <x v="0"/>
    <d v="2024-05-20T00:00:00"/>
    <n v="223"/>
    <x v="2"/>
    <n v="3.1"/>
    <n v="224"/>
    <s v="Good guide support"/>
    <m/>
    <s v="good"/>
    <s v="very long"/>
    <s v="Pho"/>
    <s v="DAS"/>
    <n v="5"/>
    <m/>
    <m/>
    <n v="3"/>
    <s v="das"/>
    <s v="anita"/>
    <x v="0"/>
    <n v="186"/>
  </r>
  <r>
    <n v="1120"/>
    <s v="Sanjay"/>
    <s v="Sharma"/>
    <x v="1"/>
    <d v="2024-01-14T00:00:00"/>
    <n v="78"/>
    <x v="3"/>
    <n v="3.7"/>
    <n v="194"/>
    <s v="Very enjoyable"/>
    <m/>
    <s v="good"/>
    <s v="medium"/>
    <s v="Saf"/>
    <s v="SHARMA"/>
    <n v="6"/>
    <m/>
    <m/>
    <n v="4"/>
    <s v="sharma"/>
    <s v="sanjay"/>
    <x v="6"/>
    <n v="187"/>
  </r>
  <r>
    <n v="1121"/>
    <s v="Sanjay"/>
    <s v="Reddy"/>
    <x v="3"/>
    <d v="2024-05-15T00:00:00"/>
    <n v="150"/>
    <x v="2"/>
    <n v="3"/>
    <n v="368"/>
    <s v="No comments"/>
    <m/>
    <s v="good"/>
    <s v="long"/>
    <s v="Bir"/>
    <s v="REDDY"/>
    <n v="6"/>
    <m/>
    <m/>
    <n v="3"/>
    <s v="reddy"/>
    <s v="sanjay"/>
    <x v="1"/>
    <n v="188"/>
  </r>
  <r>
    <n v="1122"/>
    <s v="Divya"/>
    <s v="Iyer"/>
    <x v="2"/>
    <d v="2024-02-10T00:00:00"/>
    <n v="146"/>
    <x v="2"/>
    <n v="3.6"/>
    <n v="153"/>
    <s v="Too crowded"/>
    <m/>
    <s v="good"/>
    <s v="long"/>
    <s v="Hik"/>
    <s v="IYER"/>
    <n v="5"/>
    <m/>
    <m/>
    <n v="4"/>
    <s v="iyer"/>
    <s v="divya"/>
    <x v="3"/>
    <n v="191"/>
  </r>
  <r>
    <n v="1123"/>
    <s v="Priya"/>
    <s v="Sharma"/>
    <x v="3"/>
    <d v="2024-09-11T00:00:00"/>
    <n v="187"/>
    <x v="3"/>
    <n v="2.9"/>
    <n v="261"/>
    <s v="Average service"/>
    <m/>
    <s v="good"/>
    <s v="very long"/>
    <s v="Bir"/>
    <s v="SHARMA"/>
    <n v="5"/>
    <m/>
    <m/>
    <n v="3"/>
    <s v="sharma"/>
    <s v="priya"/>
    <x v="6"/>
    <n v="194"/>
  </r>
  <r>
    <n v="1124"/>
    <s v="Kiran"/>
    <s v="Patel"/>
    <x v="3"/>
    <d v="2024-03-15T00:00:00"/>
    <n v="54"/>
    <x v="0"/>
    <n v="4.4000000000000004"/>
    <n v="167"/>
    <s v="Peaceful environment"/>
    <m/>
    <s v="good"/>
    <s v="medium"/>
    <s v="Bir"/>
    <s v="PATEL"/>
    <n v="5"/>
    <m/>
    <m/>
    <n v="4"/>
    <s v="patel"/>
    <s v="kiran"/>
    <x v="6"/>
    <n v="196"/>
  </r>
  <r>
    <n v="1125"/>
    <s v="Rahul"/>
    <s v="Reddy"/>
    <x v="5"/>
    <d v="2024-05-11T00:00:00"/>
    <n v="39"/>
    <x v="0"/>
    <n v="2.5"/>
    <n v="498"/>
    <s v="Average service"/>
    <m/>
    <s v="neutral"/>
    <s v="medium"/>
    <s v="Boa"/>
    <s v="REDDY"/>
    <n v="5"/>
    <m/>
    <m/>
    <n v="3"/>
    <s v="reddy"/>
    <s v="rahul"/>
    <x v="0"/>
    <n v="203"/>
  </r>
  <r>
    <n v="1126"/>
    <s v="Anita"/>
    <s v="Mehta"/>
    <x v="3"/>
    <d v="2024-04-02T00:00:00"/>
    <n v="230"/>
    <x v="0"/>
    <n v="3.5"/>
    <n v="169"/>
    <s v="Good guide support"/>
    <m/>
    <s v="good"/>
    <s v="very long"/>
    <s v="Bir"/>
    <s v="MEHTA"/>
    <n v="5"/>
    <m/>
    <m/>
    <n v="4"/>
    <s v="mehta"/>
    <s v="anita"/>
    <x v="1"/>
    <n v="205"/>
  </r>
  <r>
    <n v="1127"/>
    <s v="Vikram"/>
    <s v="Nair"/>
    <x v="0"/>
    <d v="2024-09-27T00:00:00"/>
    <n v="51"/>
    <x v="1"/>
    <n v="4.3"/>
    <n v="170"/>
    <s v="Very enjoyable"/>
    <m/>
    <s v="good"/>
    <s v="medium"/>
    <s v="Pho"/>
    <s v="NAIR"/>
    <n v="6"/>
    <m/>
    <m/>
    <n v="4"/>
    <s v="nair"/>
    <s v="vikram"/>
    <x v="7"/>
    <n v="217"/>
  </r>
  <r>
    <n v="1128"/>
    <s v="Sanjay"/>
    <s v="Das"/>
    <x v="0"/>
    <d v="2024-08-27T00:00:00"/>
    <n v="181"/>
    <x v="3"/>
    <n v="3.7"/>
    <n v="329"/>
    <s v="Good guide support"/>
    <m/>
    <s v="good"/>
    <s v="very long"/>
    <s v="Pho"/>
    <s v="DAS"/>
    <n v="6"/>
    <m/>
    <m/>
    <n v="4"/>
    <s v="das"/>
    <s v="sanjay"/>
    <x v="3"/>
    <n v="220"/>
  </r>
  <r>
    <n v="1129"/>
    <s v="Divya"/>
    <s v="Verma"/>
    <x v="0"/>
    <d v="2024-11-18T00:00:00"/>
    <n v="68"/>
    <x v="1"/>
    <n v="3.1"/>
    <n v="196"/>
    <s v="Peaceful environment"/>
    <m/>
    <s v="good"/>
    <s v="medium"/>
    <s v="Pho"/>
    <s v="VERMA"/>
    <n v="5"/>
    <m/>
    <m/>
    <n v="3"/>
    <s v="verma"/>
    <s v="divya"/>
    <x v="6"/>
    <n v="222"/>
  </r>
  <r>
    <n v="1130"/>
    <s v="Arjun"/>
    <s v="Nair"/>
    <x v="1"/>
    <d v="2024-12-18T00:00:00"/>
    <n v="220"/>
    <x v="1"/>
    <n v="3.6"/>
    <n v="328"/>
    <s v="Average service"/>
    <m/>
    <s v="good"/>
    <s v="very long"/>
    <s v="Saf"/>
    <s v="NAIR"/>
    <n v="5"/>
    <m/>
    <m/>
    <n v="4"/>
    <s v="nair"/>
    <s v="arjun"/>
    <x v="2"/>
    <n v="223"/>
  </r>
  <r>
    <n v="1131"/>
    <s v="Rahul"/>
    <s v="Nair"/>
    <x v="4"/>
    <d v="2024-08-20T00:00:00"/>
    <n v="143"/>
    <x v="0"/>
    <n v="4.8"/>
    <n v="119"/>
    <s v="No comments"/>
    <m/>
    <s v="good"/>
    <s v="long"/>
    <s v="Cam"/>
    <s v="NAIR"/>
    <n v="5"/>
    <m/>
    <m/>
    <n v="5"/>
    <s v="nair"/>
    <s v="rahul"/>
    <x v="5"/>
    <n v="226"/>
  </r>
  <r>
    <n v="1132"/>
    <s v="Anita"/>
    <s v="Reddy"/>
    <x v="4"/>
    <d v="2024-09-15T00:00:00"/>
    <n v="240"/>
    <x v="1"/>
    <n v="4.0999999999999996"/>
    <n v="348"/>
    <s v="Average service"/>
    <m/>
    <s v="good"/>
    <s v="very long"/>
    <s v="Cam"/>
    <s v="REDDY"/>
    <n v="5"/>
    <m/>
    <m/>
    <n v="4"/>
    <s v="reddy"/>
    <s v="anita"/>
    <x v="2"/>
    <n v="227"/>
  </r>
  <r>
    <n v="1133"/>
    <s v="Vikram"/>
    <s v="Reddy"/>
    <x v="1"/>
    <d v="2024-10-20T00:00:00"/>
    <n v="57"/>
    <x v="2"/>
    <n v="3.4"/>
    <n v="166"/>
    <s v="Excellent wildlife view"/>
    <m/>
    <s v="good"/>
    <s v="medium"/>
    <s v="Saf"/>
    <s v="REDDY"/>
    <n v="6"/>
    <m/>
    <m/>
    <n v="3"/>
    <s v="reddy"/>
    <s v="vikram"/>
    <x v="6"/>
    <n v="230"/>
  </r>
  <r>
    <n v="1134"/>
    <s v="Aditi"/>
    <s v="Mehta"/>
    <x v="1"/>
    <d v="2024-11-06T00:00:00"/>
    <n v="222"/>
    <x v="3"/>
    <n v="2.5"/>
    <n v="471"/>
    <s v="Too crowded"/>
    <m/>
    <s v="neutral"/>
    <s v="very long"/>
    <s v="Saf"/>
    <s v="MEHTA"/>
    <n v="5"/>
    <m/>
    <m/>
    <n v="3"/>
    <s v="mehta"/>
    <s v="aditi"/>
    <x v="2"/>
    <n v="230"/>
  </r>
  <r>
    <n v="1135"/>
    <s v="Sneha"/>
    <s v="Verma"/>
    <x v="3"/>
    <d v="2024-08-20T00:00:00"/>
    <n v="26"/>
    <x v="3"/>
    <n v="3.3"/>
    <n v="298"/>
    <s v="Good guide support"/>
    <m/>
    <s v="good"/>
    <s v="short"/>
    <s v="Bir"/>
    <s v="VERMA"/>
    <n v="5"/>
    <m/>
    <m/>
    <n v="3"/>
    <s v="verma"/>
    <s v="sneha"/>
    <x v="5"/>
    <n v="232"/>
  </r>
  <r>
    <n v="1136"/>
    <s v="Priya"/>
    <s v="Iyer"/>
    <x v="1"/>
    <d v="2024-07-03T00:00:00"/>
    <n v="205"/>
    <x v="3"/>
    <n v="2.6"/>
    <n v="496"/>
    <s v="Very enjoyable"/>
    <m/>
    <s v="good"/>
    <s v="very long"/>
    <s v="Saf"/>
    <s v="IYER"/>
    <n v="5"/>
    <m/>
    <m/>
    <n v="3"/>
    <s v="iyer"/>
    <s v="priya"/>
    <x v="4"/>
    <n v="235"/>
  </r>
  <r>
    <n v="1137"/>
    <s v="Sanjay"/>
    <s v="Singh"/>
    <x v="1"/>
    <d v="2024-05-04T00:00:00"/>
    <n v="61"/>
    <x v="0"/>
    <n v="2.8"/>
    <n v="148"/>
    <s v="No comments"/>
    <m/>
    <s v="good"/>
    <s v="medium"/>
    <s v="Saf"/>
    <s v="SINGH"/>
    <n v="6"/>
    <m/>
    <m/>
    <n v="3"/>
    <s v="singh"/>
    <s v="sanjay"/>
    <x v="4"/>
    <n v="240"/>
  </r>
  <r>
    <n v="1138"/>
    <s v="Divya"/>
    <s v="Sharma"/>
    <x v="3"/>
    <d v="2024-07-16T00:00:00"/>
    <n v="228"/>
    <x v="0"/>
    <n v="3.6"/>
    <n v="190"/>
    <s v="Too crowded"/>
    <m/>
    <s v="good"/>
    <s v="very long"/>
    <s v="Bir"/>
    <s v="SHARMA"/>
    <n v="5"/>
    <m/>
    <m/>
    <n v="4"/>
    <s v="sharma"/>
    <s v="divya"/>
    <x v="0"/>
    <n v="24"/>
  </r>
  <r>
    <n v="1139"/>
    <s v="Divya"/>
    <s v="Nair"/>
    <x v="3"/>
    <d v="2024-06-06T00:00:00"/>
    <n v="229"/>
    <x v="1"/>
    <n v="4.0999999999999996"/>
    <n v="372"/>
    <s v="Too crowded"/>
    <m/>
    <s v="good"/>
    <s v="very long"/>
    <s v="Bir"/>
    <s v="NAIR"/>
    <n v="5"/>
    <m/>
    <m/>
    <n v="4"/>
    <s v="nair"/>
    <s v="divya"/>
    <x v="7"/>
    <n v="24"/>
  </r>
  <r>
    <n v="1140"/>
    <s v="Kiran"/>
    <s v="Sharma"/>
    <x v="4"/>
    <d v="2024-02-14T00:00:00"/>
    <n v="141"/>
    <x v="3"/>
    <n v="2.7"/>
    <n v="268"/>
    <s v="Good guide support"/>
    <m/>
    <s v="good"/>
    <s v="long"/>
    <s v="Cam"/>
    <s v="SHARMA"/>
    <n v="5"/>
    <m/>
    <m/>
    <n v="3"/>
    <s v="sharma"/>
    <s v="kiran"/>
    <x v="0"/>
    <n v="26"/>
  </r>
  <r>
    <n v="1141"/>
    <s v="Sneha"/>
    <s v="Nair"/>
    <x v="4"/>
    <d v="2024-08-16T00:00:00"/>
    <n v="112"/>
    <x v="1"/>
    <n v="3.3"/>
    <n v="496"/>
    <s v="Could be cleaner"/>
    <m/>
    <s v="good"/>
    <s v="long"/>
    <s v="Cam"/>
    <s v="NAIR"/>
    <n v="5"/>
    <m/>
    <m/>
    <n v="3"/>
    <s v="nair"/>
    <s v="sneha"/>
    <x v="2"/>
    <n v="30"/>
  </r>
  <r>
    <n v="1142"/>
    <s v="Anita"/>
    <s v="Singh"/>
    <x v="2"/>
    <d v="2024-12-03T00:00:00"/>
    <n v="66"/>
    <x v="0"/>
    <n v="3.1"/>
    <n v="455"/>
    <s v="Amazing experience"/>
    <m/>
    <s v="good"/>
    <s v="medium"/>
    <s v="Hik"/>
    <s v="SINGH"/>
    <n v="5"/>
    <m/>
    <m/>
    <n v="3"/>
    <s v="singh"/>
    <s v="anita"/>
    <x v="0"/>
    <n v="33"/>
  </r>
  <r>
    <n v="1143"/>
    <s v="Rahul"/>
    <s v="Reddy"/>
    <x v="1"/>
    <d v="2024-02-29T00:00:00"/>
    <n v="166"/>
    <x v="0"/>
    <n v="2.8"/>
    <n v="316"/>
    <s v="Amazing experience"/>
    <m/>
    <s v="good"/>
    <s v="long"/>
    <s v="Saf"/>
    <s v="REDDY"/>
    <n v="5"/>
    <m/>
    <m/>
    <n v="3"/>
    <s v="reddy"/>
    <s v="rahul"/>
    <x v="4"/>
    <n v="36"/>
  </r>
  <r>
    <n v="1144"/>
    <s v="Aditi"/>
    <s v="Patel"/>
    <x v="0"/>
    <d v="2024-02-13T00:00:00"/>
    <n v="56"/>
    <x v="1"/>
    <n v="3.4"/>
    <n v="190"/>
    <s v="Average service"/>
    <m/>
    <s v="good"/>
    <s v="medium"/>
    <s v="Pho"/>
    <s v="PATEL"/>
    <n v="5"/>
    <m/>
    <m/>
    <n v="3"/>
    <s v="patel"/>
    <s v="aditi"/>
    <x v="1"/>
    <n v="40"/>
  </r>
  <r>
    <n v="1145"/>
    <s v="Kiran"/>
    <s v="Nair"/>
    <x v="1"/>
    <d v="2024-06-10T00:00:00"/>
    <n v="162"/>
    <x v="0"/>
    <n v="2.6"/>
    <n v="375"/>
    <s v="Average service"/>
    <m/>
    <s v="good"/>
    <s v="long"/>
    <s v="Saf"/>
    <s v="NAIR"/>
    <n v="5"/>
    <m/>
    <m/>
    <n v="3"/>
    <s v="nair"/>
    <s v="kiran"/>
    <x v="3"/>
    <n v="46"/>
  </r>
  <r>
    <n v="1146"/>
    <s v="Anita"/>
    <s v="Menon"/>
    <x v="1"/>
    <d v="2024-03-05T00:00:00"/>
    <n v="139"/>
    <x v="3"/>
    <n v="4.2"/>
    <n v="168"/>
    <s v="Saw rare species"/>
    <m/>
    <s v="good"/>
    <s v="long"/>
    <s v="Saf"/>
    <s v="MENON"/>
    <n v="5"/>
    <m/>
    <m/>
    <n v="4"/>
    <s v="menon"/>
    <s v="anita"/>
    <x v="2"/>
    <n v="48"/>
  </r>
  <r>
    <n v="1147"/>
    <s v="Sneha"/>
    <s v="Singh"/>
    <x v="4"/>
    <d v="2024-02-28T00:00:00"/>
    <n v="170"/>
    <x v="1"/>
    <n v="3.8"/>
    <n v="393"/>
    <s v="Amazing experience"/>
    <m/>
    <s v="good"/>
    <s v="long"/>
    <s v="Cam"/>
    <s v="SINGH"/>
    <n v="5"/>
    <m/>
    <m/>
    <n v="4"/>
    <s v="singh"/>
    <s v="sneha"/>
    <x v="1"/>
    <n v="54"/>
  </r>
  <r>
    <n v="1148"/>
    <s v="Sneha"/>
    <s v="Sharma"/>
    <x v="2"/>
    <d v="2024-03-21T00:00:00"/>
    <n v="93"/>
    <x v="0"/>
    <n v="3.8"/>
    <n v="161"/>
    <s v="Excellent wildlife view"/>
    <m/>
    <s v="good"/>
    <s v="long"/>
    <s v="Hik"/>
    <s v="SHARMA"/>
    <n v="5"/>
    <m/>
    <m/>
    <n v="4"/>
    <s v="sharma"/>
    <s v="sneha"/>
    <x v="4"/>
    <n v="56"/>
  </r>
  <r>
    <n v="1149"/>
    <s v="Priya"/>
    <s v="Patel"/>
    <x v="3"/>
    <d v="2024-10-01T00:00:00"/>
    <n v="226"/>
    <x v="2"/>
    <n v="4.3"/>
    <n v="164"/>
    <s v="Very enjoyable"/>
    <m/>
    <s v="good"/>
    <s v="very long"/>
    <s v="Bir"/>
    <s v="PATEL"/>
    <n v="5"/>
    <m/>
    <m/>
    <n v="4"/>
    <s v="patel"/>
    <s v="priya"/>
    <x v="7"/>
    <n v="57"/>
  </r>
  <r>
    <n v="1150"/>
    <s v="Vikram"/>
    <s v="Reddy"/>
    <x v="3"/>
    <d v="2024-12-07T00:00:00"/>
    <n v="219"/>
    <x v="2"/>
    <n v="3.3"/>
    <n v="478"/>
    <s v="Amazing experience"/>
    <m/>
    <s v="good"/>
    <s v="very long"/>
    <s v="Bir"/>
    <s v="REDDY"/>
    <n v="6"/>
    <m/>
    <m/>
    <n v="3"/>
    <s v="reddy"/>
    <s v="vikram"/>
    <x v="3"/>
    <n v="57"/>
  </r>
  <r>
    <n v="1151"/>
    <s v="Vikram"/>
    <s v="Sharma"/>
    <x v="3"/>
    <d v="2024-01-19T00:00:00"/>
    <n v="216"/>
    <x v="3"/>
    <n v="3.2"/>
    <n v="470"/>
    <s v="Peaceful environment"/>
    <m/>
    <s v="good"/>
    <s v="very long"/>
    <s v="Bir"/>
    <s v="SHARMA"/>
    <n v="6"/>
    <m/>
    <m/>
    <n v="3"/>
    <s v="sharma"/>
    <s v="vikram"/>
    <x v="1"/>
    <n v="64"/>
  </r>
  <r>
    <n v="1152"/>
    <s v="Rahul"/>
    <s v="Das"/>
    <x v="2"/>
    <d v="2024-02-02T00:00:00"/>
    <n v="67"/>
    <x v="0"/>
    <n v="2.8"/>
    <n v="272"/>
    <s v="Good guide support"/>
    <m/>
    <s v="good"/>
    <s v="medium"/>
    <s v="Hik"/>
    <s v="DAS"/>
    <n v="5"/>
    <m/>
    <m/>
    <n v="3"/>
    <s v="das"/>
    <s v="rahul"/>
    <x v="3"/>
    <n v="66"/>
  </r>
  <r>
    <n v="1153"/>
    <s v="Divya"/>
    <s v="Nair"/>
    <x v="4"/>
    <d v="2024-03-20T00:00:00"/>
    <n v="202"/>
    <x v="3"/>
    <n v="3.2"/>
    <n v="443"/>
    <s v="Peaceful environment"/>
    <m/>
    <s v="good"/>
    <s v="very long"/>
    <s v="Cam"/>
    <s v="NAIR"/>
    <n v="5"/>
    <m/>
    <m/>
    <n v="3"/>
    <s v="nair"/>
    <s v="divya"/>
    <x v="2"/>
    <n v="67"/>
  </r>
  <r>
    <n v="1154"/>
    <s v="Aditi"/>
    <s v="Reddy"/>
    <x v="3"/>
    <d v="2024-10-14T00:00:00"/>
    <n v="82"/>
    <x v="1"/>
    <n v="3"/>
    <n v="334"/>
    <s v="No comments"/>
    <m/>
    <s v="good"/>
    <s v="medium"/>
    <s v="Bir"/>
    <s v="REDDY"/>
    <n v="5"/>
    <m/>
    <m/>
    <n v="3"/>
    <s v="reddy"/>
    <s v="aditi"/>
    <x v="1"/>
    <n v="72"/>
  </r>
  <r>
    <n v="1155"/>
    <s v="Anita"/>
    <s v="Singh"/>
    <x v="4"/>
    <d v="2024-09-15T00:00:00"/>
    <n v="213"/>
    <x v="1"/>
    <n v="4.7"/>
    <n v="378"/>
    <s v="Saw rare species"/>
    <m/>
    <s v="good"/>
    <s v="very long"/>
    <s v="Cam"/>
    <s v="SINGH"/>
    <n v="5"/>
    <m/>
    <m/>
    <n v="5"/>
    <s v="singh"/>
    <s v="anita"/>
    <x v="2"/>
    <n v="81"/>
  </r>
  <r>
    <n v="1156"/>
    <s v="Sanjay"/>
    <s v="Menon"/>
    <x v="4"/>
    <d v="2024-08-28T00:00:00"/>
    <n v="24"/>
    <x v="1"/>
    <n v="4.3"/>
    <n v="247"/>
    <s v="Average service"/>
    <m/>
    <s v="good"/>
    <s v="short"/>
    <s v="Cam"/>
    <s v="MENON"/>
    <n v="6"/>
    <m/>
    <m/>
    <n v="4"/>
    <s v="menon"/>
    <s v="sanjay"/>
    <x v="5"/>
    <n v="82"/>
  </r>
  <r>
    <n v="1157"/>
    <s v="Arjun"/>
    <s v="Das"/>
    <x v="2"/>
    <d v="2024-07-27T00:00:00"/>
    <n v="30"/>
    <x v="1"/>
    <n v="2.7"/>
    <n v="319"/>
    <s v="Good guide support"/>
    <m/>
    <s v="good"/>
    <s v="medium"/>
    <s v="Hik"/>
    <s v="DAS"/>
    <n v="5"/>
    <m/>
    <m/>
    <n v="3"/>
    <s v="das"/>
    <s v="arjun"/>
    <x v="1"/>
    <n v="93"/>
  </r>
  <r>
    <n v="1158"/>
    <s v="Arjun"/>
    <s v="Menon"/>
    <x v="1"/>
    <d v="2024-02-02T00:00:00"/>
    <n v="148"/>
    <x v="3"/>
    <n v="4.8"/>
    <n v="212"/>
    <s v="Could be cleaner"/>
    <m/>
    <s v="good"/>
    <s v="long"/>
    <s v="Saf"/>
    <s v="MENON"/>
    <n v="5"/>
    <m/>
    <m/>
    <n v="5"/>
    <s v="menon"/>
    <s v="arjun"/>
    <x v="6"/>
    <n v="94"/>
  </r>
  <r>
    <n v="1159"/>
    <s v="Sneha"/>
    <s v="Patel"/>
    <x v="5"/>
    <d v="2024-10-24T00:00:00"/>
    <n v="81"/>
    <x v="1"/>
    <n v="4"/>
    <n v="358"/>
    <s v="No comments"/>
    <m/>
    <s v="good"/>
    <s v="medium"/>
    <s v="Boa"/>
    <s v="PATEL"/>
    <n v="5"/>
    <m/>
    <m/>
    <n v="4"/>
    <s v="patel"/>
    <s v="sneha"/>
    <x v="7"/>
    <n v="100"/>
  </r>
  <r>
    <n v="1160"/>
    <s v="Divya"/>
    <s v="Reddy"/>
    <x v="5"/>
    <d v="2024-12-01T00:00:00"/>
    <n v="40"/>
    <x v="2"/>
    <n v="4.8"/>
    <n v="228"/>
    <s v="Excellent wildlife view"/>
    <m/>
    <s v="good"/>
    <s v="medium"/>
    <s v="Boa"/>
    <s v="REDDY"/>
    <n v="5"/>
    <m/>
    <m/>
    <n v="5"/>
    <s v="reddy"/>
    <s v="divya"/>
    <x v="0"/>
    <n v="102"/>
  </r>
  <r>
    <n v="1161"/>
    <s v="Arjun"/>
    <s v="Reddy"/>
    <x v="5"/>
    <d v="2024-10-11T00:00:00"/>
    <n v="233"/>
    <x v="3"/>
    <n v="4.5999999999999996"/>
    <n v="430"/>
    <s v="Could be cleaner"/>
    <m/>
    <s v="good"/>
    <s v="very long"/>
    <s v="Boa"/>
    <s v="REDDY"/>
    <n v="5"/>
    <m/>
    <m/>
    <n v="5"/>
    <s v="reddy"/>
    <s v="arjun"/>
    <x v="3"/>
    <n v="103"/>
  </r>
  <r>
    <n v="1162"/>
    <s v="Vikram"/>
    <s v="Menon"/>
    <x v="2"/>
    <d v="2024-09-28T00:00:00"/>
    <n v="118"/>
    <x v="2"/>
    <n v="3.9"/>
    <n v="484"/>
    <s v="Very enjoyable"/>
    <m/>
    <s v="good"/>
    <s v="long"/>
    <s v="Hik"/>
    <s v="MENON"/>
    <n v="6"/>
    <m/>
    <m/>
    <n v="4"/>
    <s v="menon"/>
    <s v="vikram"/>
    <x v="4"/>
    <n v="112"/>
  </r>
  <r>
    <n v="1163"/>
    <s v="Vikram"/>
    <s v="Menon"/>
    <x v="5"/>
    <d v="2024-06-22T00:00:00"/>
    <n v="215"/>
    <x v="1"/>
    <n v="3.9"/>
    <n v="236"/>
    <s v="Excellent wildlife view"/>
    <m/>
    <s v="good"/>
    <s v="very long"/>
    <s v="Boa"/>
    <s v="MENON"/>
    <n v="6"/>
    <m/>
    <m/>
    <n v="4"/>
    <s v="menon"/>
    <s v="vikram"/>
    <x v="6"/>
    <n v="116"/>
  </r>
  <r>
    <n v="1164"/>
    <s v="Rahul"/>
    <s v="Mehta"/>
    <x v="1"/>
    <d v="2024-10-03T00:00:00"/>
    <n v="153"/>
    <x v="3"/>
    <n v="4"/>
    <n v="277"/>
    <s v="Peaceful environment"/>
    <m/>
    <s v="good"/>
    <s v="long"/>
    <s v="Saf"/>
    <s v="MEHTA"/>
    <n v="5"/>
    <m/>
    <m/>
    <n v="4"/>
    <s v="mehta"/>
    <s v="rahul"/>
    <x v="3"/>
    <n v="118"/>
  </r>
  <r>
    <n v="1165"/>
    <s v="Sneha"/>
    <s v="Verma"/>
    <x v="4"/>
    <d v="2024-06-02T00:00:00"/>
    <n v="94"/>
    <x v="1"/>
    <n v="4.5"/>
    <n v="315"/>
    <s v="Good guide support"/>
    <m/>
    <s v="good"/>
    <s v="long"/>
    <s v="Cam"/>
    <s v="VERMA"/>
    <n v="5"/>
    <m/>
    <m/>
    <n v="5"/>
    <s v="verma"/>
    <s v="sneha"/>
    <x v="6"/>
    <n v="119"/>
  </r>
  <r>
    <n v="1166"/>
    <s v="Aditi"/>
    <s v="Singh"/>
    <x v="1"/>
    <d v="2024-01-12T00:00:00"/>
    <n v="121"/>
    <x v="3"/>
    <n v="2.8"/>
    <n v="351"/>
    <s v="Could be cleaner"/>
    <m/>
    <s v="good"/>
    <s v="long"/>
    <s v="Saf"/>
    <s v="SINGH"/>
    <n v="5"/>
    <m/>
    <m/>
    <n v="3"/>
    <s v="singh"/>
    <s v="aditi"/>
    <x v="0"/>
    <n v="121"/>
  </r>
  <r>
    <n v="1167"/>
    <s v="Priya"/>
    <s v="Das"/>
    <x v="3"/>
    <d v="2024-05-06T00:00:00"/>
    <n v="72"/>
    <x v="3"/>
    <n v="3.3"/>
    <n v="441"/>
    <s v="Amazing experience"/>
    <m/>
    <s v="good"/>
    <s v="medium"/>
    <s v="Bir"/>
    <s v="DAS"/>
    <n v="5"/>
    <m/>
    <m/>
    <n v="3"/>
    <s v="das"/>
    <s v="priya"/>
    <x v="6"/>
    <n v="121"/>
  </r>
  <r>
    <n v="1168"/>
    <s v="Sneha"/>
    <s v="Iyer"/>
    <x v="0"/>
    <d v="2024-07-20T00:00:00"/>
    <n v="177"/>
    <x v="2"/>
    <n v="3.7"/>
    <n v="401"/>
    <s v="Excellent wildlife view"/>
    <m/>
    <s v="good"/>
    <s v="long"/>
    <s v="Pho"/>
    <s v="IYER"/>
    <n v="5"/>
    <m/>
    <m/>
    <n v="4"/>
    <s v="iyer"/>
    <s v="sneha"/>
    <x v="0"/>
    <n v="124"/>
  </r>
  <r>
    <n v="1169"/>
    <s v="Aditi"/>
    <s v="Sharma"/>
    <x v="3"/>
    <d v="2024-01-13T00:00:00"/>
    <n v="46"/>
    <x v="1"/>
    <n v="4.3"/>
    <n v="448"/>
    <s v="Very enjoyable"/>
    <m/>
    <s v="good"/>
    <s v="medium"/>
    <s v="Bir"/>
    <s v="SHARMA"/>
    <n v="5"/>
    <m/>
    <m/>
    <n v="4"/>
    <s v="sharma"/>
    <s v="aditi"/>
    <x v="4"/>
    <n v="126"/>
  </r>
  <r>
    <n v="1170"/>
    <s v="Kiran"/>
    <s v="Nair"/>
    <x v="5"/>
    <d v="2024-06-05T00:00:00"/>
    <n v="185"/>
    <x v="3"/>
    <n v="3.6"/>
    <n v="462"/>
    <s v="Excellent wildlife view"/>
    <m/>
    <s v="good"/>
    <s v="very long"/>
    <s v="Boa"/>
    <s v="NAIR"/>
    <n v="5"/>
    <m/>
    <m/>
    <n v="4"/>
    <s v="nair"/>
    <s v="kiran"/>
    <x v="7"/>
    <n v="130"/>
  </r>
  <r>
    <n v="1171"/>
    <s v="Divya"/>
    <s v="Mehta"/>
    <x v="4"/>
    <d v="2024-10-16T00:00:00"/>
    <n v="222"/>
    <x v="1"/>
    <n v="4.3"/>
    <n v="114"/>
    <s v="Could be cleaner"/>
    <m/>
    <s v="good"/>
    <s v="very long"/>
    <s v="Cam"/>
    <s v="MEHTA"/>
    <n v="5"/>
    <m/>
    <m/>
    <n v="4"/>
    <s v="mehta"/>
    <s v="divya"/>
    <x v="6"/>
    <n v="131"/>
  </r>
  <r>
    <n v="1172"/>
    <s v="Divya"/>
    <s v="Reddy"/>
    <x v="1"/>
    <d v="2024-08-21T00:00:00"/>
    <n v="26"/>
    <x v="1"/>
    <n v="4.5"/>
    <n v="296"/>
    <s v="Good guide support"/>
    <m/>
    <s v="good"/>
    <s v="short"/>
    <s v="Saf"/>
    <s v="REDDY"/>
    <n v="5"/>
    <m/>
    <m/>
    <n v="5"/>
    <s v="reddy"/>
    <s v="divya"/>
    <x v="4"/>
    <n v="133"/>
  </r>
  <r>
    <n v="1173"/>
    <s v="Kiran"/>
    <s v="Mehta"/>
    <x v="1"/>
    <d v="2024-02-29T00:00:00"/>
    <n v="166"/>
    <x v="0"/>
    <n v="4.2"/>
    <n v="392"/>
    <s v="Average service"/>
    <m/>
    <s v="good"/>
    <s v="long"/>
    <s v="Saf"/>
    <s v="MEHTA"/>
    <n v="5"/>
    <m/>
    <m/>
    <n v="4"/>
    <s v="mehta"/>
    <s v="kiran"/>
    <x v="3"/>
    <n v="136"/>
  </r>
  <r>
    <n v="1174"/>
    <s v="Divya"/>
    <s v="Iyer"/>
    <x v="3"/>
    <d v="2024-02-07T00:00:00"/>
    <n v="100"/>
    <x v="3"/>
    <n v="3.5"/>
    <n v="264"/>
    <s v="Peaceful environment"/>
    <m/>
    <s v="good"/>
    <s v="long"/>
    <s v="Bir"/>
    <s v="IYER"/>
    <n v="5"/>
    <m/>
    <m/>
    <n v="4"/>
    <s v="iyer"/>
    <s v="divya"/>
    <x v="2"/>
    <n v="136"/>
  </r>
  <r>
    <n v="1175"/>
    <s v="Kiran"/>
    <s v="Menon"/>
    <x v="0"/>
    <d v="2024-05-13T00:00:00"/>
    <n v="64"/>
    <x v="0"/>
    <n v="4.8"/>
    <n v="441"/>
    <s v="Very enjoyable"/>
    <m/>
    <s v="good"/>
    <s v="medium"/>
    <s v="Pho"/>
    <s v="MENON"/>
    <n v="5"/>
    <m/>
    <m/>
    <n v="5"/>
    <s v="menon"/>
    <s v="kiran"/>
    <x v="4"/>
    <n v="139"/>
  </r>
  <r>
    <n v="1176"/>
    <s v="Arjun"/>
    <s v="Singh"/>
    <x v="4"/>
    <d v="2024-01-27T00:00:00"/>
    <n v="54"/>
    <x v="0"/>
    <n v="4.3"/>
    <n v="447"/>
    <s v="Peaceful environment"/>
    <m/>
    <s v="good"/>
    <s v="medium"/>
    <s v="Cam"/>
    <s v="SINGH"/>
    <n v="5"/>
    <m/>
    <m/>
    <n v="4"/>
    <s v="singh"/>
    <s v="arjun"/>
    <x v="0"/>
    <n v="140"/>
  </r>
  <r>
    <n v="1177"/>
    <s v="Rahul"/>
    <s v="Sharma"/>
    <x v="2"/>
    <d v="2024-02-18T00:00:00"/>
    <n v="223"/>
    <x v="1"/>
    <n v="3.9"/>
    <n v="209"/>
    <s v="Very enjoyable"/>
    <m/>
    <s v="good"/>
    <s v="very long"/>
    <s v="Hik"/>
    <s v="SHARMA"/>
    <n v="5"/>
    <m/>
    <m/>
    <n v="4"/>
    <s v="sharma"/>
    <s v="rahul"/>
    <x v="2"/>
    <n v="141"/>
  </r>
  <r>
    <n v="1178"/>
    <s v="Kiran"/>
    <s v="Menon"/>
    <x v="5"/>
    <d v="2024-03-19T00:00:00"/>
    <n v="103"/>
    <x v="1"/>
    <n v="2.8"/>
    <n v="474"/>
    <s v="Saw rare species"/>
    <m/>
    <s v="good"/>
    <s v="long"/>
    <s v="Boa"/>
    <s v="MENON"/>
    <n v="5"/>
    <m/>
    <m/>
    <n v="3"/>
    <s v="menon"/>
    <s v="kiran"/>
    <x v="6"/>
    <n v="148"/>
  </r>
  <r>
    <n v="1179"/>
    <s v="Kiran"/>
    <s v="Verma"/>
    <x v="5"/>
    <d v="2024-05-07T00:00:00"/>
    <n v="168"/>
    <x v="2"/>
    <n v="3.8"/>
    <n v="191"/>
    <s v="Very enjoyable"/>
    <m/>
    <s v="good"/>
    <s v="long"/>
    <s v="Boa"/>
    <s v="VERMA"/>
    <n v="5"/>
    <m/>
    <m/>
    <n v="4"/>
    <s v="verma"/>
    <s v="kiran"/>
    <x v="4"/>
    <n v="153"/>
  </r>
  <r>
    <n v="1180"/>
    <s v="Anita"/>
    <s v="Patel"/>
    <x v="1"/>
    <d v="2024-10-13T00:00:00"/>
    <n v="121"/>
    <x v="2"/>
    <n v="3.4"/>
    <n v="433"/>
    <s v="Could be cleaner"/>
    <m/>
    <s v="good"/>
    <s v="long"/>
    <s v="Saf"/>
    <s v="PATEL"/>
    <n v="5"/>
    <m/>
    <m/>
    <n v="3"/>
    <s v="patel"/>
    <s v="anita"/>
    <x v="3"/>
    <n v="162"/>
  </r>
  <r>
    <n v="1181"/>
    <s v="Vikram"/>
    <s v="Singh"/>
    <x v="5"/>
    <d v="2024-11-05T00:00:00"/>
    <n v="124"/>
    <x v="3"/>
    <n v="2.9"/>
    <n v="389"/>
    <s v="Good guide support"/>
    <m/>
    <s v="good"/>
    <s v="long"/>
    <s v="Boa"/>
    <s v="SINGH"/>
    <n v="6"/>
    <m/>
    <m/>
    <n v="3"/>
    <s v="singh"/>
    <s v="vikram"/>
    <x v="4"/>
    <n v="166"/>
  </r>
  <r>
    <n v="1182"/>
    <s v="Aditi"/>
    <s v="Sharma"/>
    <x v="2"/>
    <d v="2024-11-11T00:00:00"/>
    <n v="181"/>
    <x v="0"/>
    <n v="3.6"/>
    <n v="302"/>
    <s v="Too crowded"/>
    <m/>
    <s v="good"/>
    <s v="very long"/>
    <s v="Hik"/>
    <s v="SHARMA"/>
    <n v="5"/>
    <m/>
    <m/>
    <n v="4"/>
    <s v="sharma"/>
    <s v="aditi"/>
    <x v="5"/>
    <n v="166"/>
  </r>
  <r>
    <n v="1183"/>
    <s v="Sneha"/>
    <s v="Nair"/>
    <x v="4"/>
    <d v="2024-02-18T00:00:00"/>
    <n v="57"/>
    <x v="2"/>
    <n v="4.2"/>
    <n v="291"/>
    <s v="Amazing experience"/>
    <m/>
    <s v="good"/>
    <s v="medium"/>
    <s v="Cam"/>
    <s v="NAIR"/>
    <n v="5"/>
    <m/>
    <m/>
    <n v="4"/>
    <s v="nair"/>
    <s v="sneha"/>
    <x v="2"/>
    <n v="168"/>
  </r>
  <r>
    <n v="1184"/>
    <s v="Sneha"/>
    <s v="Das"/>
    <x v="0"/>
    <d v="2024-06-11T00:00:00"/>
    <n v="57"/>
    <x v="2"/>
    <n v="2.6"/>
    <n v="407"/>
    <s v="Peaceful environment"/>
    <m/>
    <s v="good"/>
    <s v="medium"/>
    <s v="Pho"/>
    <s v="DAS"/>
    <n v="5"/>
    <m/>
    <m/>
    <n v="3"/>
    <s v="das"/>
    <s v="sneha"/>
    <x v="5"/>
    <n v="170"/>
  </r>
  <r>
    <n v="1185"/>
    <s v="Arjun"/>
    <s v="Verma"/>
    <x v="4"/>
    <d v="2024-02-05T00:00:00"/>
    <n v="126"/>
    <x v="3"/>
    <n v="3.9"/>
    <n v="429"/>
    <s v="Peaceful environment"/>
    <m/>
    <s v="good"/>
    <s v="long"/>
    <s v="Cam"/>
    <s v="VERMA"/>
    <n v="5"/>
    <m/>
    <m/>
    <n v="4"/>
    <s v="verma"/>
    <s v="arjun"/>
    <x v="1"/>
    <n v="173"/>
  </r>
  <r>
    <n v="1186"/>
    <s v="Priya"/>
    <s v="Menon"/>
    <x v="4"/>
    <d v="2024-12-28T00:00:00"/>
    <n v="208"/>
    <x v="0"/>
    <n v="4"/>
    <n v="267"/>
    <s v="Saw rare species"/>
    <m/>
    <s v="good"/>
    <s v="very long"/>
    <s v="Cam"/>
    <s v="MENON"/>
    <n v="5"/>
    <m/>
    <m/>
    <n v="4"/>
    <s v="menon"/>
    <s v="priya"/>
    <x v="6"/>
    <n v="177"/>
  </r>
  <r>
    <n v="1187"/>
    <s v="Sneha"/>
    <s v="Patel"/>
    <x v="3"/>
    <d v="2024-12-20T00:00:00"/>
    <n v="102"/>
    <x v="1"/>
    <n v="3.7"/>
    <n v="117"/>
    <s v="Peaceful environment"/>
    <m/>
    <s v="good"/>
    <s v="long"/>
    <s v="Bir"/>
    <s v="PATEL"/>
    <n v="5"/>
    <m/>
    <m/>
    <n v="4"/>
    <s v="patel"/>
    <s v="sneha"/>
    <x v="7"/>
    <n v="181"/>
  </r>
  <r>
    <n v="1188"/>
    <s v="Aditi"/>
    <s v="Reddy"/>
    <x v="4"/>
    <d v="2024-05-20T00:00:00"/>
    <n v="140"/>
    <x v="0"/>
    <n v="3.7"/>
    <n v="238"/>
    <s v="Too crowded"/>
    <m/>
    <s v="good"/>
    <s v="long"/>
    <s v="Cam"/>
    <s v="REDDY"/>
    <n v="5"/>
    <m/>
    <m/>
    <n v="4"/>
    <s v="reddy"/>
    <s v="aditi"/>
    <x v="5"/>
    <n v="185"/>
  </r>
  <r>
    <n v="1189"/>
    <s v="Sanjay"/>
    <s v="Verma"/>
    <x v="0"/>
    <d v="2024-04-21T00:00:00"/>
    <n v="24"/>
    <x v="2"/>
    <n v="4.0999999999999996"/>
    <n v="481"/>
    <s v="Saw rare species"/>
    <m/>
    <s v="good"/>
    <s v="short"/>
    <s v="Pho"/>
    <s v="VERMA"/>
    <n v="6"/>
    <m/>
    <m/>
    <n v="4"/>
    <s v="verma"/>
    <s v="sanjay"/>
    <x v="2"/>
    <n v="202"/>
  </r>
  <r>
    <n v="1190"/>
    <s v="Anita"/>
    <s v="Das"/>
    <x v="0"/>
    <d v="2024-10-15T00:00:00"/>
    <n v="212"/>
    <x v="0"/>
    <n v="2.8"/>
    <n v="240"/>
    <s v="Good guide support"/>
    <m/>
    <s v="good"/>
    <s v="very long"/>
    <s v="Pho"/>
    <s v="DAS"/>
    <n v="5"/>
    <m/>
    <m/>
    <n v="3"/>
    <s v="das"/>
    <s v="anita"/>
    <x v="6"/>
    <n v="208"/>
  </r>
  <r>
    <n v="1191"/>
    <s v="Sanjay"/>
    <s v="Singh"/>
    <x v="0"/>
    <d v="2024-09-14T00:00:00"/>
    <n v="131"/>
    <x v="1"/>
    <n v="2.8"/>
    <n v="347"/>
    <s v="Too crowded"/>
    <m/>
    <s v="good"/>
    <s v="long"/>
    <s v="Pho"/>
    <s v="SINGH"/>
    <n v="6"/>
    <m/>
    <m/>
    <n v="3"/>
    <s v="singh"/>
    <s v="sanjay"/>
    <x v="0"/>
    <n v="212"/>
  </r>
  <r>
    <n v="1192"/>
    <s v="Vikram"/>
    <s v="Singh"/>
    <x v="4"/>
    <d v="2024-06-13T00:00:00"/>
    <n v="33"/>
    <x v="1"/>
    <n v="4.5"/>
    <n v="264"/>
    <s v="Saw rare species"/>
    <m/>
    <s v="good"/>
    <s v="medium"/>
    <s v="Cam"/>
    <s v="SINGH"/>
    <n v="6"/>
    <m/>
    <m/>
    <n v="5"/>
    <s v="singh"/>
    <s v="vikram"/>
    <x v="1"/>
    <n v="213"/>
  </r>
  <r>
    <n v="1193"/>
    <s v="Rahul"/>
    <s v="Nair"/>
    <x v="0"/>
    <d v="2024-05-12T00:00:00"/>
    <n v="116"/>
    <x v="1"/>
    <n v="4.0999999999999996"/>
    <n v="214"/>
    <s v="No comments"/>
    <m/>
    <s v="good"/>
    <s v="long"/>
    <s v="Pho"/>
    <s v="NAIR"/>
    <n v="5"/>
    <m/>
    <m/>
    <n v="4"/>
    <s v="nair"/>
    <s v="rahul"/>
    <x v="3"/>
    <n v="215"/>
  </r>
  <r>
    <n v="1194"/>
    <s v="Kiran"/>
    <s v="Sharma"/>
    <x v="5"/>
    <d v="2024-10-28T00:00:00"/>
    <n v="217"/>
    <x v="3"/>
    <n v="4.2"/>
    <n v="260"/>
    <s v="Amazing experience"/>
    <m/>
    <s v="good"/>
    <s v="very long"/>
    <s v="Boa"/>
    <s v="SHARMA"/>
    <n v="5"/>
    <m/>
    <m/>
    <n v="4"/>
    <s v="sharma"/>
    <s v="kiran"/>
    <x v="0"/>
    <n v="216"/>
  </r>
  <r>
    <n v="1195"/>
    <s v="Rahul"/>
    <s v="Mehta"/>
    <x v="0"/>
    <d v="2024-07-03T00:00:00"/>
    <n v="232"/>
    <x v="3"/>
    <n v="4.7"/>
    <n v="147"/>
    <s v="Average service"/>
    <m/>
    <s v="good"/>
    <s v="very long"/>
    <s v="Pho"/>
    <s v="MEHTA"/>
    <n v="5"/>
    <m/>
    <m/>
    <n v="5"/>
    <s v="mehta"/>
    <s v="rahul"/>
    <x v="4"/>
    <n v="217"/>
  </r>
  <r>
    <n v="1196"/>
    <s v="Sneha"/>
    <s v="Patel"/>
    <x v="3"/>
    <d v="2024-12-12T00:00:00"/>
    <n v="228"/>
    <x v="1"/>
    <n v="4.7"/>
    <n v="283"/>
    <s v="Amazing experience"/>
    <m/>
    <s v="good"/>
    <s v="very long"/>
    <s v="Bir"/>
    <s v="PATEL"/>
    <n v="5"/>
    <m/>
    <m/>
    <n v="5"/>
    <s v="patel"/>
    <s v="sneha"/>
    <x v="3"/>
    <n v="219"/>
  </r>
  <r>
    <n v="1197"/>
    <s v="Vikram"/>
    <s v="Iyer"/>
    <x v="5"/>
    <d v="2024-06-22T00:00:00"/>
    <n v="130"/>
    <x v="1"/>
    <n v="4.5"/>
    <n v="388"/>
    <s v="Amazing experience"/>
    <m/>
    <s v="good"/>
    <s v="long"/>
    <s v="Boa"/>
    <s v="IYER"/>
    <n v="6"/>
    <m/>
    <m/>
    <n v="5"/>
    <s v="iyer"/>
    <s v="vikram"/>
    <x v="3"/>
    <n v="222"/>
  </r>
  <r>
    <n v="1198"/>
    <s v="Sanjay"/>
    <s v="Menon"/>
    <x v="3"/>
    <d v="2024-04-06T00:00:00"/>
    <n v="136"/>
    <x v="0"/>
    <n v="2.9"/>
    <n v="418"/>
    <s v="No comments"/>
    <m/>
    <s v="good"/>
    <s v="long"/>
    <s v="Bir"/>
    <s v="MENON"/>
    <n v="6"/>
    <m/>
    <m/>
    <n v="3"/>
    <s v="menon"/>
    <s v="sanjay"/>
    <x v="7"/>
    <n v="223"/>
  </r>
  <r>
    <n v="1199"/>
    <s v="Kiran"/>
    <s v="Nair"/>
    <x v="4"/>
    <d v="2024-03-27T00:00:00"/>
    <n v="173"/>
    <x v="3"/>
    <n v="2.6"/>
    <n v="236"/>
    <s v="Amazing experience"/>
    <m/>
    <s v="good"/>
    <s v="long"/>
    <s v="Cam"/>
    <s v="NAIR"/>
    <n v="5"/>
    <m/>
    <m/>
    <n v="3"/>
    <s v="nair"/>
    <s v="kiran"/>
    <x v="4"/>
    <n v="226"/>
  </r>
  <r>
    <n v="1200"/>
    <s v="Rahul"/>
    <s v="Mehta"/>
    <x v="5"/>
    <d v="2024-10-17T00:00:00"/>
    <n v="133"/>
    <x v="2"/>
    <n v="2.9"/>
    <n v="139"/>
    <s v="Good guide support"/>
    <m/>
    <s v="good"/>
    <s v="long"/>
    <s v="Boa"/>
    <s v="MEHTA"/>
    <n v="5"/>
    <m/>
    <m/>
    <n v="3"/>
    <s v="mehta"/>
    <s v="rahul"/>
    <x v="2"/>
    <n v="228"/>
  </r>
  <r>
    <n v="1201"/>
    <s v="Vikram"/>
    <s v="Mehta"/>
    <x v="2"/>
    <d v="2024-10-27T00:00:00"/>
    <n v="48"/>
    <x v="1"/>
    <n v="4.9000000000000004"/>
    <n v="255"/>
    <s v="Excellent wildlife view"/>
    <m/>
    <s v="good"/>
    <s v="medium"/>
    <s v="Hik"/>
    <s v="MEHTA"/>
    <n v="6"/>
    <m/>
    <m/>
    <n v="5"/>
    <s v="mehta"/>
    <s v="vikram"/>
    <x v="3"/>
    <n v="228"/>
  </r>
  <r>
    <n v="1202"/>
    <s v="Rahul"/>
    <s v="Mehta"/>
    <x v="3"/>
    <d v="2024-07-05T00:00:00"/>
    <n v="119"/>
    <x v="0"/>
    <n v="2.6"/>
    <n v="199"/>
    <s v="Could be cleaner"/>
    <m/>
    <s v="good"/>
    <s v="long"/>
    <s v="Bir"/>
    <s v="MEHTA"/>
    <n v="5"/>
    <m/>
    <m/>
    <n v="3"/>
    <s v="mehta"/>
    <s v="rahul"/>
    <x v="7"/>
    <n v="229"/>
  </r>
  <r>
    <n v="1203"/>
    <s v="Kiran"/>
    <s v="Verma"/>
    <x v="5"/>
    <d v="2024-04-21T00:00:00"/>
    <n v="136"/>
    <x v="3"/>
    <n v="5"/>
    <n v="229"/>
    <s v="Excellent wildlife view"/>
    <m/>
    <s v="good"/>
    <s v="long"/>
    <s v="Boa"/>
    <s v="VERMA"/>
    <n v="5"/>
    <m/>
    <m/>
    <n v="5"/>
    <s v="verma"/>
    <s v="kiran"/>
    <x v="4"/>
    <n v="232"/>
  </r>
  <r>
    <n v="1204"/>
    <s v="Aditi"/>
    <s v="Patel"/>
    <x v="0"/>
    <d v="2024-04-23T00:00:00"/>
    <n v="36"/>
    <x v="1"/>
    <n v="4.5999999999999996"/>
    <n v="136"/>
    <s v="Average service"/>
    <m/>
    <s v="good"/>
    <s v="medium"/>
    <s v="Pho"/>
    <s v="PATEL"/>
    <n v="5"/>
    <m/>
    <m/>
    <n v="5"/>
    <s v="patel"/>
    <s v="aditi"/>
    <x v="3"/>
    <n v="233"/>
  </r>
  <r>
    <n v="1205"/>
    <s v="Sneha"/>
    <s v="Patel"/>
    <x v="1"/>
    <d v="2024-02-06T00:00:00"/>
    <n v="214"/>
    <x v="0"/>
    <n v="3.5"/>
    <n v="179"/>
    <s v="Very enjoyable"/>
    <m/>
    <s v="good"/>
    <s v="very long"/>
    <s v="Saf"/>
    <s v="PATEL"/>
    <n v="5"/>
    <m/>
    <m/>
    <n v="4"/>
    <s v="patel"/>
    <s v="sneha"/>
    <x v="5"/>
    <n v="25"/>
  </r>
  <r>
    <n v="1206"/>
    <s v="Anita"/>
    <s v="Menon"/>
    <x v="1"/>
    <d v="2024-09-07T00:00:00"/>
    <n v="201"/>
    <x v="3"/>
    <n v="3.7"/>
    <n v="278"/>
    <s v="Very enjoyable"/>
    <m/>
    <s v="good"/>
    <s v="very long"/>
    <s v="Saf"/>
    <s v="MENON"/>
    <n v="5"/>
    <m/>
    <m/>
    <n v="4"/>
    <s v="menon"/>
    <s v="anita"/>
    <x v="0"/>
    <n v="30"/>
  </r>
  <r>
    <n v="1207"/>
    <s v="Rahul"/>
    <s v="Singh"/>
    <x v="4"/>
    <d v="2024-01-13T00:00:00"/>
    <n v="237"/>
    <x v="3"/>
    <n v="3.6"/>
    <n v="136"/>
    <s v="Very enjoyable"/>
    <m/>
    <s v="good"/>
    <s v="very long"/>
    <s v="Cam"/>
    <s v="SINGH"/>
    <n v="5"/>
    <m/>
    <m/>
    <n v="4"/>
    <s v="singh"/>
    <s v="rahul"/>
    <x v="5"/>
    <n v="35"/>
  </r>
  <r>
    <n v="1208"/>
    <s v="Sanjay"/>
    <s v="Reddy"/>
    <x v="0"/>
    <d v="2024-10-09T00:00:00"/>
    <n v="197"/>
    <x v="2"/>
    <n v="2.9"/>
    <n v="278"/>
    <s v="No comments"/>
    <m/>
    <s v="good"/>
    <s v="very long"/>
    <s v="Pho"/>
    <s v="REDDY"/>
    <n v="6"/>
    <m/>
    <m/>
    <n v="3"/>
    <s v="reddy"/>
    <s v="sanjay"/>
    <x v="2"/>
    <n v="38"/>
  </r>
  <r>
    <n v="1209"/>
    <s v="Arjun"/>
    <s v="Menon"/>
    <x v="5"/>
    <d v="2024-04-03T00:00:00"/>
    <n v="185"/>
    <x v="1"/>
    <n v="4.2"/>
    <n v="174"/>
    <s v="Peaceful environment"/>
    <m/>
    <s v="good"/>
    <s v="very long"/>
    <s v="Boa"/>
    <s v="MENON"/>
    <n v="5"/>
    <m/>
    <m/>
    <n v="4"/>
    <s v="menon"/>
    <s v="arjun"/>
    <x v="5"/>
    <n v="45"/>
  </r>
  <r>
    <n v="1210"/>
    <s v="Kiran"/>
    <s v="Mehta"/>
    <x v="4"/>
    <d v="2024-10-19T00:00:00"/>
    <n v="38"/>
    <x v="1"/>
    <n v="3.6"/>
    <n v="145"/>
    <s v="Average service"/>
    <m/>
    <s v="good"/>
    <s v="medium"/>
    <s v="Cam"/>
    <s v="MEHTA"/>
    <n v="5"/>
    <m/>
    <m/>
    <n v="4"/>
    <s v="mehta"/>
    <s v="kiran"/>
    <x v="3"/>
    <n v="59"/>
  </r>
  <r>
    <n v="1211"/>
    <s v="Arjun"/>
    <s v="Sharma"/>
    <x v="1"/>
    <d v="2024-01-01T00:00:00"/>
    <n v="69"/>
    <x v="2"/>
    <n v="3.4"/>
    <n v="111"/>
    <s v="Good guide support"/>
    <m/>
    <s v="good"/>
    <s v="medium"/>
    <s v="Saf"/>
    <s v="SHARMA"/>
    <n v="5"/>
    <m/>
    <m/>
    <n v="3"/>
    <s v="sharma"/>
    <s v="arjun"/>
    <x v="4"/>
    <n v="60"/>
  </r>
  <r>
    <n v="1212"/>
    <s v="Sanjay"/>
    <s v="Das"/>
    <x v="1"/>
    <d v="2024-05-13T00:00:00"/>
    <n v="45"/>
    <x v="3"/>
    <n v="3.6"/>
    <n v="370"/>
    <s v="Too crowded"/>
    <m/>
    <s v="good"/>
    <s v="medium"/>
    <s v="Saf"/>
    <s v="DAS"/>
    <n v="6"/>
    <m/>
    <m/>
    <n v="4"/>
    <s v="das"/>
    <s v="sanjay"/>
    <x v="7"/>
    <n v="63"/>
  </r>
  <r>
    <n v="1213"/>
    <s v="Kiran"/>
    <s v="Iyer"/>
    <x v="1"/>
    <d v="2024-06-28T00:00:00"/>
    <n v="157"/>
    <x v="3"/>
    <n v="2.9"/>
    <n v="276"/>
    <s v="Excellent wildlife view"/>
    <m/>
    <s v="good"/>
    <s v="long"/>
    <s v="Saf"/>
    <s v="IYER"/>
    <n v="5"/>
    <m/>
    <m/>
    <n v="3"/>
    <s v="iyer"/>
    <s v="kiran"/>
    <x v="2"/>
    <n v="66"/>
  </r>
  <r>
    <n v="1214"/>
    <s v="Divya"/>
    <s v="Nair"/>
    <x v="5"/>
    <d v="2024-03-15T00:00:00"/>
    <n v="138"/>
    <x v="2"/>
    <n v="3.3"/>
    <n v="358"/>
    <s v="Average service"/>
    <m/>
    <s v="good"/>
    <s v="long"/>
    <s v="Boa"/>
    <s v="NAIR"/>
    <n v="5"/>
    <m/>
    <m/>
    <n v="3"/>
    <s v="nair"/>
    <s v="divya"/>
    <x v="4"/>
    <n v="69"/>
  </r>
  <r>
    <n v="1215"/>
    <s v="Vikram"/>
    <s v="Singh"/>
    <x v="4"/>
    <d v="2024-05-20T00:00:00"/>
    <n v="170"/>
    <x v="3"/>
    <n v="3.8"/>
    <n v="114"/>
    <s v="No comments"/>
    <m/>
    <s v="good"/>
    <s v="long"/>
    <s v="Cam"/>
    <s v="SINGH"/>
    <n v="6"/>
    <m/>
    <m/>
    <n v="4"/>
    <s v="singh"/>
    <s v="vikram"/>
    <x v="3"/>
    <n v="84"/>
  </r>
  <r>
    <n v="1216"/>
    <s v="Vikram"/>
    <s v="Singh"/>
    <x v="4"/>
    <d v="2024-12-31T00:00:00"/>
    <n v="30"/>
    <x v="3"/>
    <n v="3.7"/>
    <n v="437"/>
    <s v="Excellent wildlife view"/>
    <m/>
    <s v="good"/>
    <s v="medium"/>
    <s v="Cam"/>
    <s v="SINGH"/>
    <n v="6"/>
    <m/>
    <m/>
    <n v="4"/>
    <s v="singh"/>
    <s v="vikram"/>
    <x v="1"/>
    <n v="85"/>
  </r>
  <r>
    <n v="1217"/>
    <s v="Rahul"/>
    <s v="Mehta"/>
    <x v="2"/>
    <d v="2024-03-17T00:00:00"/>
    <n v="195"/>
    <x v="0"/>
    <n v="2.9"/>
    <n v="182"/>
    <s v="Excellent wildlife view"/>
    <m/>
    <s v="good"/>
    <s v="very long"/>
    <s v="Hik"/>
    <s v="MEHTA"/>
    <n v="5"/>
    <m/>
    <m/>
    <n v="3"/>
    <s v="mehta"/>
    <s v="rahul"/>
    <x v="5"/>
    <n v="90"/>
  </r>
  <r>
    <n v="1218"/>
    <s v="Sanjay"/>
    <s v="Reddy"/>
    <x v="0"/>
    <d v="2024-10-01T00:00:00"/>
    <n v="213"/>
    <x v="1"/>
    <n v="4.4000000000000004"/>
    <n v="204"/>
    <s v="Peaceful environment"/>
    <m/>
    <s v="good"/>
    <s v="very long"/>
    <s v="Pho"/>
    <s v="REDDY"/>
    <n v="6"/>
    <m/>
    <m/>
    <n v="4"/>
    <s v="reddy"/>
    <s v="sanjay"/>
    <x v="7"/>
    <n v="90"/>
  </r>
  <r>
    <n v="1219"/>
    <s v="Vikram"/>
    <s v="Iyer"/>
    <x v="0"/>
    <d v="2024-11-11T00:00:00"/>
    <n v="140"/>
    <x v="1"/>
    <n v="4.9000000000000004"/>
    <n v="306"/>
    <s v="Average service"/>
    <m/>
    <s v="good"/>
    <s v="long"/>
    <s v="Pho"/>
    <s v="IYER"/>
    <n v="6"/>
    <m/>
    <m/>
    <n v="5"/>
    <s v="iyer"/>
    <s v="vikram"/>
    <x v="1"/>
    <n v="93"/>
  </r>
  <r>
    <n v="1220"/>
    <s v="Priya"/>
    <s v="Verma"/>
    <x v="4"/>
    <d v="2024-04-25T00:00:00"/>
    <n v="60"/>
    <x v="1"/>
    <n v="4.0999999999999996"/>
    <n v="482"/>
    <s v="Saw rare species"/>
    <m/>
    <s v="good"/>
    <s v="medium"/>
    <s v="Cam"/>
    <s v="VERMA"/>
    <n v="5"/>
    <m/>
    <m/>
    <n v="4"/>
    <s v="verma"/>
    <s v="priya"/>
    <x v="4"/>
    <n v="94"/>
  </r>
  <r>
    <n v="1221"/>
    <s v="Sneha"/>
    <s v="Mehta"/>
    <x v="5"/>
    <d v="2024-09-18T00:00:00"/>
    <n v="240"/>
    <x v="3"/>
    <n v="3.7"/>
    <n v="142"/>
    <s v="Very enjoyable"/>
    <m/>
    <s v="good"/>
    <s v="very long"/>
    <s v="Boa"/>
    <s v="MEHTA"/>
    <n v="5"/>
    <m/>
    <m/>
    <n v="4"/>
    <s v="mehta"/>
    <s v="sneha"/>
    <x v="2"/>
    <n v="94"/>
  </r>
  <r>
    <n v="1222"/>
    <s v="Sneha"/>
    <s v="Nair"/>
    <x v="1"/>
    <d v="2024-10-12T00:00:00"/>
    <n v="93"/>
    <x v="3"/>
    <n v="4.7"/>
    <n v="321"/>
    <s v="Good guide support"/>
    <m/>
    <s v="good"/>
    <s v="long"/>
    <s v="Saf"/>
    <s v="NAIR"/>
    <n v="5"/>
    <m/>
    <m/>
    <n v="5"/>
    <s v="nair"/>
    <s v="sneha"/>
    <x v="0"/>
    <n v="97"/>
  </r>
  <r>
    <n v="1223"/>
    <s v="Priya"/>
    <s v="Nair"/>
    <x v="1"/>
    <d v="2024-10-15T00:00:00"/>
    <n v="219"/>
    <x v="2"/>
    <n v="3.2"/>
    <n v="456"/>
    <s v="Excellent wildlife view"/>
    <m/>
    <s v="good"/>
    <s v="very long"/>
    <s v="Saf"/>
    <s v="NAIR"/>
    <n v="5"/>
    <m/>
    <m/>
    <n v="3"/>
    <s v="nair"/>
    <s v="priya"/>
    <x v="2"/>
    <n v="99"/>
  </r>
  <r>
    <n v="1224"/>
    <s v="Aditi"/>
    <s v="Reddy"/>
    <x v="3"/>
    <d v="2024-09-26T00:00:00"/>
    <n v="219"/>
    <x v="0"/>
    <n v="2.5"/>
    <n v="254"/>
    <s v="Saw rare species"/>
    <m/>
    <s v="neutral"/>
    <s v="very long"/>
    <s v="Bir"/>
    <s v="REDDY"/>
    <n v="5"/>
    <m/>
    <m/>
    <n v="3"/>
    <s v="reddy"/>
    <s v="aditi"/>
    <x v="7"/>
    <n v="101"/>
  </r>
  <r>
    <n v="1225"/>
    <s v="Kiran"/>
    <s v="Iyer"/>
    <x v="1"/>
    <d v="2024-11-14T00:00:00"/>
    <n v="59"/>
    <x v="1"/>
    <n v="3.5"/>
    <n v="288"/>
    <s v="Good guide support"/>
    <m/>
    <s v="good"/>
    <s v="medium"/>
    <s v="Saf"/>
    <s v="IYER"/>
    <n v="5"/>
    <m/>
    <m/>
    <n v="4"/>
    <s v="iyer"/>
    <s v="kiran"/>
    <x v="6"/>
    <n v="110"/>
  </r>
  <r>
    <n v="1226"/>
    <s v="Aditi"/>
    <s v="Nair"/>
    <x v="4"/>
    <d v="2024-11-22T00:00:00"/>
    <n v="164"/>
    <x v="1"/>
    <n v="3.9"/>
    <n v="132"/>
    <s v="Excellent wildlife view"/>
    <m/>
    <s v="good"/>
    <s v="long"/>
    <s v="Cam"/>
    <s v="NAIR"/>
    <n v="5"/>
    <m/>
    <m/>
    <n v="4"/>
    <s v="nair"/>
    <s v="aditi"/>
    <x v="0"/>
    <n v="117"/>
  </r>
  <r>
    <n v="1227"/>
    <s v="Vikram"/>
    <s v="Menon"/>
    <x v="4"/>
    <d v="2024-06-27T00:00:00"/>
    <n v="66"/>
    <x v="0"/>
    <n v="4.3"/>
    <n v="360"/>
    <s v="No comments"/>
    <m/>
    <s v="good"/>
    <s v="medium"/>
    <s v="Cam"/>
    <s v="MENON"/>
    <n v="6"/>
    <m/>
    <m/>
    <n v="4"/>
    <s v="menon"/>
    <s v="vikram"/>
    <x v="5"/>
    <n v="118"/>
  </r>
  <r>
    <n v="1228"/>
    <s v="Rahul"/>
    <s v="Das"/>
    <x v="1"/>
    <d v="2024-07-18T00:00:00"/>
    <n v="163"/>
    <x v="2"/>
    <n v="2.7"/>
    <n v="305"/>
    <s v="Peaceful environment"/>
    <m/>
    <s v="good"/>
    <s v="long"/>
    <s v="Saf"/>
    <s v="DAS"/>
    <n v="5"/>
    <m/>
    <m/>
    <n v="3"/>
    <s v="das"/>
    <s v="rahul"/>
    <x v="0"/>
    <n v="123"/>
  </r>
  <r>
    <n v="1229"/>
    <s v="Sanjay"/>
    <s v="Patel"/>
    <x v="5"/>
    <d v="2024-04-01T00:00:00"/>
    <n v="94"/>
    <x v="0"/>
    <n v="4.2"/>
    <n v="394"/>
    <s v="Peaceful environment"/>
    <m/>
    <s v="good"/>
    <s v="long"/>
    <s v="Boa"/>
    <s v="PATEL"/>
    <n v="6"/>
    <m/>
    <m/>
    <n v="4"/>
    <s v="patel"/>
    <s v="sanjay"/>
    <x v="3"/>
    <n v="127"/>
  </r>
  <r>
    <n v="1230"/>
    <s v="Aditi"/>
    <s v="Sharma"/>
    <x v="3"/>
    <d v="2024-01-15T00:00:00"/>
    <n v="110"/>
    <x v="0"/>
    <n v="4.5999999999999996"/>
    <n v="146"/>
    <s v="Peaceful environment"/>
    <m/>
    <s v="good"/>
    <s v="long"/>
    <s v="Bir"/>
    <s v="SHARMA"/>
    <n v="5"/>
    <m/>
    <m/>
    <n v="5"/>
    <s v="sharma"/>
    <s v="aditi"/>
    <x v="6"/>
    <n v="130"/>
  </r>
  <r>
    <n v="1231"/>
    <s v="Anita"/>
    <s v="Singh"/>
    <x v="1"/>
    <d v="2024-06-23T00:00:00"/>
    <n v="90"/>
    <x v="1"/>
    <n v="2.5"/>
    <n v="158"/>
    <s v="Very enjoyable"/>
    <m/>
    <s v="neutral"/>
    <s v="long"/>
    <s v="Saf"/>
    <s v="SINGH"/>
    <n v="5"/>
    <m/>
    <m/>
    <n v="3"/>
    <s v="singh"/>
    <s v="anita"/>
    <x v="5"/>
    <n v="132"/>
  </r>
  <r>
    <n v="1232"/>
    <s v="Anita"/>
    <s v="Mehta"/>
    <x v="5"/>
    <d v="2024-11-28T00:00:00"/>
    <n v="210"/>
    <x v="3"/>
    <n v="4.5999999999999996"/>
    <n v="212"/>
    <s v="Good guide support"/>
    <m/>
    <s v="good"/>
    <s v="very long"/>
    <s v="Boa"/>
    <s v="MEHTA"/>
    <n v="5"/>
    <m/>
    <m/>
    <n v="5"/>
    <s v="mehta"/>
    <s v="anita"/>
    <x v="0"/>
    <n v="136"/>
  </r>
  <r>
    <n v="1233"/>
    <s v="Arjun"/>
    <s v="Singh"/>
    <x v="4"/>
    <d v="2024-07-13T00:00:00"/>
    <n v="181"/>
    <x v="1"/>
    <n v="3.4"/>
    <n v="463"/>
    <s v="Saw rare species"/>
    <m/>
    <s v="good"/>
    <s v="very long"/>
    <s v="Cam"/>
    <s v="SINGH"/>
    <n v="5"/>
    <m/>
    <m/>
    <n v="3"/>
    <s v="singh"/>
    <s v="arjun"/>
    <x v="5"/>
    <n v="137"/>
  </r>
  <r>
    <n v="1234"/>
    <s v="Anita"/>
    <s v="Verma"/>
    <x v="4"/>
    <d v="2024-08-12T00:00:00"/>
    <n v="217"/>
    <x v="0"/>
    <n v="3.6"/>
    <n v="351"/>
    <s v="Too crowded"/>
    <m/>
    <s v="good"/>
    <s v="very long"/>
    <s v="Cam"/>
    <s v="VERMA"/>
    <n v="5"/>
    <m/>
    <m/>
    <n v="4"/>
    <s v="verma"/>
    <s v="anita"/>
    <x v="0"/>
    <n v="137"/>
  </r>
  <r>
    <n v="1235"/>
    <s v="Divya"/>
    <s v="Reddy"/>
    <x v="1"/>
    <d v="2024-07-19T00:00:00"/>
    <n v="132"/>
    <x v="1"/>
    <n v="4.5"/>
    <n v="357"/>
    <s v="Peaceful environment"/>
    <m/>
    <s v="good"/>
    <s v="long"/>
    <s v="Saf"/>
    <s v="REDDY"/>
    <n v="5"/>
    <m/>
    <m/>
    <n v="5"/>
    <s v="reddy"/>
    <s v="divya"/>
    <x v="0"/>
    <n v="138"/>
  </r>
  <r>
    <n v="1236"/>
    <s v="Anita"/>
    <s v="Mehta"/>
    <x v="4"/>
    <d v="2024-06-20T00:00:00"/>
    <n v="118"/>
    <x v="0"/>
    <n v="3"/>
    <n v="205"/>
    <s v="Peaceful environment"/>
    <m/>
    <s v="good"/>
    <s v="long"/>
    <s v="Cam"/>
    <s v="MEHTA"/>
    <n v="5"/>
    <m/>
    <m/>
    <n v="3"/>
    <s v="mehta"/>
    <s v="anita"/>
    <x v="3"/>
    <n v="140"/>
  </r>
  <r>
    <n v="1237"/>
    <s v="Vikram"/>
    <s v="Iyer"/>
    <x v="5"/>
    <d v="2024-12-21T00:00:00"/>
    <n v="130"/>
    <x v="1"/>
    <n v="4.9000000000000004"/>
    <n v="312"/>
    <s v="Excellent wildlife view"/>
    <m/>
    <s v="good"/>
    <s v="long"/>
    <s v="Boa"/>
    <s v="IYER"/>
    <n v="6"/>
    <m/>
    <m/>
    <n v="5"/>
    <s v="iyer"/>
    <s v="vikram"/>
    <x v="6"/>
    <n v="144"/>
  </r>
  <r>
    <n v="1238"/>
    <s v="Sneha"/>
    <s v="Das"/>
    <x v="5"/>
    <d v="2024-07-04T00:00:00"/>
    <n v="167"/>
    <x v="0"/>
    <n v="2.9"/>
    <n v="285"/>
    <s v="Average service"/>
    <m/>
    <s v="good"/>
    <s v="long"/>
    <s v="Boa"/>
    <s v="DAS"/>
    <n v="5"/>
    <m/>
    <m/>
    <n v="3"/>
    <s v="das"/>
    <s v="sneha"/>
    <x v="0"/>
    <n v="145"/>
  </r>
  <r>
    <n v="1239"/>
    <s v="Priya"/>
    <s v="Sharma"/>
    <x v="0"/>
    <d v="2024-12-26T00:00:00"/>
    <n v="127"/>
    <x v="2"/>
    <n v="3.5"/>
    <n v="298"/>
    <s v="Could be cleaner"/>
    <m/>
    <s v="good"/>
    <s v="long"/>
    <s v="Pho"/>
    <s v="SHARMA"/>
    <n v="5"/>
    <m/>
    <m/>
    <n v="4"/>
    <s v="sharma"/>
    <s v="priya"/>
    <x v="0"/>
    <n v="156"/>
  </r>
  <r>
    <n v="1240"/>
    <s v="Anita"/>
    <s v="Das"/>
    <x v="1"/>
    <d v="2024-09-26T00:00:00"/>
    <n v="117"/>
    <x v="0"/>
    <n v="2.6"/>
    <n v="482"/>
    <s v="Excellent wildlife view"/>
    <m/>
    <s v="good"/>
    <s v="long"/>
    <s v="Saf"/>
    <s v="DAS"/>
    <n v="5"/>
    <m/>
    <m/>
    <n v="3"/>
    <s v="das"/>
    <s v="anita"/>
    <x v="4"/>
    <n v="157"/>
  </r>
  <r>
    <n v="1241"/>
    <s v="Sanjay"/>
    <s v="Das"/>
    <x v="2"/>
    <d v="2024-11-05T00:00:00"/>
    <n v="85"/>
    <x v="3"/>
    <n v="4.3"/>
    <n v="457"/>
    <s v="Peaceful environment"/>
    <m/>
    <s v="good"/>
    <s v="medium"/>
    <s v="Hik"/>
    <s v="DAS"/>
    <n v="6"/>
    <m/>
    <m/>
    <n v="4"/>
    <s v="das"/>
    <s v="sanjay"/>
    <x v="3"/>
    <n v="163"/>
  </r>
  <r>
    <n v="1242"/>
    <s v="Sanjay"/>
    <s v="Reddy"/>
    <x v="4"/>
    <d v="2024-07-07T00:00:00"/>
    <n v="201"/>
    <x v="2"/>
    <n v="4.2"/>
    <n v="313"/>
    <s v="Very enjoyable"/>
    <m/>
    <s v="good"/>
    <s v="very long"/>
    <s v="Cam"/>
    <s v="REDDY"/>
    <n v="6"/>
    <m/>
    <m/>
    <n v="4"/>
    <s v="reddy"/>
    <s v="sanjay"/>
    <x v="1"/>
    <n v="164"/>
  </r>
  <r>
    <n v="1243"/>
    <s v="Sneha"/>
    <s v="Das"/>
    <x v="4"/>
    <d v="2024-01-28T00:00:00"/>
    <n v="145"/>
    <x v="1"/>
    <n v="4.9000000000000004"/>
    <n v="387"/>
    <s v="Very enjoyable"/>
    <m/>
    <s v="good"/>
    <s v="long"/>
    <s v="Cam"/>
    <s v="DAS"/>
    <n v="5"/>
    <m/>
    <m/>
    <n v="5"/>
    <s v="das"/>
    <s v="sneha"/>
    <x v="4"/>
    <n v="167"/>
  </r>
  <r>
    <n v="1244"/>
    <s v="Kiran"/>
    <s v="Verma"/>
    <x v="0"/>
    <d v="2024-03-22T00:00:00"/>
    <n v="25"/>
    <x v="3"/>
    <n v="3"/>
    <n v="409"/>
    <s v="Peaceful environment"/>
    <m/>
    <s v="good"/>
    <s v="short"/>
    <s v="Pho"/>
    <s v="VERMA"/>
    <n v="5"/>
    <m/>
    <m/>
    <n v="3"/>
    <s v="verma"/>
    <s v="kiran"/>
    <x v="5"/>
    <n v="170"/>
  </r>
  <r>
    <n v="1245"/>
    <s v="Aditi"/>
    <s v="Singh"/>
    <x v="2"/>
    <d v="2024-07-12T00:00:00"/>
    <n v="144"/>
    <x v="0"/>
    <n v="4.4000000000000004"/>
    <n v="437"/>
    <s v="Too crowded"/>
    <m/>
    <s v="good"/>
    <s v="long"/>
    <s v="Hik"/>
    <s v="SINGH"/>
    <n v="5"/>
    <m/>
    <m/>
    <n v="4"/>
    <s v="singh"/>
    <s v="aditi"/>
    <x v="3"/>
    <n v="174"/>
  </r>
  <r>
    <n v="1246"/>
    <s v="Sanjay"/>
    <s v="Reddy"/>
    <x v="5"/>
    <d v="2024-10-09T00:00:00"/>
    <n v="206"/>
    <x v="0"/>
    <n v="3.8"/>
    <n v="374"/>
    <s v="Could be cleaner"/>
    <m/>
    <s v="good"/>
    <s v="very long"/>
    <s v="Boa"/>
    <s v="REDDY"/>
    <n v="6"/>
    <m/>
    <m/>
    <n v="4"/>
    <s v="reddy"/>
    <s v="sanjay"/>
    <x v="3"/>
    <n v="181"/>
  </r>
  <r>
    <n v="1247"/>
    <s v="Aditi"/>
    <s v="Reddy"/>
    <x v="1"/>
    <d v="2024-09-13T00:00:00"/>
    <n v="90"/>
    <x v="1"/>
    <n v="4.5999999999999996"/>
    <n v="137"/>
    <s v="Could be cleaner"/>
    <m/>
    <s v="good"/>
    <s v="long"/>
    <s v="Saf"/>
    <s v="REDDY"/>
    <n v="5"/>
    <m/>
    <m/>
    <n v="5"/>
    <s v="reddy"/>
    <s v="aditi"/>
    <x v="1"/>
    <n v="184"/>
  </r>
  <r>
    <n v="1248"/>
    <s v="Kiran"/>
    <s v="Nair"/>
    <x v="0"/>
    <d v="2024-09-18T00:00:00"/>
    <n v="202"/>
    <x v="3"/>
    <n v="4.4000000000000004"/>
    <n v="493"/>
    <s v="No comments"/>
    <m/>
    <s v="good"/>
    <s v="very long"/>
    <s v="Pho"/>
    <s v="NAIR"/>
    <n v="5"/>
    <m/>
    <m/>
    <n v="4"/>
    <s v="nair"/>
    <s v="kiran"/>
    <x v="0"/>
    <n v="185"/>
  </r>
  <r>
    <n v="1249"/>
    <s v="Kiran"/>
    <s v="Singh"/>
    <x v="1"/>
    <d v="2024-01-09T00:00:00"/>
    <n v="156"/>
    <x v="2"/>
    <n v="2.9"/>
    <n v="498"/>
    <s v="Too crowded"/>
    <m/>
    <s v="good"/>
    <s v="long"/>
    <s v="Saf"/>
    <s v="SINGH"/>
    <n v="5"/>
    <m/>
    <m/>
    <n v="3"/>
    <s v="singh"/>
    <s v="kiran"/>
    <x v="1"/>
    <n v="187"/>
  </r>
  <r>
    <n v="1250"/>
    <s v="Priya"/>
    <s v="Das"/>
    <x v="3"/>
    <d v="2024-07-05T00:00:00"/>
    <n v="136"/>
    <x v="2"/>
    <n v="4.3"/>
    <n v="111"/>
    <s v="Could be cleaner"/>
    <m/>
    <s v="good"/>
    <s v="long"/>
    <s v="Bir"/>
    <s v="DAS"/>
    <n v="5"/>
    <m/>
    <m/>
    <n v="4"/>
    <s v="das"/>
    <s v="priya"/>
    <x v="6"/>
    <n v="195"/>
  </r>
  <r>
    <n v="1251"/>
    <s v="Kiran"/>
    <s v="Mehta"/>
    <x v="1"/>
    <d v="2024-04-18T00:00:00"/>
    <n v="174"/>
    <x v="0"/>
    <n v="3.3"/>
    <n v="384"/>
    <s v="Excellent wildlife view"/>
    <m/>
    <s v="good"/>
    <s v="long"/>
    <s v="Saf"/>
    <s v="MEHTA"/>
    <n v="5"/>
    <m/>
    <m/>
    <n v="3"/>
    <s v="mehta"/>
    <s v="kiran"/>
    <x v="0"/>
    <n v="197"/>
  </r>
  <r>
    <n v="1252"/>
    <s v="Vikram"/>
    <s v="Nair"/>
    <x v="2"/>
    <d v="2024-08-29T00:00:00"/>
    <n v="215"/>
    <x v="0"/>
    <n v="3.3"/>
    <n v="339"/>
    <s v="Excellent wildlife view"/>
    <m/>
    <s v="good"/>
    <s v="very long"/>
    <s v="Hik"/>
    <s v="NAIR"/>
    <n v="6"/>
    <m/>
    <m/>
    <n v="3"/>
    <s v="nair"/>
    <s v="vikram"/>
    <x v="1"/>
    <n v="201"/>
  </r>
  <r>
    <n v="1253"/>
    <s v="Kiran"/>
    <s v="Reddy"/>
    <x v="3"/>
    <d v="2024-01-02T00:00:00"/>
    <n v="123"/>
    <x v="2"/>
    <n v="4.9000000000000004"/>
    <n v="228"/>
    <s v="Very enjoyable"/>
    <m/>
    <s v="good"/>
    <s v="long"/>
    <s v="Bir"/>
    <s v="REDDY"/>
    <n v="5"/>
    <m/>
    <m/>
    <n v="5"/>
    <s v="reddy"/>
    <s v="kiran"/>
    <x v="2"/>
    <n v="201"/>
  </r>
  <r>
    <n v="1254"/>
    <s v="Arjun"/>
    <s v="Singh"/>
    <x v="0"/>
    <d v="2024-12-17T00:00:00"/>
    <n v="63"/>
    <x v="3"/>
    <n v="2.8"/>
    <n v="104"/>
    <s v="No comments"/>
    <m/>
    <s v="good"/>
    <s v="medium"/>
    <s v="Pho"/>
    <s v="SINGH"/>
    <n v="5"/>
    <m/>
    <m/>
    <n v="3"/>
    <s v="singh"/>
    <s v="arjun"/>
    <x v="3"/>
    <n v="202"/>
  </r>
  <r>
    <n v="1255"/>
    <s v="Divya"/>
    <s v="Reddy"/>
    <x v="1"/>
    <d v="2024-09-28T00:00:00"/>
    <n v="101"/>
    <x v="1"/>
    <n v="4.4000000000000004"/>
    <n v="365"/>
    <s v="No comments"/>
    <m/>
    <s v="good"/>
    <s v="long"/>
    <s v="Saf"/>
    <s v="REDDY"/>
    <n v="5"/>
    <m/>
    <m/>
    <n v="4"/>
    <s v="reddy"/>
    <s v="divya"/>
    <x v="1"/>
    <n v="206"/>
  </r>
  <r>
    <n v="1256"/>
    <s v="Divya"/>
    <s v="Patel"/>
    <x v="4"/>
    <d v="2024-07-10T00:00:00"/>
    <n v="84"/>
    <x v="2"/>
    <n v="3"/>
    <n v="142"/>
    <s v="Average service"/>
    <m/>
    <s v="good"/>
    <s v="medium"/>
    <s v="Cam"/>
    <s v="PATEL"/>
    <n v="5"/>
    <m/>
    <m/>
    <n v="3"/>
    <s v="patel"/>
    <s v="divya"/>
    <x v="2"/>
    <n v="210"/>
  </r>
  <r>
    <n v="1257"/>
    <s v="Sneha"/>
    <s v="Sharma"/>
    <x v="3"/>
    <d v="2024-05-02T00:00:00"/>
    <n v="99"/>
    <x v="2"/>
    <n v="2.7"/>
    <n v="217"/>
    <s v="Saw rare species"/>
    <m/>
    <s v="good"/>
    <s v="long"/>
    <s v="Bir"/>
    <s v="SHARMA"/>
    <n v="5"/>
    <m/>
    <m/>
    <n v="3"/>
    <s v="sharma"/>
    <s v="sneha"/>
    <x v="4"/>
    <n v="213"/>
  </r>
  <r>
    <n v="1258"/>
    <s v="Vikram"/>
    <s v="Menon"/>
    <x v="0"/>
    <d v="2024-11-25T00:00:00"/>
    <n v="35"/>
    <x v="2"/>
    <n v="4.7"/>
    <n v="223"/>
    <s v="Peaceful environment"/>
    <m/>
    <s v="good"/>
    <s v="medium"/>
    <s v="Pho"/>
    <s v="MENON"/>
    <n v="6"/>
    <m/>
    <m/>
    <n v="5"/>
    <s v="menon"/>
    <s v="vikram"/>
    <x v="6"/>
    <n v="214"/>
  </r>
  <r>
    <n v="1259"/>
    <s v="Sneha"/>
    <s v="Singh"/>
    <x v="4"/>
    <d v="2024-01-08T00:00:00"/>
    <n v="97"/>
    <x v="1"/>
    <n v="4.8"/>
    <n v="498"/>
    <s v="Peaceful environment"/>
    <m/>
    <s v="good"/>
    <s v="long"/>
    <s v="Cam"/>
    <s v="SINGH"/>
    <n v="5"/>
    <m/>
    <m/>
    <n v="5"/>
    <s v="singh"/>
    <s v="sneha"/>
    <x v="7"/>
    <n v="215"/>
  </r>
  <r>
    <n v="1260"/>
    <s v="Sanjay"/>
    <s v="Verma"/>
    <x v="5"/>
    <d v="2024-12-02T00:00:00"/>
    <n v="184"/>
    <x v="1"/>
    <n v="3.7"/>
    <n v="146"/>
    <s v="No comments"/>
    <m/>
    <s v="good"/>
    <s v="very long"/>
    <s v="Boa"/>
    <s v="VERMA"/>
    <n v="6"/>
    <m/>
    <m/>
    <n v="4"/>
    <s v="verma"/>
    <s v="sanjay"/>
    <x v="5"/>
    <n v="217"/>
  </r>
  <r>
    <n v="1261"/>
    <s v="Kiran"/>
    <s v="Menon"/>
    <x v="1"/>
    <d v="2024-07-31T00:00:00"/>
    <n v="228"/>
    <x v="2"/>
    <n v="3.2"/>
    <n v="126"/>
    <s v="Good guide support"/>
    <m/>
    <s v="good"/>
    <s v="very long"/>
    <s v="Saf"/>
    <s v="MENON"/>
    <n v="5"/>
    <m/>
    <m/>
    <n v="3"/>
    <s v="menon"/>
    <s v="kiran"/>
    <x v="3"/>
    <n v="219"/>
  </r>
  <r>
    <n v="1262"/>
    <s v="Kiran"/>
    <s v="Menon"/>
    <x v="0"/>
    <d v="2024-09-21T00:00:00"/>
    <n v="94"/>
    <x v="2"/>
    <n v="4.4000000000000004"/>
    <n v="493"/>
    <s v="Excellent wildlife view"/>
    <m/>
    <s v="good"/>
    <s v="long"/>
    <s v="Pho"/>
    <s v="MENON"/>
    <n v="5"/>
    <m/>
    <m/>
    <n v="4"/>
    <s v="menon"/>
    <s v="kiran"/>
    <x v="0"/>
    <n v="219"/>
  </r>
  <r>
    <n v="1263"/>
    <s v="Arjun"/>
    <s v="Das"/>
    <x v="0"/>
    <d v="2024-09-13T00:00:00"/>
    <n v="187"/>
    <x v="1"/>
    <n v="3.7"/>
    <n v="475"/>
    <s v="Very enjoyable"/>
    <m/>
    <s v="good"/>
    <s v="very long"/>
    <s v="Pho"/>
    <s v="DAS"/>
    <n v="5"/>
    <m/>
    <m/>
    <n v="4"/>
    <s v="das"/>
    <s v="arjun"/>
    <x v="4"/>
    <n v="228"/>
  </r>
  <r>
    <n v="1264"/>
    <s v="Sanjay"/>
    <s v="Menon"/>
    <x v="1"/>
    <d v="2024-02-20T00:00:00"/>
    <n v="137"/>
    <x v="0"/>
    <n v="2.9"/>
    <n v="491"/>
    <s v="Average service"/>
    <m/>
    <s v="good"/>
    <s v="long"/>
    <s v="Saf"/>
    <s v="MENON"/>
    <n v="6"/>
    <m/>
    <m/>
    <n v="3"/>
    <s v="menon"/>
    <s v="sanjay"/>
    <x v="1"/>
    <n v="237"/>
  </r>
  <r>
    <n v="1265"/>
    <s v="Kiran"/>
    <s v="Verma"/>
    <x v="2"/>
    <d v="2024-05-14T00:00:00"/>
    <n v="137"/>
    <x v="1"/>
    <n v="2.6"/>
    <n v="142"/>
    <s v="Excellent wildlife view"/>
    <m/>
    <s v="good"/>
    <s v="long"/>
    <s v="Hik"/>
    <s v="VERMA"/>
    <n v="5"/>
    <m/>
    <m/>
    <n v="3"/>
    <s v="verma"/>
    <s v="kiran"/>
    <x v="3"/>
    <n v="240"/>
  </r>
  <r>
    <n v="1266"/>
    <s v="Rahul"/>
    <s v="Menon"/>
    <x v="0"/>
    <d v="2024-06-21T00:00:00"/>
    <n v="208"/>
    <x v="1"/>
    <n v="3.5"/>
    <n v="444"/>
    <s v="Could be cleaner"/>
    <m/>
    <s v="good"/>
    <s v="very long"/>
    <s v="Pho"/>
    <s v="MENON"/>
    <n v="5"/>
    <m/>
    <m/>
    <n v="4"/>
    <s v="menon"/>
    <s v="rahul"/>
    <x v="7"/>
    <n v="20"/>
  </r>
  <r>
    <n v="1267"/>
    <s v="Divya"/>
    <s v="Mehta"/>
    <x v="2"/>
    <d v="2024-09-17T00:00:00"/>
    <n v="20"/>
    <x v="2"/>
    <n v="3.1"/>
    <n v="230"/>
    <s v="Very enjoyable"/>
    <m/>
    <s v="good"/>
    <s v="short"/>
    <s v="Hik"/>
    <s v="MEHTA"/>
    <n v="5"/>
    <m/>
    <m/>
    <n v="3"/>
    <s v="mehta"/>
    <s v="divya"/>
    <x v="6"/>
    <n v="22"/>
  </r>
  <r>
    <n v="1268"/>
    <s v="Anita"/>
    <s v="Das"/>
    <x v="1"/>
    <d v="2024-09-30T00:00:00"/>
    <n v="219"/>
    <x v="0"/>
    <n v="3"/>
    <n v="496"/>
    <s v="Good guide support"/>
    <m/>
    <s v="good"/>
    <s v="very long"/>
    <s v="Saf"/>
    <s v="DAS"/>
    <n v="5"/>
    <m/>
    <m/>
    <n v="3"/>
    <s v="das"/>
    <s v="anita"/>
    <x v="4"/>
    <n v="24"/>
  </r>
  <r>
    <n v="1269"/>
    <s v="Rahul"/>
    <s v="Sharma"/>
    <x v="5"/>
    <d v="2024-06-21T00:00:00"/>
    <n v="72"/>
    <x v="1"/>
    <n v="3.5"/>
    <n v="207"/>
    <s v="Amazing experience"/>
    <m/>
    <s v="good"/>
    <s v="medium"/>
    <s v="Boa"/>
    <s v="SHARMA"/>
    <n v="5"/>
    <m/>
    <m/>
    <n v="4"/>
    <s v="sharma"/>
    <s v="rahul"/>
    <x v="7"/>
    <n v="27"/>
  </r>
  <r>
    <n v="1270"/>
    <s v="Aditi"/>
    <s v="Singh"/>
    <x v="1"/>
    <d v="2024-09-09T00:00:00"/>
    <n v="79"/>
    <x v="2"/>
    <n v="5"/>
    <n v="267"/>
    <s v="Very enjoyable"/>
    <m/>
    <s v="good"/>
    <s v="medium"/>
    <s v="Saf"/>
    <s v="SINGH"/>
    <n v="5"/>
    <m/>
    <m/>
    <n v="5"/>
    <s v="singh"/>
    <s v="aditi"/>
    <x v="7"/>
    <n v="29"/>
  </r>
  <r>
    <n v="1271"/>
    <s v="Rahul"/>
    <s v="Reddy"/>
    <x v="4"/>
    <d v="2024-07-11T00:00:00"/>
    <n v="27"/>
    <x v="1"/>
    <n v="4.9000000000000004"/>
    <n v="307"/>
    <s v="Could be cleaner"/>
    <m/>
    <s v="good"/>
    <s v="short"/>
    <s v="Cam"/>
    <s v="REDDY"/>
    <n v="5"/>
    <m/>
    <m/>
    <n v="5"/>
    <s v="reddy"/>
    <s v="rahul"/>
    <x v="2"/>
    <n v="32"/>
  </r>
  <r>
    <n v="1272"/>
    <s v="Aditi"/>
    <s v="Sharma"/>
    <x v="3"/>
    <d v="2024-06-30T00:00:00"/>
    <n v="101"/>
    <x v="1"/>
    <n v="3.4"/>
    <n v="205"/>
    <s v="Saw rare species"/>
    <m/>
    <s v="good"/>
    <s v="long"/>
    <s v="Bir"/>
    <s v="SHARMA"/>
    <n v="5"/>
    <m/>
    <m/>
    <n v="3"/>
    <s v="sharma"/>
    <s v="aditi"/>
    <x v="3"/>
    <n v="33"/>
  </r>
  <r>
    <n v="1273"/>
    <s v="Sneha"/>
    <s v="Reddy"/>
    <x v="2"/>
    <d v="2024-01-13T00:00:00"/>
    <n v="62"/>
    <x v="1"/>
    <n v="2.9"/>
    <n v="446"/>
    <s v="Could be cleaner"/>
    <m/>
    <s v="good"/>
    <s v="medium"/>
    <s v="Hik"/>
    <s v="REDDY"/>
    <n v="5"/>
    <m/>
    <m/>
    <n v="3"/>
    <s v="reddy"/>
    <s v="sneha"/>
    <x v="3"/>
    <n v="33"/>
  </r>
  <r>
    <n v="1274"/>
    <s v="Divya"/>
    <s v="Singh"/>
    <x v="3"/>
    <d v="2024-05-10T00:00:00"/>
    <n v="33"/>
    <x v="3"/>
    <n v="4.0999999999999996"/>
    <n v="487"/>
    <s v="Amazing experience"/>
    <m/>
    <s v="good"/>
    <s v="medium"/>
    <s v="Bir"/>
    <s v="SINGH"/>
    <n v="5"/>
    <m/>
    <m/>
    <n v="4"/>
    <s v="singh"/>
    <s v="divya"/>
    <x v="5"/>
    <n v="34"/>
  </r>
  <r>
    <n v="1275"/>
    <s v="Anita"/>
    <s v="Iyer"/>
    <x v="0"/>
    <d v="2024-09-08T00:00:00"/>
    <n v="156"/>
    <x v="2"/>
    <n v="3.8"/>
    <n v="397"/>
    <s v="Good guide support"/>
    <m/>
    <s v="good"/>
    <s v="long"/>
    <s v="Pho"/>
    <s v="IYER"/>
    <n v="5"/>
    <m/>
    <m/>
    <n v="4"/>
    <s v="iyer"/>
    <s v="anita"/>
    <x v="6"/>
    <n v="34"/>
  </r>
  <r>
    <n v="1276"/>
    <s v="Sneha"/>
    <s v="Iyer"/>
    <x v="3"/>
    <d v="2024-10-14T00:00:00"/>
    <n v="235"/>
    <x v="3"/>
    <n v="3"/>
    <n v="272"/>
    <s v="Too crowded"/>
    <m/>
    <s v="good"/>
    <s v="very long"/>
    <s v="Bir"/>
    <s v="IYER"/>
    <n v="5"/>
    <m/>
    <m/>
    <n v="3"/>
    <s v="iyer"/>
    <s v="sneha"/>
    <x v="1"/>
    <n v="37"/>
  </r>
  <r>
    <n v="1277"/>
    <s v="Rahul"/>
    <s v="Iyer"/>
    <x v="5"/>
    <d v="2024-03-12T00:00:00"/>
    <n v="87"/>
    <x v="2"/>
    <n v="4.2"/>
    <n v="480"/>
    <s v="Good guide support"/>
    <m/>
    <s v="good"/>
    <s v="medium"/>
    <s v="Boa"/>
    <s v="IYER"/>
    <n v="5"/>
    <m/>
    <m/>
    <n v="4"/>
    <s v="iyer"/>
    <s v="rahul"/>
    <x v="7"/>
    <n v="49"/>
  </r>
  <r>
    <n v="1278"/>
    <s v="Priya"/>
    <s v="Singh"/>
    <x v="4"/>
    <d v="2024-04-14T00:00:00"/>
    <n v="65"/>
    <x v="3"/>
    <n v="2.6"/>
    <n v="220"/>
    <s v="Too crowded"/>
    <m/>
    <s v="good"/>
    <s v="medium"/>
    <s v="Cam"/>
    <s v="SINGH"/>
    <n v="5"/>
    <m/>
    <m/>
    <n v="3"/>
    <s v="singh"/>
    <s v="priya"/>
    <x v="6"/>
    <n v="54"/>
  </r>
  <r>
    <n v="1279"/>
    <s v="Sanjay"/>
    <s v="Nair"/>
    <x v="4"/>
    <d v="2024-04-30T00:00:00"/>
    <n v="29"/>
    <x v="3"/>
    <n v="4.9000000000000004"/>
    <n v="339"/>
    <s v="Could be cleaner"/>
    <m/>
    <s v="good"/>
    <s v="short"/>
    <s v="Cam"/>
    <s v="NAIR"/>
    <n v="6"/>
    <m/>
    <m/>
    <n v="5"/>
    <s v="nair"/>
    <s v="sanjay"/>
    <x v="5"/>
    <n v="62"/>
  </r>
  <r>
    <n v="1280"/>
    <s v="Rahul"/>
    <s v="Das"/>
    <x v="1"/>
    <d v="2024-05-01T00:00:00"/>
    <n v="33"/>
    <x v="2"/>
    <n v="3.8"/>
    <n v="167"/>
    <s v="Could be cleaner"/>
    <m/>
    <s v="good"/>
    <s v="medium"/>
    <s v="Saf"/>
    <s v="DAS"/>
    <n v="5"/>
    <m/>
    <m/>
    <n v="4"/>
    <s v="das"/>
    <s v="rahul"/>
    <x v="4"/>
    <n v="65"/>
  </r>
  <r>
    <n v="1281"/>
    <s v="Vikram"/>
    <s v="Sharma"/>
    <x v="0"/>
    <d v="2024-07-02T00:00:00"/>
    <n v="240"/>
    <x v="1"/>
    <n v="3.9"/>
    <n v="256"/>
    <s v="Good guide support"/>
    <m/>
    <s v="good"/>
    <s v="very long"/>
    <s v="Pho"/>
    <s v="SHARMA"/>
    <n v="6"/>
    <m/>
    <m/>
    <n v="4"/>
    <s v="sharma"/>
    <s v="vikram"/>
    <x v="3"/>
    <n v="65"/>
  </r>
  <r>
    <n v="1282"/>
    <s v="Aditi"/>
    <s v="Nair"/>
    <x v="0"/>
    <d v="2024-05-10T00:00:00"/>
    <n v="37"/>
    <x v="1"/>
    <n v="4.2"/>
    <n v="218"/>
    <s v="Good guide support"/>
    <m/>
    <s v="good"/>
    <s v="medium"/>
    <s v="Pho"/>
    <s v="NAIR"/>
    <n v="5"/>
    <m/>
    <m/>
    <n v="4"/>
    <s v="nair"/>
    <s v="aditi"/>
    <x v="7"/>
    <n v="67"/>
  </r>
  <r>
    <n v="1283"/>
    <s v="Sneha"/>
    <s v="Sharma"/>
    <x v="0"/>
    <d v="2024-10-18T00:00:00"/>
    <n v="155"/>
    <x v="1"/>
    <n v="5"/>
    <n v="118"/>
    <s v="Excellent wildlife view"/>
    <m/>
    <s v="good"/>
    <s v="long"/>
    <s v="Pho"/>
    <s v="SHARMA"/>
    <n v="5"/>
    <m/>
    <m/>
    <n v="5"/>
    <s v="sharma"/>
    <s v="sneha"/>
    <x v="1"/>
    <n v="72"/>
  </r>
  <r>
    <n v="1284"/>
    <s v="Arjun"/>
    <s v="Patel"/>
    <x v="5"/>
    <d v="2024-10-14T00:00:00"/>
    <n v="223"/>
    <x v="2"/>
    <n v="2.8"/>
    <n v="399"/>
    <s v="Amazing experience"/>
    <m/>
    <s v="good"/>
    <s v="very long"/>
    <s v="Boa"/>
    <s v="PATEL"/>
    <n v="5"/>
    <m/>
    <m/>
    <n v="3"/>
    <s v="patel"/>
    <s v="arjun"/>
    <x v="6"/>
    <n v="74"/>
  </r>
  <r>
    <n v="1285"/>
    <s v="Anita"/>
    <s v="Sharma"/>
    <x v="5"/>
    <d v="2024-08-01T00:00:00"/>
    <n v="34"/>
    <x v="0"/>
    <n v="4.7"/>
    <n v="193"/>
    <s v="Too crowded"/>
    <m/>
    <s v="good"/>
    <s v="medium"/>
    <s v="Boa"/>
    <s v="SHARMA"/>
    <n v="5"/>
    <m/>
    <m/>
    <n v="5"/>
    <s v="sharma"/>
    <s v="anita"/>
    <x v="7"/>
    <n v="79"/>
  </r>
  <r>
    <n v="1286"/>
    <s v="Divya"/>
    <s v="Patel"/>
    <x v="5"/>
    <d v="2024-01-24T00:00:00"/>
    <n v="34"/>
    <x v="1"/>
    <n v="3.7"/>
    <n v="274"/>
    <s v="Excellent wildlife view"/>
    <m/>
    <s v="good"/>
    <s v="medium"/>
    <s v="Boa"/>
    <s v="PATEL"/>
    <n v="5"/>
    <m/>
    <m/>
    <n v="4"/>
    <s v="patel"/>
    <s v="divya"/>
    <x v="3"/>
    <n v="79"/>
  </r>
  <r>
    <n v="1287"/>
    <s v="Divya"/>
    <s v="Iyer"/>
    <x v="4"/>
    <d v="2024-10-09T00:00:00"/>
    <n v="227"/>
    <x v="0"/>
    <n v="4.0999999999999996"/>
    <n v="270"/>
    <s v="Could be cleaner"/>
    <m/>
    <s v="good"/>
    <s v="very long"/>
    <s v="Cam"/>
    <s v="IYER"/>
    <n v="5"/>
    <m/>
    <m/>
    <n v="4"/>
    <s v="iyer"/>
    <s v="divya"/>
    <x v="3"/>
    <n v="83"/>
  </r>
  <r>
    <n v="1288"/>
    <s v="Divya"/>
    <s v="Sharma"/>
    <x v="0"/>
    <d v="2024-05-07T00:00:00"/>
    <n v="166"/>
    <x v="2"/>
    <n v="3.3"/>
    <n v="212"/>
    <s v="Could be cleaner"/>
    <m/>
    <s v="good"/>
    <s v="long"/>
    <s v="Pho"/>
    <s v="SHARMA"/>
    <n v="5"/>
    <m/>
    <m/>
    <n v="3"/>
    <s v="sharma"/>
    <s v="divya"/>
    <x v="0"/>
    <n v="83"/>
  </r>
  <r>
    <n v="1289"/>
    <s v="Arjun"/>
    <s v="Verma"/>
    <x v="0"/>
    <d v="2024-07-23T00:00:00"/>
    <n v="198"/>
    <x v="3"/>
    <n v="4.0999999999999996"/>
    <n v="206"/>
    <s v="Average service"/>
    <m/>
    <s v="good"/>
    <s v="very long"/>
    <s v="Pho"/>
    <s v="VERMA"/>
    <n v="5"/>
    <m/>
    <m/>
    <n v="4"/>
    <s v="verma"/>
    <s v="arjun"/>
    <x v="5"/>
    <n v="85"/>
  </r>
  <r>
    <n v="1290"/>
    <s v="Rahul"/>
    <s v="Patel"/>
    <x v="3"/>
    <d v="2024-12-20T00:00:00"/>
    <n v="85"/>
    <x v="0"/>
    <n v="3"/>
    <n v="124"/>
    <s v="Very enjoyable"/>
    <m/>
    <s v="good"/>
    <s v="medium"/>
    <s v="Bir"/>
    <s v="PATEL"/>
    <n v="5"/>
    <m/>
    <m/>
    <n v="3"/>
    <s v="patel"/>
    <s v="rahul"/>
    <x v="0"/>
    <n v="87"/>
  </r>
  <r>
    <n v="1291"/>
    <s v="Kiran"/>
    <s v="Singh"/>
    <x v="5"/>
    <d v="2024-06-01T00:00:00"/>
    <n v="135"/>
    <x v="1"/>
    <n v="4.2"/>
    <n v="315"/>
    <s v="Good guide support"/>
    <m/>
    <s v="good"/>
    <s v="long"/>
    <s v="Boa"/>
    <s v="SINGH"/>
    <n v="5"/>
    <m/>
    <m/>
    <n v="4"/>
    <s v="singh"/>
    <s v="kiran"/>
    <x v="6"/>
    <n v="101"/>
  </r>
  <r>
    <n v="1292"/>
    <s v="Priya"/>
    <s v="Mehta"/>
    <x v="5"/>
    <d v="2024-12-10T00:00:00"/>
    <n v="169"/>
    <x v="2"/>
    <n v="2.6"/>
    <n v="216"/>
    <s v="Peaceful environment"/>
    <m/>
    <s v="good"/>
    <s v="long"/>
    <s v="Boa"/>
    <s v="MEHTA"/>
    <n v="5"/>
    <m/>
    <m/>
    <n v="3"/>
    <s v="mehta"/>
    <s v="priya"/>
    <x v="7"/>
    <n v="113"/>
  </r>
  <r>
    <n v="1293"/>
    <s v="Divya"/>
    <s v="Nair"/>
    <x v="5"/>
    <d v="2024-01-27T00:00:00"/>
    <n v="122"/>
    <x v="2"/>
    <n v="3.1"/>
    <n v="219"/>
    <s v="Amazing experience"/>
    <m/>
    <s v="good"/>
    <s v="long"/>
    <s v="Boa"/>
    <s v="NAIR"/>
    <n v="5"/>
    <m/>
    <m/>
    <n v="3"/>
    <s v="nair"/>
    <s v="divya"/>
    <x v="4"/>
    <n v="113"/>
  </r>
  <r>
    <n v="1294"/>
    <s v="Aditi"/>
    <s v="Sharma"/>
    <x v="3"/>
    <d v="2024-06-08T00:00:00"/>
    <n v="67"/>
    <x v="3"/>
    <n v="2.7"/>
    <n v="378"/>
    <s v="Very enjoyable"/>
    <m/>
    <s v="good"/>
    <s v="medium"/>
    <s v="Bir"/>
    <s v="SHARMA"/>
    <n v="5"/>
    <m/>
    <m/>
    <n v="3"/>
    <s v="sharma"/>
    <s v="aditi"/>
    <x v="3"/>
    <n v="116"/>
  </r>
  <r>
    <n v="1295"/>
    <s v="Aditi"/>
    <s v="Das"/>
    <x v="4"/>
    <d v="2024-11-22T00:00:00"/>
    <n v="216"/>
    <x v="1"/>
    <n v="4.9000000000000004"/>
    <n v="281"/>
    <s v="Could be cleaner"/>
    <m/>
    <s v="good"/>
    <s v="very long"/>
    <s v="Cam"/>
    <s v="DAS"/>
    <n v="5"/>
    <m/>
    <m/>
    <n v="5"/>
    <s v="das"/>
    <s v="aditi"/>
    <x v="6"/>
    <n v="122"/>
  </r>
  <r>
    <n v="1296"/>
    <s v="Arjun"/>
    <s v="Nair"/>
    <x v="3"/>
    <d v="2024-08-31T00:00:00"/>
    <n v="54"/>
    <x v="0"/>
    <n v="2.6"/>
    <n v="341"/>
    <s v="Amazing experience"/>
    <m/>
    <s v="good"/>
    <s v="medium"/>
    <s v="Bir"/>
    <s v="NAIR"/>
    <n v="5"/>
    <m/>
    <m/>
    <n v="3"/>
    <s v="nair"/>
    <s v="arjun"/>
    <x v="1"/>
    <n v="125"/>
  </r>
  <r>
    <n v="1297"/>
    <s v="Kiran"/>
    <s v="Patel"/>
    <x v="4"/>
    <d v="2024-03-19T00:00:00"/>
    <n v="65"/>
    <x v="2"/>
    <n v="3.7"/>
    <n v="166"/>
    <s v="Too crowded"/>
    <m/>
    <s v="good"/>
    <s v="medium"/>
    <s v="Cam"/>
    <s v="PATEL"/>
    <n v="5"/>
    <m/>
    <m/>
    <n v="4"/>
    <s v="patel"/>
    <s v="kiran"/>
    <x v="2"/>
    <n v="135"/>
  </r>
  <r>
    <n v="1298"/>
    <s v="Rahul"/>
    <s v="Menon"/>
    <x v="1"/>
    <d v="2024-12-08T00:00:00"/>
    <n v="83"/>
    <x v="3"/>
    <n v="3"/>
    <n v="388"/>
    <s v="Could be cleaner"/>
    <m/>
    <s v="good"/>
    <s v="medium"/>
    <s v="Saf"/>
    <s v="MENON"/>
    <n v="5"/>
    <m/>
    <m/>
    <n v="3"/>
    <s v="menon"/>
    <s v="rahul"/>
    <x v="1"/>
    <n v="137"/>
  </r>
  <r>
    <n v="1299"/>
    <s v="Vikram"/>
    <s v="Reddy"/>
    <x v="0"/>
    <d v="2024-06-29T00:00:00"/>
    <n v="138"/>
    <x v="2"/>
    <n v="3"/>
    <n v="258"/>
    <s v="Could be cleaner"/>
    <m/>
    <s v="good"/>
    <s v="long"/>
    <s v="Pho"/>
    <s v="REDDY"/>
    <n v="6"/>
    <m/>
    <m/>
    <n v="3"/>
    <s v="reddy"/>
    <s v="vikram"/>
    <x v="3"/>
    <n v="138"/>
  </r>
  <r>
    <n v="1300"/>
    <s v="Anita"/>
    <s v="Mehta"/>
    <x v="5"/>
    <d v="2024-03-28T00:00:00"/>
    <n v="24"/>
    <x v="3"/>
    <n v="2.7"/>
    <n v="276"/>
    <s v="Good guide support"/>
    <m/>
    <s v="good"/>
    <s v="short"/>
    <s v="Boa"/>
    <s v="MEHTA"/>
    <n v="5"/>
    <m/>
    <m/>
    <n v="3"/>
    <s v="mehta"/>
    <s v="anita"/>
    <x v="4"/>
    <n v="149"/>
  </r>
  <r>
    <n v="1301"/>
    <s v="Anita"/>
    <s v="Das"/>
    <x v="3"/>
    <d v="2024-04-13T00:00:00"/>
    <n v="32"/>
    <x v="0"/>
    <n v="3"/>
    <n v="296"/>
    <s v="Good guide support"/>
    <m/>
    <s v="good"/>
    <s v="medium"/>
    <s v="Bir"/>
    <s v="DAS"/>
    <n v="5"/>
    <m/>
    <m/>
    <n v="3"/>
    <s v="das"/>
    <s v="anita"/>
    <x v="5"/>
    <n v="155"/>
  </r>
  <r>
    <n v="1302"/>
    <s v="Divya"/>
    <s v="Sharma"/>
    <x v="3"/>
    <d v="2024-05-11T00:00:00"/>
    <n v="22"/>
    <x v="1"/>
    <n v="4.9000000000000004"/>
    <n v="479"/>
    <s v="Excellent wildlife view"/>
    <m/>
    <s v="good"/>
    <s v="short"/>
    <s v="Bir"/>
    <s v="SHARMA"/>
    <n v="5"/>
    <m/>
    <m/>
    <n v="5"/>
    <s v="sharma"/>
    <s v="divya"/>
    <x v="2"/>
    <n v="156"/>
  </r>
  <r>
    <n v="1303"/>
    <s v="Rahul"/>
    <s v="Patel"/>
    <x v="1"/>
    <d v="2024-04-25T00:00:00"/>
    <n v="116"/>
    <x v="1"/>
    <n v="4.3"/>
    <n v="186"/>
    <s v="Average service"/>
    <m/>
    <s v="good"/>
    <s v="long"/>
    <s v="Saf"/>
    <s v="PATEL"/>
    <n v="5"/>
    <m/>
    <m/>
    <n v="4"/>
    <s v="patel"/>
    <s v="rahul"/>
    <x v="4"/>
    <n v="165"/>
  </r>
  <r>
    <n v="1304"/>
    <s v="Priya"/>
    <s v="Reddy"/>
    <x v="5"/>
    <d v="2024-09-05T00:00:00"/>
    <n v="113"/>
    <x v="2"/>
    <n v="3.3"/>
    <n v="157"/>
    <s v="Very enjoyable"/>
    <m/>
    <s v="good"/>
    <s v="long"/>
    <s v="Boa"/>
    <s v="REDDY"/>
    <n v="5"/>
    <m/>
    <m/>
    <n v="3"/>
    <s v="reddy"/>
    <s v="priya"/>
    <x v="1"/>
    <n v="166"/>
  </r>
  <r>
    <n v="1305"/>
    <s v="Vikram"/>
    <s v="Verma"/>
    <x v="2"/>
    <d v="2024-05-25T00:00:00"/>
    <n v="74"/>
    <x v="3"/>
    <n v="3.5"/>
    <n v="304"/>
    <s v="Saw rare species"/>
    <m/>
    <s v="good"/>
    <s v="medium"/>
    <s v="Hik"/>
    <s v="VERMA"/>
    <n v="6"/>
    <m/>
    <m/>
    <n v="4"/>
    <s v="verma"/>
    <s v="vikram"/>
    <x v="1"/>
    <n v="169"/>
  </r>
  <r>
    <n v="1306"/>
    <s v="Sanjay"/>
    <s v="Verma"/>
    <x v="3"/>
    <d v="2024-07-06T00:00:00"/>
    <n v="237"/>
    <x v="3"/>
    <n v="4.8"/>
    <n v="149"/>
    <s v="No comments"/>
    <m/>
    <s v="good"/>
    <s v="very long"/>
    <s v="Bir"/>
    <s v="VERMA"/>
    <n v="6"/>
    <m/>
    <m/>
    <n v="5"/>
    <s v="verma"/>
    <s v="sanjay"/>
    <x v="6"/>
    <n v="178"/>
  </r>
  <r>
    <n v="1307"/>
    <s v="Aditi"/>
    <s v="Singh"/>
    <x v="2"/>
    <d v="2024-02-25T00:00:00"/>
    <n v="83"/>
    <x v="1"/>
    <n v="3.7"/>
    <n v="397"/>
    <s v="Too crowded"/>
    <m/>
    <s v="good"/>
    <s v="medium"/>
    <s v="Hik"/>
    <s v="SINGH"/>
    <n v="5"/>
    <m/>
    <m/>
    <n v="4"/>
    <s v="singh"/>
    <s v="aditi"/>
    <x v="6"/>
    <n v="179"/>
  </r>
  <r>
    <n v="1308"/>
    <s v="Aditi"/>
    <s v="Das"/>
    <x v="5"/>
    <d v="2024-10-13T00:00:00"/>
    <n v="113"/>
    <x v="1"/>
    <n v="3.6"/>
    <n v="124"/>
    <s v="Average service"/>
    <m/>
    <s v="good"/>
    <s v="long"/>
    <s v="Boa"/>
    <s v="DAS"/>
    <n v="5"/>
    <m/>
    <m/>
    <n v="4"/>
    <s v="das"/>
    <s v="aditi"/>
    <x v="1"/>
    <n v="198"/>
  </r>
  <r>
    <n v="1309"/>
    <s v="Vikram"/>
    <s v="Reddy"/>
    <x v="2"/>
    <d v="2024-12-08T00:00:00"/>
    <n v="79"/>
    <x v="2"/>
    <n v="3.8"/>
    <n v="115"/>
    <s v="Average service"/>
    <m/>
    <s v="good"/>
    <s v="medium"/>
    <s v="Hik"/>
    <s v="REDDY"/>
    <n v="6"/>
    <m/>
    <m/>
    <n v="4"/>
    <s v="reddy"/>
    <s v="vikram"/>
    <x v="0"/>
    <n v="204"/>
  </r>
  <r>
    <n v="1310"/>
    <s v="Kiran"/>
    <s v="Verma"/>
    <x v="1"/>
    <d v="2024-11-28T00:00:00"/>
    <n v="179"/>
    <x v="0"/>
    <n v="4.5"/>
    <n v="411"/>
    <s v="Amazing experience"/>
    <m/>
    <s v="good"/>
    <s v="long"/>
    <s v="Saf"/>
    <s v="VERMA"/>
    <n v="5"/>
    <m/>
    <m/>
    <n v="5"/>
    <s v="verma"/>
    <s v="kiran"/>
    <x v="5"/>
    <n v="208"/>
  </r>
  <r>
    <n v="1311"/>
    <s v="Rahul"/>
    <s v="Mehta"/>
    <x v="3"/>
    <d v="2024-02-16T00:00:00"/>
    <n v="137"/>
    <x v="3"/>
    <n v="4.3"/>
    <n v="448"/>
    <s v="Excellent wildlife view"/>
    <m/>
    <s v="good"/>
    <s v="long"/>
    <s v="Bir"/>
    <s v="MEHTA"/>
    <n v="5"/>
    <m/>
    <m/>
    <n v="4"/>
    <s v="mehta"/>
    <s v="rahul"/>
    <x v="0"/>
    <n v="216"/>
  </r>
  <r>
    <n v="1312"/>
    <s v="Rahul"/>
    <s v="Iyer"/>
    <x v="5"/>
    <d v="2024-02-03T00:00:00"/>
    <n v="178"/>
    <x v="0"/>
    <n v="3"/>
    <n v="247"/>
    <s v="No comments"/>
    <m/>
    <s v="good"/>
    <s v="long"/>
    <s v="Boa"/>
    <s v="IYER"/>
    <n v="5"/>
    <m/>
    <m/>
    <n v="3"/>
    <s v="iyer"/>
    <s v="rahul"/>
    <x v="6"/>
    <n v="219"/>
  </r>
  <r>
    <n v="1313"/>
    <s v="Vikram"/>
    <s v="Nair"/>
    <x v="5"/>
    <d v="2024-02-09T00:00:00"/>
    <n v="204"/>
    <x v="0"/>
    <n v="4.0999999999999996"/>
    <n v="237"/>
    <s v="Could be cleaner"/>
    <m/>
    <s v="good"/>
    <s v="very long"/>
    <s v="Boa"/>
    <s v="NAIR"/>
    <n v="6"/>
    <m/>
    <m/>
    <n v="4"/>
    <s v="nair"/>
    <s v="vikram"/>
    <x v="1"/>
    <n v="223"/>
  </r>
  <r>
    <n v="1314"/>
    <s v="Aditi"/>
    <s v="Patel"/>
    <x v="1"/>
    <d v="2024-01-03T00:00:00"/>
    <n v="165"/>
    <x v="0"/>
    <n v="4.5"/>
    <n v="124"/>
    <s v="Average service"/>
    <m/>
    <s v="good"/>
    <s v="long"/>
    <s v="Saf"/>
    <s v="PATEL"/>
    <n v="5"/>
    <m/>
    <m/>
    <n v="5"/>
    <s v="patel"/>
    <s v="aditi"/>
    <x v="1"/>
    <n v="227"/>
  </r>
  <r>
    <n v="1315"/>
    <s v="Rahul"/>
    <s v="Verma"/>
    <x v="3"/>
    <d v="2024-12-06T00:00:00"/>
    <n v="49"/>
    <x v="2"/>
    <n v="3.7"/>
    <n v="365"/>
    <s v="Very enjoyable"/>
    <m/>
    <s v="good"/>
    <s v="medium"/>
    <s v="Bir"/>
    <s v="VERMA"/>
    <n v="5"/>
    <m/>
    <m/>
    <n v="4"/>
    <s v="verma"/>
    <s v="rahul"/>
    <x v="4"/>
    <n v="235"/>
  </r>
  <r>
    <n v="1316"/>
    <s v="Arjun"/>
    <s v="Nair"/>
    <x v="0"/>
    <d v="2024-02-11T00:00:00"/>
    <n v="149"/>
    <x v="2"/>
    <n v="4.5999999999999996"/>
    <n v="153"/>
    <s v="Amazing experience"/>
    <m/>
    <s v="good"/>
    <s v="long"/>
    <s v="Pho"/>
    <s v="NAIR"/>
    <n v="5"/>
    <m/>
    <m/>
    <n v="5"/>
    <s v="nair"/>
    <s v="arjun"/>
    <x v="0"/>
    <n v="237"/>
  </r>
  <r>
    <n v="1317"/>
    <s v="Kiran"/>
    <s v="Nair"/>
    <x v="4"/>
    <d v="2024-07-07T00:00:00"/>
    <n v="125"/>
    <x v="2"/>
    <n v="2.8"/>
    <n v="294"/>
    <s v="Average service"/>
    <m/>
    <s v="good"/>
    <s v="long"/>
    <s v="Cam"/>
    <s v="NAIR"/>
    <n v="5"/>
    <m/>
    <m/>
    <n v="3"/>
    <s v="nair"/>
    <s v="kiran"/>
    <x v="4"/>
    <n v="240"/>
  </r>
  <r>
    <n v="1318"/>
    <s v="Anita"/>
    <s v="Nair"/>
    <x v="3"/>
    <d v="2024-03-28T00:00:00"/>
    <n v="41"/>
    <x v="1"/>
    <n v="3"/>
    <n v="299"/>
    <s v="Saw rare species"/>
    <m/>
    <s v="good"/>
    <s v="medium"/>
    <s v="Bir"/>
    <s v="NAIR"/>
    <n v="5"/>
    <m/>
    <m/>
    <n v="3"/>
    <s v="nair"/>
    <s v="anita"/>
    <x v="0"/>
    <n v="21"/>
  </r>
  <r>
    <n v="1319"/>
    <s v="Arjun"/>
    <s v="Das"/>
    <x v="1"/>
    <d v="2024-10-15T00:00:00"/>
    <n v="174"/>
    <x v="3"/>
    <n v="2.5"/>
    <n v="402"/>
    <s v="Too crowded"/>
    <m/>
    <s v="neutral"/>
    <s v="long"/>
    <s v="Saf"/>
    <s v="DAS"/>
    <n v="5"/>
    <m/>
    <m/>
    <n v="3"/>
    <s v="das"/>
    <s v="arjun"/>
    <x v="7"/>
    <n v="22"/>
  </r>
  <r>
    <n v="1320"/>
    <s v="Arjun"/>
    <s v="Nair"/>
    <x v="1"/>
    <d v="2024-10-04T00:00:00"/>
    <n v="200"/>
    <x v="1"/>
    <n v="2.6"/>
    <n v="415"/>
    <s v="Amazing experience"/>
    <m/>
    <s v="good"/>
    <s v="very long"/>
    <s v="Saf"/>
    <s v="NAIR"/>
    <n v="5"/>
    <m/>
    <m/>
    <n v="3"/>
    <s v="nair"/>
    <s v="arjun"/>
    <x v="1"/>
    <n v="24"/>
  </r>
  <r>
    <n v="1321"/>
    <s v="Sanjay"/>
    <s v="Das"/>
    <x v="0"/>
    <d v="2024-03-09T00:00:00"/>
    <n v="181"/>
    <x v="3"/>
    <n v="2.6"/>
    <n v="432"/>
    <s v="Saw rare species"/>
    <m/>
    <s v="good"/>
    <s v="very long"/>
    <s v="Pho"/>
    <s v="DAS"/>
    <n v="6"/>
    <m/>
    <m/>
    <n v="3"/>
    <s v="das"/>
    <s v="sanjay"/>
    <x v="4"/>
    <n v="32"/>
  </r>
  <r>
    <n v="1322"/>
    <s v="Divya"/>
    <s v="Nair"/>
    <x v="0"/>
    <d v="2024-11-06T00:00:00"/>
    <n v="87"/>
    <x v="1"/>
    <n v="4.2"/>
    <n v="233"/>
    <s v="Peaceful environment"/>
    <m/>
    <s v="good"/>
    <s v="medium"/>
    <s v="Pho"/>
    <s v="NAIR"/>
    <n v="5"/>
    <m/>
    <m/>
    <n v="4"/>
    <s v="nair"/>
    <s v="divya"/>
    <x v="1"/>
    <n v="35"/>
  </r>
  <r>
    <n v="1323"/>
    <s v="Rahul"/>
    <s v="Sharma"/>
    <x v="4"/>
    <d v="2024-12-26T00:00:00"/>
    <n v="89"/>
    <x v="1"/>
    <n v="3.5"/>
    <n v="326"/>
    <s v="Saw rare species"/>
    <m/>
    <s v="good"/>
    <s v="medium"/>
    <s v="Cam"/>
    <s v="SHARMA"/>
    <n v="5"/>
    <m/>
    <m/>
    <n v="4"/>
    <s v="sharma"/>
    <s v="rahul"/>
    <x v="3"/>
    <n v="36"/>
  </r>
  <r>
    <n v="1324"/>
    <s v="Arjun"/>
    <s v="Mehta"/>
    <x v="2"/>
    <d v="2024-01-31T00:00:00"/>
    <n v="24"/>
    <x v="1"/>
    <n v="3.8"/>
    <n v="316"/>
    <s v="No comments"/>
    <m/>
    <s v="good"/>
    <s v="short"/>
    <s v="Hik"/>
    <s v="MEHTA"/>
    <n v="5"/>
    <m/>
    <m/>
    <n v="4"/>
    <s v="mehta"/>
    <s v="arjun"/>
    <x v="2"/>
    <n v="41"/>
  </r>
  <r>
    <n v="1325"/>
    <s v="Anita"/>
    <s v="Iyer"/>
    <x v="0"/>
    <d v="2024-02-27T00:00:00"/>
    <n v="47"/>
    <x v="0"/>
    <n v="3.4"/>
    <n v="196"/>
    <s v="Good guide support"/>
    <m/>
    <s v="good"/>
    <s v="medium"/>
    <s v="Pho"/>
    <s v="IYER"/>
    <n v="5"/>
    <m/>
    <m/>
    <n v="3"/>
    <s v="iyer"/>
    <s v="anita"/>
    <x v="4"/>
    <n v="47"/>
  </r>
  <r>
    <n v="1326"/>
    <s v="Arjun"/>
    <s v="Iyer"/>
    <x v="4"/>
    <d v="2024-08-20T00:00:00"/>
    <n v="227"/>
    <x v="1"/>
    <n v="5"/>
    <n v="412"/>
    <s v="No comments"/>
    <m/>
    <s v="good"/>
    <s v="very long"/>
    <s v="Cam"/>
    <s v="IYER"/>
    <n v="5"/>
    <m/>
    <m/>
    <n v="5"/>
    <s v="iyer"/>
    <s v="arjun"/>
    <x v="3"/>
    <n v="49"/>
  </r>
  <r>
    <n v="1327"/>
    <s v="Kiran"/>
    <s v="Das"/>
    <x v="3"/>
    <d v="2024-07-04T00:00:00"/>
    <n v="222"/>
    <x v="2"/>
    <n v="3"/>
    <n v="228"/>
    <s v="Saw rare species"/>
    <m/>
    <s v="good"/>
    <s v="very long"/>
    <s v="Bir"/>
    <s v="DAS"/>
    <n v="5"/>
    <m/>
    <m/>
    <n v="3"/>
    <s v="das"/>
    <s v="kiran"/>
    <x v="3"/>
    <n v="50"/>
  </r>
  <r>
    <n v="1328"/>
    <s v="Priya"/>
    <s v="Das"/>
    <x v="0"/>
    <d v="2024-04-23T00:00:00"/>
    <n v="73"/>
    <x v="1"/>
    <n v="4.8"/>
    <n v="291"/>
    <s v="Average service"/>
    <m/>
    <s v="good"/>
    <s v="medium"/>
    <s v="Pho"/>
    <s v="DAS"/>
    <n v="5"/>
    <m/>
    <m/>
    <n v="5"/>
    <s v="das"/>
    <s v="priya"/>
    <x v="0"/>
    <n v="58"/>
  </r>
  <r>
    <n v="1329"/>
    <s v="Sanjay"/>
    <s v="Iyer"/>
    <x v="4"/>
    <d v="2024-12-05T00:00:00"/>
    <n v="174"/>
    <x v="1"/>
    <n v="4.8"/>
    <n v="481"/>
    <s v="Peaceful environment"/>
    <m/>
    <s v="good"/>
    <s v="long"/>
    <s v="Cam"/>
    <s v="IYER"/>
    <n v="6"/>
    <m/>
    <m/>
    <n v="5"/>
    <s v="iyer"/>
    <s v="sanjay"/>
    <x v="2"/>
    <n v="70"/>
  </r>
  <r>
    <n v="1330"/>
    <s v="Aditi"/>
    <s v="Nair"/>
    <x v="4"/>
    <d v="2024-10-05T00:00:00"/>
    <n v="132"/>
    <x v="1"/>
    <n v="4.8"/>
    <n v="180"/>
    <s v="Good guide support"/>
    <m/>
    <s v="good"/>
    <s v="long"/>
    <s v="Cam"/>
    <s v="NAIR"/>
    <n v="5"/>
    <m/>
    <m/>
    <n v="5"/>
    <s v="nair"/>
    <s v="aditi"/>
    <x v="1"/>
    <n v="73"/>
  </r>
  <r>
    <n v="1331"/>
    <s v="Priya"/>
    <s v="Menon"/>
    <x v="2"/>
    <d v="2024-07-08T00:00:00"/>
    <n v="86"/>
    <x v="2"/>
    <n v="3.2"/>
    <n v="473"/>
    <s v="Very enjoyable"/>
    <m/>
    <s v="good"/>
    <s v="medium"/>
    <s v="Hik"/>
    <s v="MENON"/>
    <n v="5"/>
    <m/>
    <m/>
    <n v="3"/>
    <s v="menon"/>
    <s v="priya"/>
    <x v="1"/>
    <n v="73"/>
  </r>
  <r>
    <n v="1332"/>
    <s v="Anita"/>
    <s v="Singh"/>
    <x v="1"/>
    <d v="2024-10-14T00:00:00"/>
    <n v="225"/>
    <x v="1"/>
    <n v="4.7"/>
    <n v="434"/>
    <s v="Too crowded"/>
    <m/>
    <s v="good"/>
    <s v="very long"/>
    <s v="Saf"/>
    <s v="SINGH"/>
    <n v="5"/>
    <m/>
    <m/>
    <n v="5"/>
    <s v="singh"/>
    <s v="anita"/>
    <x v="4"/>
    <n v="86"/>
  </r>
  <r>
    <n v="1333"/>
    <s v="Sanjay"/>
    <s v="Verma"/>
    <x v="5"/>
    <d v="2024-11-14T00:00:00"/>
    <n v="163"/>
    <x v="0"/>
    <n v="2.7"/>
    <n v="289"/>
    <s v="Amazing experience"/>
    <m/>
    <s v="good"/>
    <s v="long"/>
    <s v="Boa"/>
    <s v="VERMA"/>
    <n v="6"/>
    <m/>
    <m/>
    <n v="3"/>
    <s v="verma"/>
    <s v="sanjay"/>
    <x v="1"/>
    <n v="87"/>
  </r>
  <r>
    <n v="1334"/>
    <s v="Aditi"/>
    <s v="Sharma"/>
    <x v="3"/>
    <d v="2024-01-09T00:00:00"/>
    <n v="121"/>
    <x v="0"/>
    <n v="3.7"/>
    <n v="239"/>
    <s v="Average service"/>
    <m/>
    <s v="good"/>
    <s v="long"/>
    <s v="Bir"/>
    <s v="SHARMA"/>
    <n v="5"/>
    <m/>
    <m/>
    <n v="4"/>
    <s v="sharma"/>
    <s v="aditi"/>
    <x v="5"/>
    <n v="89"/>
  </r>
  <r>
    <n v="1335"/>
    <s v="Kiran"/>
    <s v="Das"/>
    <x v="0"/>
    <d v="2024-01-14T00:00:00"/>
    <n v="198"/>
    <x v="2"/>
    <n v="3.2"/>
    <n v="359"/>
    <s v="Good guide support"/>
    <m/>
    <s v="good"/>
    <s v="very long"/>
    <s v="Pho"/>
    <s v="DAS"/>
    <n v="5"/>
    <m/>
    <m/>
    <n v="3"/>
    <s v="das"/>
    <s v="kiran"/>
    <x v="1"/>
    <n v="91"/>
  </r>
  <r>
    <n v="1336"/>
    <s v="Rahul"/>
    <s v="Patel"/>
    <x v="5"/>
    <d v="2024-03-29T00:00:00"/>
    <n v="32"/>
    <x v="0"/>
    <n v="4.5999999999999996"/>
    <n v="178"/>
    <s v="Saw rare species"/>
    <m/>
    <s v="good"/>
    <s v="medium"/>
    <s v="Boa"/>
    <s v="PATEL"/>
    <n v="5"/>
    <m/>
    <m/>
    <n v="5"/>
    <s v="patel"/>
    <s v="rahul"/>
    <x v="2"/>
    <n v="95"/>
  </r>
  <r>
    <n v="1337"/>
    <s v="Divya"/>
    <s v="Nair"/>
    <x v="4"/>
    <d v="2024-04-26T00:00:00"/>
    <n v="128"/>
    <x v="0"/>
    <n v="3.9"/>
    <n v="448"/>
    <s v="Amazing experience"/>
    <m/>
    <s v="good"/>
    <s v="long"/>
    <s v="Cam"/>
    <s v="NAIR"/>
    <n v="5"/>
    <m/>
    <m/>
    <n v="4"/>
    <s v="nair"/>
    <s v="divya"/>
    <x v="0"/>
    <n v="96"/>
  </r>
  <r>
    <n v="1338"/>
    <s v="Priya"/>
    <s v="Iyer"/>
    <x v="0"/>
    <d v="2024-07-03T00:00:00"/>
    <n v="227"/>
    <x v="0"/>
    <n v="5"/>
    <n v="265"/>
    <s v="Average service"/>
    <m/>
    <s v="good"/>
    <s v="very long"/>
    <s v="Pho"/>
    <s v="IYER"/>
    <n v="5"/>
    <m/>
    <m/>
    <n v="5"/>
    <s v="iyer"/>
    <s v="priya"/>
    <x v="3"/>
    <n v="96"/>
  </r>
  <r>
    <n v="1339"/>
    <s v="Rahul"/>
    <s v="Das"/>
    <x v="5"/>
    <d v="2024-09-22T00:00:00"/>
    <n v="114"/>
    <x v="3"/>
    <n v="4.3"/>
    <n v="265"/>
    <s v="Saw rare species"/>
    <m/>
    <s v="good"/>
    <s v="long"/>
    <s v="Boa"/>
    <s v="DAS"/>
    <n v="5"/>
    <m/>
    <m/>
    <n v="4"/>
    <s v="das"/>
    <s v="rahul"/>
    <x v="0"/>
    <n v="99"/>
  </r>
  <r>
    <n v="1340"/>
    <s v="Sneha"/>
    <s v="Nair"/>
    <x v="1"/>
    <d v="2024-01-13T00:00:00"/>
    <n v="184"/>
    <x v="3"/>
    <n v="3.8"/>
    <n v="316"/>
    <s v="Saw rare species"/>
    <m/>
    <s v="good"/>
    <s v="very long"/>
    <s v="Saf"/>
    <s v="NAIR"/>
    <n v="5"/>
    <m/>
    <m/>
    <n v="4"/>
    <s v="nair"/>
    <s v="sneha"/>
    <x v="7"/>
    <n v="99"/>
  </r>
  <r>
    <n v="1341"/>
    <s v="Rahul"/>
    <s v="Menon"/>
    <x v="3"/>
    <d v="2024-03-09T00:00:00"/>
    <n v="58"/>
    <x v="2"/>
    <n v="4"/>
    <n v="402"/>
    <s v="Average service"/>
    <m/>
    <s v="good"/>
    <s v="medium"/>
    <s v="Bir"/>
    <s v="MENON"/>
    <n v="5"/>
    <m/>
    <m/>
    <n v="4"/>
    <s v="menon"/>
    <s v="rahul"/>
    <x v="7"/>
    <n v="101"/>
  </r>
  <r>
    <n v="1342"/>
    <s v="Priya"/>
    <s v="Patel"/>
    <x v="0"/>
    <d v="2024-08-12T00:00:00"/>
    <n v="228"/>
    <x v="3"/>
    <n v="4.5"/>
    <n v="236"/>
    <s v="Could be cleaner"/>
    <m/>
    <s v="good"/>
    <s v="very long"/>
    <s v="Pho"/>
    <s v="PATEL"/>
    <n v="5"/>
    <m/>
    <m/>
    <n v="5"/>
    <s v="patel"/>
    <s v="priya"/>
    <x v="0"/>
    <n v="113"/>
  </r>
  <r>
    <n v="1343"/>
    <s v="Anita"/>
    <s v="Nair"/>
    <x v="1"/>
    <d v="2024-11-03T00:00:00"/>
    <n v="126"/>
    <x v="0"/>
    <n v="4.5999999999999996"/>
    <n v="404"/>
    <s v="Good guide support"/>
    <m/>
    <s v="good"/>
    <s v="long"/>
    <s v="Saf"/>
    <s v="NAIR"/>
    <n v="5"/>
    <m/>
    <m/>
    <n v="5"/>
    <s v="nair"/>
    <s v="anita"/>
    <x v="1"/>
    <n v="113"/>
  </r>
  <r>
    <n v="1344"/>
    <s v="Divya"/>
    <s v="Verma"/>
    <x v="1"/>
    <d v="2024-11-09T00:00:00"/>
    <n v="162"/>
    <x v="1"/>
    <n v="4.4000000000000004"/>
    <n v="453"/>
    <s v="Could be cleaner"/>
    <m/>
    <s v="good"/>
    <s v="long"/>
    <s v="Saf"/>
    <s v="VERMA"/>
    <n v="5"/>
    <m/>
    <m/>
    <n v="4"/>
    <s v="verma"/>
    <s v="divya"/>
    <x v="4"/>
    <n v="114"/>
  </r>
  <r>
    <n v="1345"/>
    <s v="Priya"/>
    <s v="Patel"/>
    <x v="0"/>
    <d v="2024-03-21T00:00:00"/>
    <n v="164"/>
    <x v="2"/>
    <n v="3.7"/>
    <n v="101"/>
    <s v="Excellent wildlife view"/>
    <m/>
    <s v="good"/>
    <s v="long"/>
    <s v="Pho"/>
    <s v="PATEL"/>
    <n v="5"/>
    <m/>
    <m/>
    <n v="4"/>
    <s v="patel"/>
    <s v="priya"/>
    <x v="3"/>
    <n v="117"/>
  </r>
  <r>
    <n v="1346"/>
    <s v="Aditi"/>
    <s v="Menon"/>
    <x v="4"/>
    <d v="2024-10-26T00:00:00"/>
    <n v="91"/>
    <x v="0"/>
    <n v="4.2"/>
    <n v="364"/>
    <s v="Very enjoyable"/>
    <m/>
    <s v="good"/>
    <s v="long"/>
    <s v="Cam"/>
    <s v="MENON"/>
    <n v="5"/>
    <m/>
    <m/>
    <n v="4"/>
    <s v="menon"/>
    <s v="aditi"/>
    <x v="0"/>
    <n v="121"/>
  </r>
  <r>
    <n v="1347"/>
    <s v="Rahul"/>
    <s v="Patel"/>
    <x v="3"/>
    <d v="2024-09-09T00:00:00"/>
    <n v="99"/>
    <x v="3"/>
    <n v="3.6"/>
    <n v="209"/>
    <s v="Too crowded"/>
    <m/>
    <s v="good"/>
    <s v="long"/>
    <s v="Bir"/>
    <s v="PATEL"/>
    <n v="5"/>
    <m/>
    <m/>
    <n v="4"/>
    <s v="patel"/>
    <s v="rahul"/>
    <x v="5"/>
    <n v="126"/>
  </r>
  <r>
    <n v="1348"/>
    <s v="Sanjay"/>
    <s v="Singh"/>
    <x v="5"/>
    <d v="2024-11-14T00:00:00"/>
    <n v="49"/>
    <x v="0"/>
    <n v="4"/>
    <n v="151"/>
    <s v="Good guide support"/>
    <m/>
    <s v="good"/>
    <s v="medium"/>
    <s v="Boa"/>
    <s v="SINGH"/>
    <n v="6"/>
    <m/>
    <m/>
    <n v="4"/>
    <s v="singh"/>
    <s v="sanjay"/>
    <x v="6"/>
    <n v="128"/>
  </r>
  <r>
    <n v="1349"/>
    <s v="Rahul"/>
    <s v="Mehta"/>
    <x v="2"/>
    <d v="2024-07-08T00:00:00"/>
    <n v="142"/>
    <x v="2"/>
    <n v="3.1"/>
    <n v="140"/>
    <s v="No comments"/>
    <m/>
    <s v="good"/>
    <s v="long"/>
    <s v="Hik"/>
    <s v="MEHTA"/>
    <n v="5"/>
    <m/>
    <m/>
    <n v="3"/>
    <s v="mehta"/>
    <s v="rahul"/>
    <x v="6"/>
    <n v="131"/>
  </r>
  <r>
    <n v="1350"/>
    <s v="Sneha"/>
    <s v="Reddy"/>
    <x v="4"/>
    <d v="2024-06-21T00:00:00"/>
    <n v="101"/>
    <x v="3"/>
    <n v="2.8"/>
    <n v="434"/>
    <s v="Peaceful environment"/>
    <m/>
    <s v="good"/>
    <s v="long"/>
    <s v="Cam"/>
    <s v="REDDY"/>
    <n v="5"/>
    <m/>
    <m/>
    <n v="3"/>
    <s v="reddy"/>
    <s v="sneha"/>
    <x v="2"/>
    <n v="132"/>
  </r>
  <r>
    <n v="1351"/>
    <s v="Sneha"/>
    <s v="Das"/>
    <x v="3"/>
    <d v="2024-12-07T00:00:00"/>
    <n v="144"/>
    <x v="3"/>
    <n v="4.2"/>
    <n v="459"/>
    <s v="Average service"/>
    <m/>
    <s v="good"/>
    <s v="long"/>
    <s v="Bir"/>
    <s v="DAS"/>
    <n v="5"/>
    <m/>
    <m/>
    <n v="4"/>
    <s v="das"/>
    <s v="sneha"/>
    <x v="5"/>
    <n v="142"/>
  </r>
  <r>
    <n v="1352"/>
    <s v="Arjun"/>
    <s v="Mehta"/>
    <x v="5"/>
    <d v="2024-08-29T00:00:00"/>
    <n v="158"/>
    <x v="0"/>
    <n v="4.7"/>
    <n v="425"/>
    <s v="Saw rare species"/>
    <m/>
    <s v="good"/>
    <s v="long"/>
    <s v="Boa"/>
    <s v="MEHTA"/>
    <n v="5"/>
    <m/>
    <m/>
    <n v="5"/>
    <s v="mehta"/>
    <s v="arjun"/>
    <x v="2"/>
    <n v="144"/>
  </r>
  <r>
    <n v="1353"/>
    <s v="Arjun"/>
    <s v="Sharma"/>
    <x v="4"/>
    <d v="2024-08-18T00:00:00"/>
    <n v="188"/>
    <x v="2"/>
    <n v="4"/>
    <n v="313"/>
    <s v="Saw rare species"/>
    <m/>
    <s v="good"/>
    <s v="very long"/>
    <s v="Cam"/>
    <s v="SHARMA"/>
    <n v="5"/>
    <m/>
    <m/>
    <n v="4"/>
    <s v="sharma"/>
    <s v="arjun"/>
    <x v="7"/>
    <n v="145"/>
  </r>
  <r>
    <n v="1354"/>
    <s v="Aditi"/>
    <s v="Reddy"/>
    <x v="5"/>
    <d v="2024-03-02T00:00:00"/>
    <n v="145"/>
    <x v="0"/>
    <n v="3.1"/>
    <n v="381"/>
    <s v="Amazing experience"/>
    <m/>
    <s v="good"/>
    <s v="long"/>
    <s v="Boa"/>
    <s v="REDDY"/>
    <n v="5"/>
    <m/>
    <m/>
    <n v="3"/>
    <s v="reddy"/>
    <s v="aditi"/>
    <x v="4"/>
    <n v="147"/>
  </r>
  <r>
    <n v="1355"/>
    <s v="Divya"/>
    <s v="Verma"/>
    <x v="3"/>
    <d v="2024-08-21T00:00:00"/>
    <n v="70"/>
    <x v="3"/>
    <n v="2.6"/>
    <n v="416"/>
    <s v="Good guide support"/>
    <m/>
    <s v="good"/>
    <s v="medium"/>
    <s v="Bir"/>
    <s v="VERMA"/>
    <n v="5"/>
    <m/>
    <m/>
    <n v="3"/>
    <s v="verma"/>
    <s v="divya"/>
    <x v="7"/>
    <n v="154"/>
  </r>
  <r>
    <n v="1356"/>
    <s v="Sneha"/>
    <s v="Das"/>
    <x v="1"/>
    <d v="2024-05-31T00:00:00"/>
    <n v="22"/>
    <x v="2"/>
    <n v="2.7"/>
    <n v="263"/>
    <s v="No comments"/>
    <m/>
    <s v="good"/>
    <s v="short"/>
    <s v="Saf"/>
    <s v="DAS"/>
    <n v="5"/>
    <m/>
    <m/>
    <n v="3"/>
    <s v="das"/>
    <s v="sneha"/>
    <x v="5"/>
    <n v="158"/>
  </r>
  <r>
    <n v="1357"/>
    <s v="Anita"/>
    <s v="Das"/>
    <x v="1"/>
    <d v="2024-12-31T00:00:00"/>
    <n v="36"/>
    <x v="0"/>
    <n v="3.9"/>
    <n v="115"/>
    <s v="Could be cleaner"/>
    <m/>
    <s v="good"/>
    <s v="medium"/>
    <s v="Saf"/>
    <s v="DAS"/>
    <n v="5"/>
    <m/>
    <m/>
    <n v="4"/>
    <s v="das"/>
    <s v="anita"/>
    <x v="6"/>
    <n v="162"/>
  </r>
  <r>
    <n v="1358"/>
    <s v="Vikram"/>
    <s v="Verma"/>
    <x v="4"/>
    <d v="2024-02-14T00:00:00"/>
    <n v="96"/>
    <x v="2"/>
    <n v="3"/>
    <n v="162"/>
    <s v="Could be cleaner"/>
    <m/>
    <s v="good"/>
    <s v="long"/>
    <s v="Cam"/>
    <s v="VERMA"/>
    <n v="6"/>
    <m/>
    <m/>
    <n v="3"/>
    <s v="verma"/>
    <s v="vikram"/>
    <x v="1"/>
    <n v="163"/>
  </r>
  <r>
    <n v="1359"/>
    <s v="Divya"/>
    <s v="Iyer"/>
    <x v="3"/>
    <d v="2024-07-02T00:00:00"/>
    <n v="205"/>
    <x v="2"/>
    <n v="2.6"/>
    <n v="464"/>
    <s v="Excellent wildlife view"/>
    <m/>
    <s v="good"/>
    <s v="very long"/>
    <s v="Bir"/>
    <s v="IYER"/>
    <n v="5"/>
    <m/>
    <m/>
    <n v="3"/>
    <s v="iyer"/>
    <s v="divya"/>
    <x v="0"/>
    <n v="164"/>
  </r>
  <r>
    <n v="1360"/>
    <s v="Aditi"/>
    <s v="Menon"/>
    <x v="4"/>
    <d v="2024-03-25T00:00:00"/>
    <n v="183"/>
    <x v="2"/>
    <n v="3.3"/>
    <n v="137"/>
    <s v="Good guide support"/>
    <m/>
    <s v="good"/>
    <s v="very long"/>
    <s v="Cam"/>
    <s v="MENON"/>
    <n v="5"/>
    <m/>
    <m/>
    <n v="3"/>
    <s v="menon"/>
    <s v="aditi"/>
    <x v="3"/>
    <n v="164"/>
  </r>
  <r>
    <n v="1361"/>
    <s v="Kiran"/>
    <s v="Sharma"/>
    <x v="2"/>
    <d v="2024-07-02T00:00:00"/>
    <n v="220"/>
    <x v="2"/>
    <n v="5"/>
    <n v="166"/>
    <s v="Very enjoyable"/>
    <m/>
    <s v="good"/>
    <s v="very long"/>
    <s v="Hik"/>
    <s v="SHARMA"/>
    <n v="5"/>
    <m/>
    <m/>
    <n v="5"/>
    <s v="sharma"/>
    <s v="kiran"/>
    <x v="5"/>
    <n v="174"/>
  </r>
  <r>
    <n v="1362"/>
    <s v="Arjun"/>
    <s v="Iyer"/>
    <x v="5"/>
    <d v="2024-02-05T00:00:00"/>
    <n v="96"/>
    <x v="3"/>
    <n v="4.0999999999999996"/>
    <n v="228"/>
    <s v="Saw rare species"/>
    <m/>
    <s v="good"/>
    <s v="long"/>
    <s v="Boa"/>
    <s v="IYER"/>
    <n v="5"/>
    <m/>
    <m/>
    <n v="4"/>
    <s v="iyer"/>
    <s v="arjun"/>
    <x v="0"/>
    <n v="174"/>
  </r>
  <r>
    <n v="1363"/>
    <s v="Kiran"/>
    <s v="Singh"/>
    <x v="3"/>
    <d v="2024-05-28T00:00:00"/>
    <n v="35"/>
    <x v="0"/>
    <n v="2.7"/>
    <n v="173"/>
    <s v="Good guide support"/>
    <m/>
    <s v="good"/>
    <s v="medium"/>
    <s v="Bir"/>
    <s v="SINGH"/>
    <n v="5"/>
    <m/>
    <m/>
    <n v="3"/>
    <s v="singh"/>
    <s v="kiran"/>
    <x v="0"/>
    <n v="181"/>
  </r>
  <r>
    <n v="1364"/>
    <s v="Rahul"/>
    <s v="Singh"/>
    <x v="0"/>
    <d v="2024-06-26T00:00:00"/>
    <n v="21"/>
    <x v="3"/>
    <n v="2.9"/>
    <n v="330"/>
    <s v="No comments"/>
    <m/>
    <s v="good"/>
    <s v="short"/>
    <s v="Pho"/>
    <s v="SINGH"/>
    <n v="5"/>
    <m/>
    <m/>
    <n v="3"/>
    <s v="singh"/>
    <s v="rahul"/>
    <x v="7"/>
    <n v="183"/>
  </r>
  <r>
    <n v="1365"/>
    <s v="Vikram"/>
    <s v="Sharma"/>
    <x v="2"/>
    <d v="2024-01-12T00:00:00"/>
    <n v="113"/>
    <x v="2"/>
    <n v="4.7"/>
    <n v="309"/>
    <s v="Average service"/>
    <m/>
    <s v="good"/>
    <s v="long"/>
    <s v="Hik"/>
    <s v="SHARMA"/>
    <n v="6"/>
    <m/>
    <m/>
    <n v="5"/>
    <s v="sharma"/>
    <s v="vikram"/>
    <x v="0"/>
    <n v="184"/>
  </r>
  <r>
    <n v="1366"/>
    <s v="Anita"/>
    <s v="Verma"/>
    <x v="0"/>
    <d v="2024-05-05T00:00:00"/>
    <n v="95"/>
    <x v="2"/>
    <n v="3.2"/>
    <n v="276"/>
    <s v="Good guide support"/>
    <m/>
    <s v="good"/>
    <s v="long"/>
    <s v="Pho"/>
    <s v="VERMA"/>
    <n v="5"/>
    <m/>
    <m/>
    <n v="3"/>
    <s v="verma"/>
    <s v="anita"/>
    <x v="7"/>
    <n v="188"/>
  </r>
  <r>
    <n v="1367"/>
    <s v="Aditi"/>
    <s v="Mehta"/>
    <x v="4"/>
    <d v="2024-08-20T00:00:00"/>
    <n v="99"/>
    <x v="2"/>
    <n v="4.5999999999999996"/>
    <n v="471"/>
    <s v="Peaceful environment"/>
    <m/>
    <s v="good"/>
    <s v="long"/>
    <s v="Cam"/>
    <s v="MEHTA"/>
    <n v="5"/>
    <m/>
    <m/>
    <n v="5"/>
    <s v="mehta"/>
    <s v="aditi"/>
    <x v="5"/>
    <n v="198"/>
  </r>
  <r>
    <n v="1368"/>
    <s v="Aditi"/>
    <s v="Sharma"/>
    <x v="5"/>
    <d v="2024-09-04T00:00:00"/>
    <n v="131"/>
    <x v="2"/>
    <n v="3.2"/>
    <n v="496"/>
    <s v="Amazing experience"/>
    <m/>
    <s v="good"/>
    <s v="long"/>
    <s v="Boa"/>
    <s v="SHARMA"/>
    <n v="5"/>
    <m/>
    <m/>
    <n v="3"/>
    <s v="sharma"/>
    <s v="aditi"/>
    <x v="1"/>
    <n v="200"/>
  </r>
  <r>
    <n v="1369"/>
    <s v="Vikram"/>
    <s v="Reddy"/>
    <x v="3"/>
    <d v="2024-03-02T00:00:00"/>
    <n v="147"/>
    <x v="1"/>
    <n v="3.1"/>
    <n v="228"/>
    <s v="Could be cleaner"/>
    <m/>
    <s v="good"/>
    <s v="long"/>
    <s v="Bir"/>
    <s v="REDDY"/>
    <n v="6"/>
    <m/>
    <m/>
    <n v="3"/>
    <s v="reddy"/>
    <s v="vikram"/>
    <x v="5"/>
    <n v="205"/>
  </r>
  <r>
    <n v="1370"/>
    <s v="Anita"/>
    <s v="Patel"/>
    <x v="5"/>
    <d v="2024-04-10T00:00:00"/>
    <n v="73"/>
    <x v="1"/>
    <n v="3.8"/>
    <n v="340"/>
    <s v="Too crowded"/>
    <m/>
    <s v="good"/>
    <s v="medium"/>
    <s v="Boa"/>
    <s v="PATEL"/>
    <n v="5"/>
    <m/>
    <m/>
    <n v="4"/>
    <s v="patel"/>
    <s v="anita"/>
    <x v="1"/>
    <n v="220"/>
  </r>
  <r>
    <n v="1371"/>
    <s v="Sanjay"/>
    <s v="Patel"/>
    <x v="2"/>
    <d v="2024-11-29T00:00:00"/>
    <n v="238"/>
    <x v="0"/>
    <n v="4.9000000000000004"/>
    <n v="111"/>
    <s v="Excellent wildlife view"/>
    <m/>
    <s v="good"/>
    <s v="very long"/>
    <s v="Hik"/>
    <s v="PATEL"/>
    <n v="6"/>
    <m/>
    <m/>
    <n v="5"/>
    <s v="patel"/>
    <s v="sanjay"/>
    <x v="7"/>
    <n v="222"/>
  </r>
  <r>
    <n v="1372"/>
    <s v="Vikram"/>
    <s v="Nair"/>
    <x v="2"/>
    <d v="2024-07-25T00:00:00"/>
    <n v="164"/>
    <x v="2"/>
    <n v="2.6"/>
    <n v="324"/>
    <s v="Too crowded"/>
    <m/>
    <s v="good"/>
    <s v="long"/>
    <s v="Hik"/>
    <s v="NAIR"/>
    <n v="6"/>
    <m/>
    <m/>
    <n v="3"/>
    <s v="nair"/>
    <s v="vikram"/>
    <x v="2"/>
    <n v="225"/>
  </r>
  <r>
    <n v="1373"/>
    <s v="Anita"/>
    <s v="Iyer"/>
    <x v="2"/>
    <d v="2024-08-19T00:00:00"/>
    <n v="113"/>
    <x v="0"/>
    <n v="3.3"/>
    <n v="243"/>
    <s v="Amazing experience"/>
    <m/>
    <s v="good"/>
    <s v="long"/>
    <s v="Hik"/>
    <s v="IYER"/>
    <n v="5"/>
    <m/>
    <m/>
    <n v="3"/>
    <s v="iyer"/>
    <s v="anita"/>
    <x v="7"/>
    <n v="227"/>
  </r>
  <r>
    <n v="1374"/>
    <s v="Vikram"/>
    <s v="Das"/>
    <x v="4"/>
    <d v="2024-10-06T00:00:00"/>
    <n v="117"/>
    <x v="3"/>
    <n v="3.1"/>
    <n v="421"/>
    <s v="Average service"/>
    <m/>
    <s v="good"/>
    <s v="long"/>
    <s v="Cam"/>
    <s v="DAS"/>
    <n v="6"/>
    <m/>
    <m/>
    <n v="3"/>
    <s v="das"/>
    <s v="vikram"/>
    <x v="4"/>
    <n v="227"/>
  </r>
  <r>
    <n v="1375"/>
    <s v="Sanjay"/>
    <s v="Menon"/>
    <x v="1"/>
    <d v="2024-02-09T00:00:00"/>
    <n v="154"/>
    <x v="2"/>
    <n v="4.0999999999999996"/>
    <n v="471"/>
    <s v="Good guide support"/>
    <m/>
    <s v="good"/>
    <s v="long"/>
    <s v="Saf"/>
    <s v="MENON"/>
    <n v="6"/>
    <m/>
    <m/>
    <n v="4"/>
    <s v="menon"/>
    <s v="sanjay"/>
    <x v="3"/>
    <n v="228"/>
  </r>
  <r>
    <n v="1376"/>
    <s v="Sanjay"/>
    <s v="Mehta"/>
    <x v="2"/>
    <d v="2024-09-12T00:00:00"/>
    <n v="50"/>
    <x v="3"/>
    <n v="4.7"/>
    <n v="263"/>
    <s v="Good guide support"/>
    <m/>
    <s v="good"/>
    <s v="medium"/>
    <s v="Hik"/>
    <s v="MEHTA"/>
    <n v="6"/>
    <m/>
    <m/>
    <n v="5"/>
    <s v="mehta"/>
    <s v="sanjay"/>
    <x v="5"/>
    <n v="238"/>
  </r>
  <r>
    <n v="1377"/>
    <s v="Aditi"/>
    <s v="Patel"/>
    <x v="1"/>
    <d v="2024-05-12T00:00:00"/>
    <n v="58"/>
    <x v="0"/>
    <n v="3.8"/>
    <n v="123"/>
    <s v="Peaceful environment"/>
    <m/>
    <s v="good"/>
    <s v="medium"/>
    <s v="Saf"/>
    <s v="PATEL"/>
    <n v="5"/>
    <m/>
    <m/>
    <n v="4"/>
    <s v="patel"/>
    <s v="aditi"/>
    <x v="3"/>
    <n v="20"/>
  </r>
  <r>
    <n v="1378"/>
    <s v="Aditi"/>
    <s v="Iyer"/>
    <x v="5"/>
    <d v="2024-04-11T00:00:00"/>
    <n v="165"/>
    <x v="3"/>
    <n v="3.8"/>
    <n v="128"/>
    <s v="Excellent wildlife view"/>
    <m/>
    <s v="good"/>
    <s v="long"/>
    <s v="Boa"/>
    <s v="IYER"/>
    <n v="5"/>
    <m/>
    <m/>
    <n v="4"/>
    <s v="iyer"/>
    <s v="aditi"/>
    <x v="4"/>
    <n v="22"/>
  </r>
  <r>
    <n v="1379"/>
    <s v="Rahul"/>
    <s v="Verma"/>
    <x v="3"/>
    <d v="2024-05-28T00:00:00"/>
    <n v="22"/>
    <x v="3"/>
    <n v="3.4"/>
    <n v="342"/>
    <s v="Amazing experience"/>
    <m/>
    <s v="good"/>
    <s v="short"/>
    <s v="Bir"/>
    <s v="VERMA"/>
    <n v="5"/>
    <m/>
    <m/>
    <n v="3"/>
    <s v="verma"/>
    <s v="rahul"/>
    <x v="6"/>
    <n v="30"/>
  </r>
  <r>
    <n v="1380"/>
    <s v="Divya"/>
    <s v="Nair"/>
    <x v="2"/>
    <d v="2024-06-01T00:00:00"/>
    <n v="77"/>
    <x v="3"/>
    <n v="4"/>
    <n v="295"/>
    <s v="Amazing experience"/>
    <m/>
    <s v="good"/>
    <s v="medium"/>
    <s v="Hik"/>
    <s v="NAIR"/>
    <n v="5"/>
    <m/>
    <m/>
    <n v="4"/>
    <s v="nair"/>
    <s v="divya"/>
    <x v="0"/>
    <n v="43"/>
  </r>
  <r>
    <n v="1381"/>
    <s v="Aditi"/>
    <s v="Iyer"/>
    <x v="3"/>
    <d v="2024-05-27T00:00:00"/>
    <n v="43"/>
    <x v="3"/>
    <n v="3.9"/>
    <n v="387"/>
    <s v="Could be cleaner"/>
    <m/>
    <s v="good"/>
    <s v="medium"/>
    <s v="Bir"/>
    <s v="IYER"/>
    <n v="5"/>
    <m/>
    <m/>
    <n v="4"/>
    <s v="iyer"/>
    <s v="aditi"/>
    <x v="5"/>
    <n v="46"/>
  </r>
  <r>
    <n v="1382"/>
    <s v="Sanjay"/>
    <s v="Reddy"/>
    <x v="3"/>
    <d v="2024-08-09T00:00:00"/>
    <n v="239"/>
    <x v="0"/>
    <n v="2.6"/>
    <n v="316"/>
    <s v="Could be cleaner"/>
    <m/>
    <s v="good"/>
    <s v="very long"/>
    <s v="Bir"/>
    <s v="REDDY"/>
    <n v="6"/>
    <m/>
    <m/>
    <n v="3"/>
    <s v="reddy"/>
    <s v="sanjay"/>
    <x v="0"/>
    <n v="55"/>
  </r>
  <r>
    <n v="1383"/>
    <s v="Sanjay"/>
    <s v="Patel"/>
    <x v="5"/>
    <d v="2024-11-14T00:00:00"/>
    <n v="131"/>
    <x v="3"/>
    <n v="4.8"/>
    <n v="247"/>
    <s v="Excellent wildlife view"/>
    <m/>
    <s v="good"/>
    <s v="long"/>
    <s v="Boa"/>
    <s v="PATEL"/>
    <n v="6"/>
    <m/>
    <m/>
    <n v="5"/>
    <s v="patel"/>
    <s v="sanjay"/>
    <x v="0"/>
    <n v="58"/>
  </r>
  <r>
    <n v="1384"/>
    <s v="Vikram"/>
    <s v="Mehta"/>
    <x v="1"/>
    <d v="2024-10-11T00:00:00"/>
    <n v="204"/>
    <x v="2"/>
    <n v="3.7"/>
    <n v="299"/>
    <s v="Amazing experience"/>
    <m/>
    <s v="good"/>
    <s v="very long"/>
    <s v="Saf"/>
    <s v="MEHTA"/>
    <n v="6"/>
    <m/>
    <m/>
    <n v="4"/>
    <s v="mehta"/>
    <s v="vikram"/>
    <x v="5"/>
    <n v="61"/>
  </r>
  <r>
    <n v="1385"/>
    <s v="Aditi"/>
    <s v="Verma"/>
    <x v="4"/>
    <d v="2024-08-09T00:00:00"/>
    <n v="210"/>
    <x v="0"/>
    <n v="3.4"/>
    <n v="393"/>
    <s v="Excellent wildlife view"/>
    <m/>
    <s v="good"/>
    <s v="very long"/>
    <s v="Cam"/>
    <s v="VERMA"/>
    <n v="5"/>
    <m/>
    <m/>
    <n v="3"/>
    <s v="verma"/>
    <s v="aditi"/>
    <x v="7"/>
    <n v="64"/>
  </r>
  <r>
    <n v="1386"/>
    <s v="Vikram"/>
    <s v="Nair"/>
    <x v="0"/>
    <d v="2024-04-14T00:00:00"/>
    <n v="200"/>
    <x v="3"/>
    <n v="3.5"/>
    <n v="443"/>
    <s v="Could be cleaner"/>
    <m/>
    <s v="good"/>
    <s v="very long"/>
    <s v="Pho"/>
    <s v="NAIR"/>
    <n v="6"/>
    <m/>
    <m/>
    <n v="4"/>
    <s v="nair"/>
    <s v="vikram"/>
    <x v="1"/>
    <n v="70"/>
  </r>
  <r>
    <n v="1387"/>
    <s v="Sanjay"/>
    <s v="Reddy"/>
    <x v="1"/>
    <d v="2024-11-02T00:00:00"/>
    <n v="195"/>
    <x v="2"/>
    <n v="4.0999999999999996"/>
    <n v="147"/>
    <s v="Could be cleaner"/>
    <m/>
    <s v="good"/>
    <s v="very long"/>
    <s v="Saf"/>
    <s v="REDDY"/>
    <n v="6"/>
    <m/>
    <m/>
    <n v="4"/>
    <s v="reddy"/>
    <s v="sanjay"/>
    <x v="0"/>
    <n v="72"/>
  </r>
  <r>
    <n v="1388"/>
    <s v="Divya"/>
    <s v="Das"/>
    <x v="5"/>
    <d v="2024-02-11T00:00:00"/>
    <n v="198"/>
    <x v="3"/>
    <n v="3.9"/>
    <n v="208"/>
    <s v="Good guide support"/>
    <m/>
    <s v="good"/>
    <s v="very long"/>
    <s v="Boa"/>
    <s v="DAS"/>
    <n v="5"/>
    <m/>
    <m/>
    <n v="4"/>
    <s v="das"/>
    <s v="divya"/>
    <x v="4"/>
    <n v="76"/>
  </r>
  <r>
    <n v="1389"/>
    <s v="Kiran"/>
    <s v="Sharma"/>
    <x v="3"/>
    <d v="2024-02-26T00:00:00"/>
    <n v="137"/>
    <x v="2"/>
    <n v="3.9"/>
    <n v="141"/>
    <s v="Very enjoyable"/>
    <m/>
    <s v="good"/>
    <s v="long"/>
    <s v="Bir"/>
    <s v="SHARMA"/>
    <n v="5"/>
    <m/>
    <m/>
    <n v="4"/>
    <s v="sharma"/>
    <s v="kiran"/>
    <x v="0"/>
    <n v="77"/>
  </r>
  <r>
    <n v="1390"/>
    <s v="Arjun"/>
    <s v="Singh"/>
    <x v="4"/>
    <d v="2024-08-07T00:00:00"/>
    <n v="117"/>
    <x v="1"/>
    <n v="2.8"/>
    <n v="225"/>
    <s v="Good guide support"/>
    <m/>
    <s v="good"/>
    <s v="long"/>
    <s v="Cam"/>
    <s v="SINGH"/>
    <n v="5"/>
    <m/>
    <m/>
    <n v="3"/>
    <s v="singh"/>
    <s v="arjun"/>
    <x v="6"/>
    <n v="83"/>
  </r>
  <r>
    <n v="1391"/>
    <s v="Arjun"/>
    <s v="Mehta"/>
    <x v="5"/>
    <d v="2024-04-13T00:00:00"/>
    <n v="193"/>
    <x v="2"/>
    <n v="3.9"/>
    <n v="183"/>
    <s v="No comments"/>
    <m/>
    <s v="good"/>
    <s v="very long"/>
    <s v="Boa"/>
    <s v="MEHTA"/>
    <n v="5"/>
    <m/>
    <m/>
    <n v="4"/>
    <s v="mehta"/>
    <s v="arjun"/>
    <x v="5"/>
    <n v="87"/>
  </r>
  <r>
    <n v="1392"/>
    <s v="Vikram"/>
    <s v="Sharma"/>
    <x v="4"/>
    <d v="2024-06-25T00:00:00"/>
    <n v="238"/>
    <x v="3"/>
    <n v="2.9"/>
    <n v="332"/>
    <s v="Peaceful environment"/>
    <m/>
    <s v="good"/>
    <s v="very long"/>
    <s v="Cam"/>
    <s v="SHARMA"/>
    <n v="6"/>
    <m/>
    <m/>
    <n v="3"/>
    <s v="sharma"/>
    <s v="vikram"/>
    <x v="7"/>
    <n v="113"/>
  </r>
  <r>
    <n v="1393"/>
    <s v="Kiran"/>
    <s v="Mehta"/>
    <x v="3"/>
    <d v="2024-01-29T00:00:00"/>
    <n v="126"/>
    <x v="1"/>
    <n v="5"/>
    <n v="212"/>
    <s v="Saw rare species"/>
    <m/>
    <s v="good"/>
    <s v="long"/>
    <s v="Bir"/>
    <s v="MEHTA"/>
    <n v="5"/>
    <m/>
    <m/>
    <n v="5"/>
    <s v="mehta"/>
    <s v="kiran"/>
    <x v="5"/>
    <n v="117"/>
  </r>
  <r>
    <n v="1394"/>
    <s v="Arjun"/>
    <s v="Reddy"/>
    <x v="4"/>
    <d v="2024-09-13T00:00:00"/>
    <n v="197"/>
    <x v="1"/>
    <n v="4.5"/>
    <n v="471"/>
    <s v="Average service"/>
    <m/>
    <s v="good"/>
    <s v="very long"/>
    <s v="Cam"/>
    <s v="REDDY"/>
    <n v="5"/>
    <m/>
    <m/>
    <n v="5"/>
    <s v="reddy"/>
    <s v="arjun"/>
    <x v="5"/>
    <n v="117"/>
  </r>
  <r>
    <n v="1395"/>
    <s v="Rahul"/>
    <s v="Sharma"/>
    <x v="0"/>
    <d v="2024-10-02T00:00:00"/>
    <n v="61"/>
    <x v="2"/>
    <n v="4.5"/>
    <n v="304"/>
    <s v="Average service"/>
    <m/>
    <s v="good"/>
    <s v="medium"/>
    <s v="Pho"/>
    <s v="SHARMA"/>
    <n v="5"/>
    <m/>
    <m/>
    <n v="5"/>
    <s v="sharma"/>
    <s v="rahul"/>
    <x v="6"/>
    <n v="126"/>
  </r>
  <r>
    <n v="1396"/>
    <s v="Sanjay"/>
    <s v="Mehta"/>
    <x v="3"/>
    <d v="2024-12-13T00:00:00"/>
    <n v="232"/>
    <x v="1"/>
    <n v="5"/>
    <n v="198"/>
    <s v="Could be cleaner"/>
    <m/>
    <s v="good"/>
    <s v="very long"/>
    <s v="Bir"/>
    <s v="MEHTA"/>
    <n v="6"/>
    <m/>
    <m/>
    <n v="5"/>
    <s v="mehta"/>
    <s v="sanjay"/>
    <x v="1"/>
    <n v="126"/>
  </r>
  <r>
    <n v="1397"/>
    <s v="Anita"/>
    <s v="Mehta"/>
    <x v="3"/>
    <d v="2024-08-08T00:00:00"/>
    <n v="113"/>
    <x v="0"/>
    <n v="2.5"/>
    <n v="434"/>
    <s v="Good guide support"/>
    <m/>
    <s v="neutral"/>
    <s v="long"/>
    <s v="Bir"/>
    <s v="MEHTA"/>
    <n v="5"/>
    <m/>
    <m/>
    <n v="3"/>
    <s v="mehta"/>
    <s v="anita"/>
    <x v="6"/>
    <n v="126"/>
  </r>
  <r>
    <n v="1398"/>
    <s v="Anita"/>
    <s v="Sharma"/>
    <x v="0"/>
    <d v="2024-12-11T00:00:00"/>
    <n v="136"/>
    <x v="0"/>
    <n v="4.0999999999999996"/>
    <n v="208"/>
    <s v="Very enjoyable"/>
    <m/>
    <s v="good"/>
    <s v="long"/>
    <s v="Pho"/>
    <s v="SHARMA"/>
    <n v="5"/>
    <m/>
    <m/>
    <n v="4"/>
    <s v="sharma"/>
    <s v="anita"/>
    <x v="6"/>
    <n v="126"/>
  </r>
  <r>
    <n v="1399"/>
    <s v="Arjun"/>
    <s v="Das"/>
    <x v="2"/>
    <d v="2024-03-16T00:00:00"/>
    <n v="227"/>
    <x v="0"/>
    <n v="3.3"/>
    <n v="451"/>
    <s v="Good guide support"/>
    <m/>
    <s v="good"/>
    <s v="very long"/>
    <s v="Hik"/>
    <s v="DAS"/>
    <n v="5"/>
    <m/>
    <m/>
    <n v="3"/>
    <s v="das"/>
    <s v="arjun"/>
    <x v="5"/>
    <n v="128"/>
  </r>
  <r>
    <n v="1400"/>
    <s v="Vikram"/>
    <s v="Sharma"/>
    <x v="3"/>
    <d v="2024-08-06T00:00:00"/>
    <n v="240"/>
    <x v="2"/>
    <n v="4.3"/>
    <n v="312"/>
    <s v="Could be cleaner"/>
    <m/>
    <s v="good"/>
    <s v="very long"/>
    <s v="Bir"/>
    <s v="SHARMA"/>
    <n v="6"/>
    <m/>
    <m/>
    <n v="4"/>
    <s v="sharma"/>
    <s v="vikram"/>
    <x v="7"/>
    <n v="129"/>
  </r>
  <r>
    <n v="1401"/>
    <s v="Sneha"/>
    <s v="Sharma"/>
    <x v="3"/>
    <d v="2024-11-12T00:00:00"/>
    <n v="236"/>
    <x v="2"/>
    <n v="3.3"/>
    <n v="236"/>
    <s v="Excellent wildlife view"/>
    <m/>
    <s v="good"/>
    <s v="very long"/>
    <s v="Bir"/>
    <s v="SHARMA"/>
    <n v="5"/>
    <m/>
    <m/>
    <n v="3"/>
    <s v="sharma"/>
    <s v="sneha"/>
    <x v="4"/>
    <n v="131"/>
  </r>
  <r>
    <n v="1402"/>
    <s v="Sanjay"/>
    <s v="Mehta"/>
    <x v="4"/>
    <d v="2024-02-24T00:00:00"/>
    <n v="126"/>
    <x v="0"/>
    <n v="4.0999999999999996"/>
    <n v="346"/>
    <s v="Very enjoyable"/>
    <m/>
    <s v="good"/>
    <s v="long"/>
    <s v="Cam"/>
    <s v="MEHTA"/>
    <n v="6"/>
    <m/>
    <m/>
    <n v="4"/>
    <s v="mehta"/>
    <s v="sanjay"/>
    <x v="2"/>
    <n v="135"/>
  </r>
  <r>
    <n v="1403"/>
    <s v="Divya"/>
    <s v="Menon"/>
    <x v="3"/>
    <d v="2024-10-20T00:00:00"/>
    <n v="150"/>
    <x v="3"/>
    <n v="2.9"/>
    <n v="242"/>
    <s v="Amazing experience"/>
    <m/>
    <s v="good"/>
    <s v="long"/>
    <s v="Bir"/>
    <s v="MENON"/>
    <n v="5"/>
    <m/>
    <m/>
    <n v="3"/>
    <s v="menon"/>
    <s v="divya"/>
    <x v="6"/>
    <n v="136"/>
  </r>
  <r>
    <n v="1404"/>
    <s v="Aditi"/>
    <s v="Singh"/>
    <x v="1"/>
    <d v="2024-07-19T00:00:00"/>
    <n v="87"/>
    <x v="0"/>
    <n v="3.7"/>
    <n v="259"/>
    <s v="Could be cleaner"/>
    <m/>
    <s v="good"/>
    <s v="medium"/>
    <s v="Saf"/>
    <s v="SINGH"/>
    <n v="5"/>
    <m/>
    <m/>
    <n v="4"/>
    <s v="singh"/>
    <s v="aditi"/>
    <x v="2"/>
    <n v="137"/>
  </r>
  <r>
    <n v="1405"/>
    <s v="Aditi"/>
    <s v="Singh"/>
    <x v="5"/>
    <d v="2024-10-01T00:00:00"/>
    <n v="46"/>
    <x v="2"/>
    <n v="5"/>
    <n v="203"/>
    <s v="Peaceful environment"/>
    <m/>
    <s v="good"/>
    <s v="medium"/>
    <s v="Boa"/>
    <s v="SINGH"/>
    <n v="5"/>
    <m/>
    <m/>
    <n v="5"/>
    <s v="singh"/>
    <s v="aditi"/>
    <x v="3"/>
    <n v="138"/>
  </r>
  <r>
    <n v="1406"/>
    <s v="Sanjay"/>
    <s v="Sharma"/>
    <x v="1"/>
    <d v="2024-07-01T00:00:00"/>
    <n v="164"/>
    <x v="3"/>
    <n v="3.4"/>
    <n v="398"/>
    <s v="Average service"/>
    <m/>
    <s v="good"/>
    <s v="long"/>
    <s v="Saf"/>
    <s v="SHARMA"/>
    <n v="6"/>
    <m/>
    <m/>
    <n v="3"/>
    <s v="sharma"/>
    <s v="sanjay"/>
    <x v="2"/>
    <n v="147"/>
  </r>
  <r>
    <n v="1407"/>
    <s v="Sneha"/>
    <s v="Patel"/>
    <x v="3"/>
    <d v="2024-01-24T00:00:00"/>
    <n v="201"/>
    <x v="1"/>
    <n v="4.5"/>
    <n v="387"/>
    <s v="Very enjoyable"/>
    <m/>
    <s v="good"/>
    <s v="very long"/>
    <s v="Bir"/>
    <s v="PATEL"/>
    <n v="5"/>
    <m/>
    <m/>
    <n v="5"/>
    <s v="patel"/>
    <s v="sneha"/>
    <x v="2"/>
    <n v="150"/>
  </r>
  <r>
    <n v="1408"/>
    <s v="Aditi"/>
    <s v="Nair"/>
    <x v="4"/>
    <d v="2024-05-19T00:00:00"/>
    <n v="76"/>
    <x v="2"/>
    <n v="4"/>
    <n v="340"/>
    <s v="Good guide support"/>
    <m/>
    <s v="good"/>
    <s v="medium"/>
    <s v="Cam"/>
    <s v="NAIR"/>
    <n v="5"/>
    <m/>
    <m/>
    <n v="4"/>
    <s v="nair"/>
    <s v="aditi"/>
    <x v="6"/>
    <n v="159"/>
  </r>
  <r>
    <n v="1409"/>
    <s v="Rahul"/>
    <s v="Sharma"/>
    <x v="5"/>
    <d v="2024-05-04T00:00:00"/>
    <n v="214"/>
    <x v="3"/>
    <n v="4.5999999999999996"/>
    <n v="497"/>
    <s v="Average service"/>
    <m/>
    <s v="good"/>
    <s v="very long"/>
    <s v="Boa"/>
    <s v="SHARMA"/>
    <n v="5"/>
    <m/>
    <m/>
    <n v="5"/>
    <s v="sharma"/>
    <s v="rahul"/>
    <x v="2"/>
    <n v="164"/>
  </r>
  <r>
    <n v="1410"/>
    <s v="Kiran"/>
    <s v="Verma"/>
    <x v="2"/>
    <d v="2024-09-19T00:00:00"/>
    <n v="138"/>
    <x v="0"/>
    <n v="3.1"/>
    <n v="366"/>
    <s v="Very enjoyable"/>
    <m/>
    <s v="good"/>
    <s v="long"/>
    <s v="Hik"/>
    <s v="VERMA"/>
    <n v="5"/>
    <m/>
    <m/>
    <n v="3"/>
    <s v="verma"/>
    <s v="kiran"/>
    <x v="6"/>
    <n v="165"/>
  </r>
  <r>
    <n v="1411"/>
    <s v="Priya"/>
    <s v="Verma"/>
    <x v="5"/>
    <d v="2024-11-15T00:00:00"/>
    <n v="159"/>
    <x v="0"/>
    <n v="4.0999999999999996"/>
    <n v="221"/>
    <s v="Too crowded"/>
    <m/>
    <s v="good"/>
    <s v="long"/>
    <s v="Boa"/>
    <s v="VERMA"/>
    <n v="5"/>
    <m/>
    <m/>
    <n v="4"/>
    <s v="verma"/>
    <s v="priya"/>
    <x v="6"/>
    <n v="171"/>
  </r>
  <r>
    <n v="1412"/>
    <s v="Arjun"/>
    <s v="Patel"/>
    <x v="2"/>
    <d v="2024-04-16T00:00:00"/>
    <n v="199"/>
    <x v="0"/>
    <n v="3.5"/>
    <n v="306"/>
    <s v="Very enjoyable"/>
    <m/>
    <s v="good"/>
    <s v="very long"/>
    <s v="Hik"/>
    <s v="PATEL"/>
    <n v="5"/>
    <m/>
    <m/>
    <n v="4"/>
    <s v="patel"/>
    <s v="arjun"/>
    <x v="2"/>
    <n v="193"/>
  </r>
  <r>
    <n v="1413"/>
    <s v="Kiran"/>
    <s v="Iyer"/>
    <x v="4"/>
    <d v="2024-04-02T00:00:00"/>
    <n v="147"/>
    <x v="1"/>
    <n v="2.8"/>
    <n v="420"/>
    <s v="No comments"/>
    <m/>
    <s v="good"/>
    <s v="long"/>
    <s v="Cam"/>
    <s v="IYER"/>
    <n v="5"/>
    <m/>
    <m/>
    <n v="3"/>
    <s v="iyer"/>
    <s v="kiran"/>
    <x v="3"/>
    <n v="195"/>
  </r>
  <r>
    <n v="1414"/>
    <s v="Sneha"/>
    <s v="Iyer"/>
    <x v="3"/>
    <d v="2024-11-27T00:00:00"/>
    <n v="117"/>
    <x v="2"/>
    <n v="3.5"/>
    <n v="112"/>
    <s v="Peaceful environment"/>
    <m/>
    <s v="good"/>
    <s v="long"/>
    <s v="Bir"/>
    <s v="IYER"/>
    <n v="5"/>
    <m/>
    <m/>
    <n v="4"/>
    <s v="iyer"/>
    <s v="sneha"/>
    <x v="3"/>
    <n v="197"/>
  </r>
  <r>
    <n v="1415"/>
    <s v="Divya"/>
    <s v="Reddy"/>
    <x v="5"/>
    <d v="2024-05-12T00:00:00"/>
    <n v="64"/>
    <x v="2"/>
    <n v="3.3"/>
    <n v="181"/>
    <s v="Very enjoyable"/>
    <m/>
    <s v="good"/>
    <s v="medium"/>
    <s v="Boa"/>
    <s v="REDDY"/>
    <n v="5"/>
    <m/>
    <m/>
    <n v="3"/>
    <s v="reddy"/>
    <s v="divya"/>
    <x v="4"/>
    <n v="198"/>
  </r>
  <r>
    <n v="1416"/>
    <s v="Sneha"/>
    <s v="Singh"/>
    <x v="2"/>
    <d v="2024-06-20T00:00:00"/>
    <n v="228"/>
    <x v="2"/>
    <n v="3.7"/>
    <n v="164"/>
    <s v="No comments"/>
    <m/>
    <s v="good"/>
    <s v="very long"/>
    <s v="Hik"/>
    <s v="SINGH"/>
    <n v="5"/>
    <m/>
    <m/>
    <n v="4"/>
    <s v="singh"/>
    <s v="sneha"/>
    <x v="2"/>
    <n v="199"/>
  </r>
  <r>
    <n v="1417"/>
    <s v="Sneha"/>
    <s v="Iyer"/>
    <x v="4"/>
    <d v="2024-10-17T00:00:00"/>
    <n v="129"/>
    <x v="0"/>
    <n v="2.9"/>
    <n v="350"/>
    <s v="Could be cleaner"/>
    <m/>
    <s v="good"/>
    <s v="long"/>
    <s v="Cam"/>
    <s v="IYER"/>
    <n v="5"/>
    <m/>
    <m/>
    <n v="3"/>
    <s v="iyer"/>
    <s v="sneha"/>
    <x v="2"/>
    <n v="199"/>
  </r>
  <r>
    <n v="1418"/>
    <s v="Priya"/>
    <s v="Iyer"/>
    <x v="1"/>
    <d v="2024-11-04T00:00:00"/>
    <n v="72"/>
    <x v="0"/>
    <n v="3.6"/>
    <n v="146"/>
    <s v="Excellent wildlife view"/>
    <m/>
    <s v="good"/>
    <s v="medium"/>
    <s v="Saf"/>
    <s v="IYER"/>
    <n v="5"/>
    <m/>
    <m/>
    <n v="4"/>
    <s v="iyer"/>
    <s v="priya"/>
    <x v="7"/>
    <n v="200"/>
  </r>
  <r>
    <n v="1419"/>
    <s v="Priya"/>
    <s v="Das"/>
    <x v="5"/>
    <d v="2024-09-07T00:00:00"/>
    <n v="200"/>
    <x v="0"/>
    <n v="3.3"/>
    <n v="314"/>
    <s v="Average service"/>
    <m/>
    <s v="good"/>
    <s v="very long"/>
    <s v="Boa"/>
    <s v="DAS"/>
    <n v="5"/>
    <m/>
    <m/>
    <n v="3"/>
    <s v="das"/>
    <s v="priya"/>
    <x v="5"/>
    <n v="200"/>
  </r>
  <r>
    <n v="1420"/>
    <s v="Aditi"/>
    <s v="Nair"/>
    <x v="5"/>
    <d v="2024-09-22T00:00:00"/>
    <n v="209"/>
    <x v="3"/>
    <n v="3.9"/>
    <n v="302"/>
    <s v="No comments"/>
    <m/>
    <s v="good"/>
    <s v="very long"/>
    <s v="Boa"/>
    <s v="NAIR"/>
    <n v="5"/>
    <m/>
    <m/>
    <n v="4"/>
    <s v="nair"/>
    <s v="aditi"/>
    <x v="2"/>
    <n v="201"/>
  </r>
  <r>
    <n v="1421"/>
    <s v="Divya"/>
    <s v="Patel"/>
    <x v="5"/>
    <d v="2024-06-28T00:00:00"/>
    <n v="135"/>
    <x v="2"/>
    <n v="4.3"/>
    <n v="199"/>
    <s v="Average service"/>
    <m/>
    <s v="good"/>
    <s v="long"/>
    <s v="Boa"/>
    <s v="PATEL"/>
    <n v="5"/>
    <m/>
    <m/>
    <n v="4"/>
    <s v="patel"/>
    <s v="divya"/>
    <x v="6"/>
    <n v="204"/>
  </r>
  <r>
    <n v="1422"/>
    <s v="Anita"/>
    <s v="Patel"/>
    <x v="1"/>
    <d v="2024-12-12T00:00:00"/>
    <n v="128"/>
    <x v="3"/>
    <n v="2.6"/>
    <n v="308"/>
    <s v="Too crowded"/>
    <m/>
    <s v="good"/>
    <s v="long"/>
    <s v="Saf"/>
    <s v="PATEL"/>
    <n v="5"/>
    <m/>
    <m/>
    <n v="3"/>
    <s v="patel"/>
    <s v="anita"/>
    <x v="7"/>
    <n v="209"/>
  </r>
  <r>
    <n v="1423"/>
    <s v="Sanjay"/>
    <s v="Reddy"/>
    <x v="3"/>
    <d v="2024-09-03T00:00:00"/>
    <n v="126"/>
    <x v="3"/>
    <n v="4.2"/>
    <n v="451"/>
    <s v="Saw rare species"/>
    <m/>
    <s v="good"/>
    <s v="long"/>
    <s v="Bir"/>
    <s v="REDDY"/>
    <n v="6"/>
    <m/>
    <m/>
    <n v="4"/>
    <s v="reddy"/>
    <s v="sanjay"/>
    <x v="5"/>
    <n v="209"/>
  </r>
  <r>
    <n v="1424"/>
    <s v="Divya"/>
    <s v="Das"/>
    <x v="3"/>
    <d v="2024-10-29T00:00:00"/>
    <n v="209"/>
    <x v="0"/>
    <n v="3.9"/>
    <n v="367"/>
    <s v="Very enjoyable"/>
    <m/>
    <s v="good"/>
    <s v="very long"/>
    <s v="Bir"/>
    <s v="DAS"/>
    <n v="5"/>
    <m/>
    <m/>
    <n v="4"/>
    <s v="das"/>
    <s v="divya"/>
    <x v="6"/>
    <n v="210"/>
  </r>
  <r>
    <n v="1425"/>
    <s v="Vikram"/>
    <s v="Patel"/>
    <x v="1"/>
    <d v="2024-04-22T00:00:00"/>
    <n v="126"/>
    <x v="2"/>
    <n v="4.8"/>
    <n v="361"/>
    <s v="No comments"/>
    <m/>
    <s v="good"/>
    <s v="long"/>
    <s v="Saf"/>
    <s v="PATEL"/>
    <n v="6"/>
    <m/>
    <m/>
    <n v="5"/>
    <s v="patel"/>
    <s v="vikram"/>
    <x v="4"/>
    <n v="214"/>
  </r>
  <r>
    <n v="1426"/>
    <s v="Arjun"/>
    <s v="Nair"/>
    <x v="1"/>
    <d v="2024-04-12T00:00:00"/>
    <n v="199"/>
    <x v="0"/>
    <n v="3.1"/>
    <n v="483"/>
    <s v="Good guide support"/>
    <m/>
    <s v="good"/>
    <s v="very long"/>
    <s v="Saf"/>
    <s v="NAIR"/>
    <n v="5"/>
    <m/>
    <m/>
    <n v="3"/>
    <s v="nair"/>
    <s v="arjun"/>
    <x v="6"/>
    <n v="227"/>
  </r>
  <r>
    <n v="1427"/>
    <s v="Divya"/>
    <s v="Nair"/>
    <x v="0"/>
    <d v="2024-08-13T00:00:00"/>
    <n v="83"/>
    <x v="0"/>
    <n v="4"/>
    <n v="144"/>
    <s v="Could be cleaner"/>
    <m/>
    <s v="good"/>
    <s v="medium"/>
    <s v="Pho"/>
    <s v="NAIR"/>
    <n v="5"/>
    <m/>
    <m/>
    <n v="4"/>
    <s v="nair"/>
    <s v="divya"/>
    <x v="6"/>
    <n v="228"/>
  </r>
  <r>
    <n v="1428"/>
    <s v="Priya"/>
    <s v="Reddy"/>
    <x v="4"/>
    <d v="2024-11-08T00:00:00"/>
    <n v="171"/>
    <x v="1"/>
    <n v="4.8"/>
    <n v="325"/>
    <s v="Good guide support"/>
    <m/>
    <s v="good"/>
    <s v="long"/>
    <s v="Cam"/>
    <s v="REDDY"/>
    <n v="5"/>
    <m/>
    <m/>
    <n v="5"/>
    <s v="reddy"/>
    <s v="priya"/>
    <x v="0"/>
    <n v="231"/>
  </r>
  <r>
    <n v="1429"/>
    <s v="Kiran"/>
    <s v="Reddy"/>
    <x v="2"/>
    <d v="2024-01-05T00:00:00"/>
    <n v="30"/>
    <x v="3"/>
    <n v="4.8"/>
    <n v="150"/>
    <s v="Saw rare species"/>
    <m/>
    <s v="good"/>
    <s v="medium"/>
    <s v="Hik"/>
    <s v="REDDY"/>
    <n v="5"/>
    <m/>
    <m/>
    <n v="5"/>
    <s v="reddy"/>
    <s v="kiran"/>
    <x v="4"/>
    <n v="232"/>
  </r>
  <r>
    <n v="1430"/>
    <s v="Divya"/>
    <s v="Singh"/>
    <x v="3"/>
    <d v="2024-11-16T00:00:00"/>
    <n v="20"/>
    <x v="0"/>
    <n v="3.9"/>
    <n v="174"/>
    <s v="No comments"/>
    <m/>
    <s v="good"/>
    <s v="short"/>
    <s v="Bir"/>
    <s v="SINGH"/>
    <n v="5"/>
    <m/>
    <m/>
    <n v="4"/>
    <s v="singh"/>
    <s v="divya"/>
    <x v="2"/>
    <n v="236"/>
  </r>
  <r>
    <n v="1431"/>
    <s v="Aditi"/>
    <s v="Menon"/>
    <x v="1"/>
    <d v="2024-05-03T00:00:00"/>
    <n v="55"/>
    <x v="0"/>
    <n v="3.1"/>
    <n v="334"/>
    <s v="Saw rare species"/>
    <m/>
    <s v="good"/>
    <s v="medium"/>
    <s v="Saf"/>
    <s v="MENON"/>
    <n v="5"/>
    <m/>
    <m/>
    <n v="3"/>
    <s v="menon"/>
    <s v="aditi"/>
    <x v="3"/>
    <n v="238"/>
  </r>
  <r>
    <n v="1432"/>
    <s v="Kiran"/>
    <s v="Iyer"/>
    <x v="5"/>
    <d v="2024-10-10T00:00:00"/>
    <n v="70"/>
    <x v="1"/>
    <n v="3.6"/>
    <n v="207"/>
    <s v="Peaceful environment"/>
    <m/>
    <s v="good"/>
    <s v="medium"/>
    <s v="Boa"/>
    <s v="IYER"/>
    <n v="5"/>
    <m/>
    <m/>
    <n v="4"/>
    <s v="iyer"/>
    <s v="kiran"/>
    <x v="5"/>
    <n v="239"/>
  </r>
  <r>
    <n v="1433"/>
    <s v="Sneha"/>
    <s v="Nair"/>
    <x v="2"/>
    <d v="2024-07-29T00:00:00"/>
    <n v="231"/>
    <x v="0"/>
    <n v="4.8"/>
    <n v="195"/>
    <s v="No comments"/>
    <m/>
    <s v="good"/>
    <s v="very long"/>
    <s v="Hik"/>
    <s v="NAIR"/>
    <n v="5"/>
    <m/>
    <m/>
    <n v="5"/>
    <s v="nair"/>
    <s v="sneha"/>
    <x v="0"/>
    <n v="240"/>
  </r>
  <r>
    <n v="1434"/>
    <s v="Sanjay"/>
    <s v="Das"/>
    <x v="0"/>
    <d v="2024-04-04T00:00:00"/>
    <n v="71"/>
    <x v="0"/>
    <n v="5"/>
    <n v="254"/>
    <s v="Very enjoyable"/>
    <m/>
    <s v="good"/>
    <s v="medium"/>
    <s v="Pho"/>
    <s v="DAS"/>
    <n v="6"/>
    <m/>
    <m/>
    <n v="5"/>
    <s v="das"/>
    <s v="sanjay"/>
    <x v="7"/>
    <n v="21"/>
  </r>
  <r>
    <n v="1435"/>
    <s v="Vikram"/>
    <s v="Nair"/>
    <x v="2"/>
    <d v="2024-03-18T00:00:00"/>
    <n v="65"/>
    <x v="0"/>
    <n v="2.6"/>
    <n v="435"/>
    <s v="Peaceful environment"/>
    <m/>
    <s v="good"/>
    <s v="medium"/>
    <s v="Hik"/>
    <s v="NAIR"/>
    <n v="6"/>
    <m/>
    <m/>
    <n v="3"/>
    <s v="nair"/>
    <s v="vikram"/>
    <x v="3"/>
    <n v="26"/>
  </r>
  <r>
    <n v="1436"/>
    <s v="Sneha"/>
    <s v="Verma"/>
    <x v="5"/>
    <d v="2024-04-29T00:00:00"/>
    <n v="197"/>
    <x v="2"/>
    <n v="2.9"/>
    <n v="361"/>
    <s v="Saw rare species"/>
    <m/>
    <s v="good"/>
    <s v="very long"/>
    <s v="Boa"/>
    <s v="VERMA"/>
    <n v="5"/>
    <m/>
    <m/>
    <n v="3"/>
    <s v="verma"/>
    <s v="sneha"/>
    <x v="6"/>
    <n v="29"/>
  </r>
  <r>
    <n v="1437"/>
    <s v="Arjun"/>
    <s v="Mehta"/>
    <x v="5"/>
    <d v="2024-03-29T00:00:00"/>
    <n v="51"/>
    <x v="2"/>
    <n v="3.3"/>
    <n v="333"/>
    <s v="Too crowded"/>
    <m/>
    <s v="good"/>
    <s v="medium"/>
    <s v="Boa"/>
    <s v="MEHTA"/>
    <n v="5"/>
    <m/>
    <m/>
    <n v="3"/>
    <s v="mehta"/>
    <s v="arjun"/>
    <x v="7"/>
    <n v="30"/>
  </r>
  <r>
    <n v="1438"/>
    <s v="Aditi"/>
    <s v="Singh"/>
    <x v="0"/>
    <d v="2024-08-09T00:00:00"/>
    <n v="105"/>
    <x v="3"/>
    <n v="4.8"/>
    <n v="384"/>
    <s v="Good guide support"/>
    <m/>
    <s v="good"/>
    <s v="long"/>
    <s v="Pho"/>
    <s v="SINGH"/>
    <n v="5"/>
    <m/>
    <m/>
    <n v="5"/>
    <s v="singh"/>
    <s v="aditi"/>
    <x v="4"/>
    <n v="44"/>
  </r>
  <r>
    <n v="1439"/>
    <s v="Vikram"/>
    <s v="Singh"/>
    <x v="5"/>
    <d v="2024-04-09T00:00:00"/>
    <n v="240"/>
    <x v="1"/>
    <n v="3.4"/>
    <n v="288"/>
    <s v="Good guide support"/>
    <m/>
    <s v="good"/>
    <s v="very long"/>
    <s v="Boa"/>
    <s v="SINGH"/>
    <n v="6"/>
    <m/>
    <m/>
    <n v="3"/>
    <s v="singh"/>
    <s v="vikram"/>
    <x v="2"/>
    <n v="45"/>
  </r>
  <r>
    <n v="1440"/>
    <s v="Rahul"/>
    <s v="Patel"/>
    <x v="1"/>
    <d v="2024-08-15T00:00:00"/>
    <n v="45"/>
    <x v="0"/>
    <n v="3"/>
    <n v="466"/>
    <s v="Too crowded"/>
    <m/>
    <s v="good"/>
    <s v="medium"/>
    <s v="Saf"/>
    <s v="PATEL"/>
    <n v="5"/>
    <m/>
    <m/>
    <n v="3"/>
    <s v="patel"/>
    <s v="rahul"/>
    <x v="3"/>
    <n v="48"/>
  </r>
  <r>
    <n v="1441"/>
    <s v="Aditi"/>
    <s v="Sharma"/>
    <x v="3"/>
    <d v="2024-01-31T00:00:00"/>
    <n v="174"/>
    <x v="1"/>
    <n v="3.7"/>
    <n v="237"/>
    <s v="Saw rare species"/>
    <m/>
    <s v="good"/>
    <s v="long"/>
    <s v="Bir"/>
    <s v="SHARMA"/>
    <n v="5"/>
    <m/>
    <m/>
    <n v="4"/>
    <s v="sharma"/>
    <s v="aditi"/>
    <x v="4"/>
    <n v="51"/>
  </r>
  <r>
    <n v="1442"/>
    <s v="Sneha"/>
    <s v="Patel"/>
    <x v="4"/>
    <d v="2024-06-22T00:00:00"/>
    <n v="44"/>
    <x v="1"/>
    <n v="3.5"/>
    <n v="144"/>
    <s v="Peaceful environment"/>
    <m/>
    <s v="good"/>
    <s v="medium"/>
    <s v="Cam"/>
    <s v="PATEL"/>
    <n v="5"/>
    <m/>
    <m/>
    <n v="4"/>
    <s v="patel"/>
    <s v="sneha"/>
    <x v="1"/>
    <n v="52"/>
  </r>
  <r>
    <n v="1443"/>
    <s v="Vikram"/>
    <s v="Das"/>
    <x v="2"/>
    <d v="2024-10-18T00:00:00"/>
    <n v="159"/>
    <x v="3"/>
    <n v="4.4000000000000004"/>
    <n v="413"/>
    <s v="Saw rare species"/>
    <m/>
    <s v="good"/>
    <s v="long"/>
    <s v="Hik"/>
    <s v="DAS"/>
    <n v="6"/>
    <m/>
    <m/>
    <n v="4"/>
    <s v="das"/>
    <s v="vikram"/>
    <x v="1"/>
    <n v="56"/>
  </r>
  <r>
    <n v="1444"/>
    <s v="Priya"/>
    <s v="Sharma"/>
    <x v="1"/>
    <d v="2024-02-16T00:00:00"/>
    <n v="67"/>
    <x v="2"/>
    <n v="2.7"/>
    <n v="400"/>
    <s v="Peaceful environment"/>
    <m/>
    <s v="good"/>
    <s v="medium"/>
    <s v="Saf"/>
    <s v="SHARMA"/>
    <n v="5"/>
    <m/>
    <m/>
    <n v="3"/>
    <s v="sharma"/>
    <s v="priya"/>
    <x v="0"/>
    <n v="57"/>
  </r>
  <r>
    <n v="1445"/>
    <s v="Vikram"/>
    <s v="Menon"/>
    <x v="2"/>
    <d v="2024-04-22T00:00:00"/>
    <n v="66"/>
    <x v="1"/>
    <n v="4.5"/>
    <n v="113"/>
    <s v="Amazing experience"/>
    <m/>
    <s v="good"/>
    <s v="medium"/>
    <s v="Hik"/>
    <s v="MENON"/>
    <n v="6"/>
    <m/>
    <m/>
    <n v="5"/>
    <s v="menon"/>
    <s v="vikram"/>
    <x v="0"/>
    <n v="62"/>
  </r>
  <r>
    <n v="1446"/>
    <s v="Aditi"/>
    <s v="Singh"/>
    <x v="4"/>
    <d v="2024-12-02T00:00:00"/>
    <n v="232"/>
    <x v="2"/>
    <n v="3.1"/>
    <n v="224"/>
    <s v="Excellent wildlife view"/>
    <m/>
    <s v="good"/>
    <s v="very long"/>
    <s v="Cam"/>
    <s v="SINGH"/>
    <n v="5"/>
    <m/>
    <m/>
    <n v="3"/>
    <s v="singh"/>
    <s v="aditi"/>
    <x v="4"/>
    <n v="65"/>
  </r>
  <r>
    <n v="1447"/>
    <s v="Priya"/>
    <s v="Nair"/>
    <x v="1"/>
    <d v="2024-05-03T00:00:00"/>
    <n v="97"/>
    <x v="2"/>
    <n v="4.8"/>
    <n v="140"/>
    <s v="Amazing experience"/>
    <m/>
    <s v="good"/>
    <s v="long"/>
    <s v="Saf"/>
    <s v="NAIR"/>
    <n v="5"/>
    <m/>
    <m/>
    <n v="5"/>
    <s v="nair"/>
    <s v="priya"/>
    <x v="5"/>
    <n v="66"/>
  </r>
  <r>
    <n v="1448"/>
    <s v="Divya"/>
    <s v="Verma"/>
    <x v="1"/>
    <d v="2024-01-21T00:00:00"/>
    <n v="90"/>
    <x v="1"/>
    <n v="3.4"/>
    <n v="147"/>
    <s v="Amazing experience"/>
    <m/>
    <s v="good"/>
    <s v="long"/>
    <s v="Saf"/>
    <s v="VERMA"/>
    <n v="5"/>
    <m/>
    <m/>
    <n v="3"/>
    <s v="verma"/>
    <s v="divya"/>
    <x v="2"/>
    <n v="67"/>
  </r>
  <r>
    <n v="1449"/>
    <s v="Anita"/>
    <s v="Menon"/>
    <x v="3"/>
    <d v="2024-06-23T00:00:00"/>
    <n v="157"/>
    <x v="1"/>
    <n v="4"/>
    <n v="499"/>
    <s v="Too crowded"/>
    <m/>
    <s v="good"/>
    <s v="long"/>
    <s v="Bir"/>
    <s v="MENON"/>
    <n v="5"/>
    <m/>
    <m/>
    <n v="4"/>
    <s v="menon"/>
    <s v="anita"/>
    <x v="5"/>
    <n v="71"/>
  </r>
  <r>
    <n v="1450"/>
    <s v="Divya"/>
    <s v="Menon"/>
    <x v="3"/>
    <d v="2024-05-14T00:00:00"/>
    <n v="121"/>
    <x v="1"/>
    <n v="3"/>
    <n v="430"/>
    <s v="Saw rare species"/>
    <m/>
    <s v="good"/>
    <s v="long"/>
    <s v="Bir"/>
    <s v="MENON"/>
    <n v="5"/>
    <m/>
    <m/>
    <n v="3"/>
    <s v="menon"/>
    <s v="divya"/>
    <x v="1"/>
    <n v="72"/>
  </r>
  <r>
    <n v="1451"/>
    <s v="Sanjay"/>
    <s v="Iyer"/>
    <x v="4"/>
    <d v="2024-01-08T00:00:00"/>
    <n v="112"/>
    <x v="1"/>
    <n v="3.4"/>
    <n v="165"/>
    <s v="Average service"/>
    <m/>
    <s v="good"/>
    <s v="long"/>
    <s v="Cam"/>
    <s v="IYER"/>
    <n v="6"/>
    <m/>
    <m/>
    <n v="3"/>
    <s v="iyer"/>
    <s v="sanjay"/>
    <x v="4"/>
    <n v="76"/>
  </r>
  <r>
    <n v="1452"/>
    <s v="Aditi"/>
    <s v="Das"/>
    <x v="2"/>
    <d v="2024-09-25T00:00:00"/>
    <n v="132"/>
    <x v="3"/>
    <n v="3"/>
    <n v="289"/>
    <s v="Could be cleaner"/>
    <m/>
    <s v="good"/>
    <s v="long"/>
    <s v="Hik"/>
    <s v="DAS"/>
    <n v="5"/>
    <m/>
    <m/>
    <n v="3"/>
    <s v="das"/>
    <s v="aditi"/>
    <x v="6"/>
    <n v="90"/>
  </r>
  <r>
    <n v="1453"/>
    <s v="Rahul"/>
    <s v="Singh"/>
    <x v="4"/>
    <d v="2024-05-01T00:00:00"/>
    <n v="30"/>
    <x v="0"/>
    <n v="3.6"/>
    <n v="182"/>
    <s v="Amazing experience"/>
    <m/>
    <s v="good"/>
    <s v="medium"/>
    <s v="Cam"/>
    <s v="SINGH"/>
    <n v="5"/>
    <m/>
    <m/>
    <n v="4"/>
    <s v="singh"/>
    <s v="rahul"/>
    <x v="7"/>
    <n v="93"/>
  </r>
  <r>
    <n v="1454"/>
    <s v="Aditi"/>
    <s v="Verma"/>
    <x v="1"/>
    <d v="2024-11-19T00:00:00"/>
    <n v="217"/>
    <x v="1"/>
    <n v="2.7"/>
    <n v="443"/>
    <s v="Too crowded"/>
    <m/>
    <s v="good"/>
    <s v="very long"/>
    <s v="Saf"/>
    <s v="VERMA"/>
    <n v="5"/>
    <m/>
    <m/>
    <n v="3"/>
    <s v="verma"/>
    <s v="aditi"/>
    <x v="1"/>
    <n v="94"/>
  </r>
  <r>
    <n v="1455"/>
    <s v="Sanjay"/>
    <s v="Patel"/>
    <x v="1"/>
    <d v="2024-10-26T00:00:00"/>
    <n v="132"/>
    <x v="0"/>
    <n v="4.9000000000000004"/>
    <n v="168"/>
    <s v="Too crowded"/>
    <m/>
    <s v="good"/>
    <s v="long"/>
    <s v="Saf"/>
    <s v="PATEL"/>
    <n v="6"/>
    <m/>
    <m/>
    <n v="5"/>
    <s v="patel"/>
    <s v="sanjay"/>
    <x v="7"/>
    <n v="97"/>
  </r>
  <r>
    <n v="1456"/>
    <s v="Sanjay"/>
    <s v="Patel"/>
    <x v="1"/>
    <d v="2024-09-13T00:00:00"/>
    <n v="204"/>
    <x v="3"/>
    <n v="4.3"/>
    <n v="290"/>
    <s v="Saw rare species"/>
    <m/>
    <s v="good"/>
    <s v="very long"/>
    <s v="Saf"/>
    <s v="PATEL"/>
    <n v="6"/>
    <m/>
    <m/>
    <n v="4"/>
    <s v="patel"/>
    <s v="sanjay"/>
    <x v="1"/>
    <n v="105"/>
  </r>
  <r>
    <n v="1457"/>
    <s v="Sanjay"/>
    <s v="Reddy"/>
    <x v="5"/>
    <d v="2024-10-19T00:00:00"/>
    <n v="152"/>
    <x v="2"/>
    <n v="4.2"/>
    <n v="150"/>
    <s v="Could be cleaner"/>
    <m/>
    <s v="good"/>
    <s v="long"/>
    <s v="Boa"/>
    <s v="REDDY"/>
    <n v="6"/>
    <m/>
    <m/>
    <n v="4"/>
    <s v="reddy"/>
    <s v="sanjay"/>
    <x v="3"/>
    <n v="109"/>
  </r>
  <r>
    <n v="1458"/>
    <s v="Arjun"/>
    <s v="Sharma"/>
    <x v="0"/>
    <d v="2024-08-14T00:00:00"/>
    <n v="56"/>
    <x v="1"/>
    <n v="3"/>
    <n v="291"/>
    <s v="Could be cleaner"/>
    <m/>
    <s v="good"/>
    <s v="medium"/>
    <s v="Pho"/>
    <s v="SHARMA"/>
    <n v="5"/>
    <m/>
    <m/>
    <n v="3"/>
    <s v="sharma"/>
    <s v="arjun"/>
    <x v="4"/>
    <n v="111"/>
  </r>
  <r>
    <n v="1459"/>
    <s v="Priya"/>
    <s v="Menon"/>
    <x v="1"/>
    <d v="2024-02-01T00:00:00"/>
    <n v="113"/>
    <x v="0"/>
    <n v="3.8"/>
    <n v="449"/>
    <s v="Saw rare species"/>
    <m/>
    <s v="good"/>
    <s v="long"/>
    <s v="Saf"/>
    <s v="MENON"/>
    <n v="5"/>
    <m/>
    <m/>
    <n v="4"/>
    <s v="menon"/>
    <s v="priya"/>
    <x v="0"/>
    <n v="112"/>
  </r>
  <r>
    <n v="1460"/>
    <s v="Sneha"/>
    <s v="Iyer"/>
    <x v="4"/>
    <d v="2024-05-25T00:00:00"/>
    <n v="143"/>
    <x v="2"/>
    <n v="3.3"/>
    <n v="328"/>
    <s v="Could be cleaner"/>
    <m/>
    <s v="good"/>
    <s v="long"/>
    <s v="Cam"/>
    <s v="IYER"/>
    <n v="5"/>
    <m/>
    <m/>
    <n v="3"/>
    <s v="iyer"/>
    <s v="sneha"/>
    <x v="2"/>
    <n v="113"/>
  </r>
  <r>
    <n v="1461"/>
    <s v="Rahul"/>
    <s v="Nair"/>
    <x v="1"/>
    <d v="2024-11-09T00:00:00"/>
    <n v="225"/>
    <x v="0"/>
    <n v="3.7"/>
    <n v="271"/>
    <s v="Saw rare species"/>
    <m/>
    <s v="good"/>
    <s v="very long"/>
    <s v="Saf"/>
    <s v="NAIR"/>
    <n v="5"/>
    <m/>
    <m/>
    <n v="4"/>
    <s v="nair"/>
    <s v="rahul"/>
    <x v="1"/>
    <n v="121"/>
  </r>
  <r>
    <n v="1462"/>
    <s v="Arjun"/>
    <s v="Patel"/>
    <x v="1"/>
    <d v="2024-05-31T00:00:00"/>
    <n v="122"/>
    <x v="2"/>
    <n v="2.5"/>
    <n v="262"/>
    <s v="Good guide support"/>
    <m/>
    <s v="neutral"/>
    <s v="long"/>
    <s v="Saf"/>
    <s v="PATEL"/>
    <n v="5"/>
    <m/>
    <m/>
    <n v="3"/>
    <s v="patel"/>
    <s v="arjun"/>
    <x v="6"/>
    <n v="122"/>
  </r>
  <r>
    <n v="1463"/>
    <s v="Priya"/>
    <s v="Das"/>
    <x v="3"/>
    <d v="2024-12-07T00:00:00"/>
    <n v="93"/>
    <x v="1"/>
    <n v="4"/>
    <n v="496"/>
    <s v="Could be cleaner"/>
    <m/>
    <s v="good"/>
    <s v="long"/>
    <s v="Bir"/>
    <s v="DAS"/>
    <n v="5"/>
    <m/>
    <m/>
    <n v="4"/>
    <s v="das"/>
    <s v="priya"/>
    <x v="0"/>
    <n v="126"/>
  </r>
  <r>
    <n v="1464"/>
    <s v="Anita"/>
    <s v="Nair"/>
    <x v="5"/>
    <d v="2024-06-30T00:00:00"/>
    <n v="226"/>
    <x v="0"/>
    <n v="3.1"/>
    <n v="297"/>
    <s v="No comments"/>
    <m/>
    <s v="good"/>
    <s v="very long"/>
    <s v="Boa"/>
    <s v="NAIR"/>
    <n v="5"/>
    <m/>
    <m/>
    <n v="3"/>
    <s v="nair"/>
    <s v="anita"/>
    <x v="4"/>
    <n v="126"/>
  </r>
  <r>
    <n v="1465"/>
    <s v="Sanjay"/>
    <s v="Das"/>
    <x v="4"/>
    <d v="2024-02-06T00:00:00"/>
    <n v="111"/>
    <x v="0"/>
    <n v="2.8"/>
    <n v="440"/>
    <s v="Good guide support"/>
    <m/>
    <s v="good"/>
    <s v="long"/>
    <s v="Cam"/>
    <s v="DAS"/>
    <n v="6"/>
    <m/>
    <m/>
    <n v="3"/>
    <s v="das"/>
    <s v="sanjay"/>
    <x v="0"/>
    <n v="129"/>
  </r>
  <r>
    <n v="1466"/>
    <s v="Sneha"/>
    <s v="Nair"/>
    <x v="0"/>
    <d v="2024-12-27T00:00:00"/>
    <n v="172"/>
    <x v="3"/>
    <n v="3.8"/>
    <n v="386"/>
    <s v="No comments"/>
    <m/>
    <s v="good"/>
    <s v="long"/>
    <s v="Pho"/>
    <s v="NAIR"/>
    <n v="5"/>
    <m/>
    <m/>
    <n v="4"/>
    <s v="nair"/>
    <s v="sneha"/>
    <x v="0"/>
    <n v="132"/>
  </r>
  <r>
    <n v="1467"/>
    <s v="Priya"/>
    <s v="Menon"/>
    <x v="5"/>
    <d v="2024-01-03T00:00:00"/>
    <n v="26"/>
    <x v="2"/>
    <n v="4.5"/>
    <n v="426"/>
    <s v="Saw rare species"/>
    <m/>
    <s v="good"/>
    <s v="short"/>
    <s v="Boa"/>
    <s v="MENON"/>
    <n v="5"/>
    <m/>
    <m/>
    <n v="5"/>
    <s v="menon"/>
    <s v="priya"/>
    <x v="6"/>
    <n v="132"/>
  </r>
  <r>
    <n v="1468"/>
    <s v="Arjun"/>
    <s v="Nair"/>
    <x v="5"/>
    <d v="2024-12-02T00:00:00"/>
    <n v="190"/>
    <x v="2"/>
    <n v="2.6"/>
    <n v="258"/>
    <s v="Amazing experience"/>
    <m/>
    <s v="good"/>
    <s v="very long"/>
    <s v="Boa"/>
    <s v="NAIR"/>
    <n v="5"/>
    <m/>
    <m/>
    <n v="3"/>
    <s v="nair"/>
    <s v="arjun"/>
    <x v="7"/>
    <n v="137"/>
  </r>
  <r>
    <n v="1469"/>
    <s v="Kiran"/>
    <s v="Nair"/>
    <x v="3"/>
    <d v="2024-07-14T00:00:00"/>
    <n v="230"/>
    <x v="1"/>
    <n v="2.5"/>
    <n v="189"/>
    <s v="Saw rare species"/>
    <m/>
    <s v="neutral"/>
    <s v="very long"/>
    <s v="Bir"/>
    <s v="NAIR"/>
    <n v="5"/>
    <m/>
    <m/>
    <n v="3"/>
    <s v="nair"/>
    <s v="kiran"/>
    <x v="0"/>
    <n v="141"/>
  </r>
  <r>
    <n v="1470"/>
    <s v="Arjun"/>
    <s v="Sharma"/>
    <x v="3"/>
    <d v="2024-06-14T00:00:00"/>
    <n v="21"/>
    <x v="0"/>
    <n v="4.0999999999999996"/>
    <n v="470"/>
    <s v="Average service"/>
    <m/>
    <s v="good"/>
    <s v="short"/>
    <s v="Bir"/>
    <s v="SHARMA"/>
    <n v="5"/>
    <m/>
    <m/>
    <n v="4"/>
    <s v="sharma"/>
    <s v="arjun"/>
    <x v="0"/>
    <n v="143"/>
  </r>
  <r>
    <n v="1471"/>
    <s v="Anita"/>
    <s v="Menon"/>
    <x v="4"/>
    <d v="2024-11-29T00:00:00"/>
    <n v="214"/>
    <x v="1"/>
    <n v="4.2"/>
    <n v="237"/>
    <s v="No comments"/>
    <m/>
    <s v="good"/>
    <s v="very long"/>
    <s v="Cam"/>
    <s v="MENON"/>
    <n v="5"/>
    <m/>
    <m/>
    <n v="4"/>
    <s v="menon"/>
    <s v="anita"/>
    <x v="1"/>
    <n v="145"/>
  </r>
  <r>
    <n v="1472"/>
    <s v="Divya"/>
    <s v="Mehta"/>
    <x v="3"/>
    <d v="2024-05-23T00:00:00"/>
    <n v="147"/>
    <x v="2"/>
    <n v="3.3"/>
    <n v="176"/>
    <s v="Peaceful environment"/>
    <m/>
    <s v="good"/>
    <s v="long"/>
    <s v="Bir"/>
    <s v="MEHTA"/>
    <n v="5"/>
    <m/>
    <m/>
    <n v="3"/>
    <s v="mehta"/>
    <s v="divya"/>
    <x v="5"/>
    <n v="146"/>
  </r>
  <r>
    <n v="1473"/>
    <s v="Arjun"/>
    <s v="Verma"/>
    <x v="3"/>
    <d v="2024-11-16T00:00:00"/>
    <n v="164"/>
    <x v="2"/>
    <n v="4.8"/>
    <n v="470"/>
    <s v="Peaceful environment"/>
    <m/>
    <s v="good"/>
    <s v="long"/>
    <s v="Bir"/>
    <s v="VERMA"/>
    <n v="5"/>
    <m/>
    <m/>
    <n v="5"/>
    <s v="verma"/>
    <s v="arjun"/>
    <x v="6"/>
    <n v="147"/>
  </r>
  <r>
    <n v="1474"/>
    <s v="Vikram"/>
    <s v="Patel"/>
    <x v="5"/>
    <d v="2024-06-13T00:00:00"/>
    <n v="240"/>
    <x v="0"/>
    <n v="3.8"/>
    <n v="155"/>
    <s v="Peaceful environment"/>
    <m/>
    <s v="good"/>
    <s v="very long"/>
    <s v="Boa"/>
    <s v="PATEL"/>
    <n v="6"/>
    <m/>
    <m/>
    <n v="4"/>
    <s v="patel"/>
    <s v="vikram"/>
    <x v="6"/>
    <n v="149"/>
  </r>
  <r>
    <n v="1475"/>
    <s v="Priya"/>
    <s v="Nair"/>
    <x v="1"/>
    <d v="2024-03-26T00:00:00"/>
    <n v="170"/>
    <x v="3"/>
    <n v="3.5"/>
    <n v="140"/>
    <s v="Saw rare species"/>
    <m/>
    <s v="good"/>
    <s v="long"/>
    <s v="Saf"/>
    <s v="NAIR"/>
    <n v="5"/>
    <m/>
    <m/>
    <n v="4"/>
    <s v="nair"/>
    <s v="priya"/>
    <x v="3"/>
    <n v="152"/>
  </r>
  <r>
    <n v="1476"/>
    <s v="Kiran"/>
    <s v="Reddy"/>
    <x v="5"/>
    <d v="2024-02-17T00:00:00"/>
    <n v="223"/>
    <x v="1"/>
    <n v="2.9"/>
    <n v="376"/>
    <s v="Amazing experience"/>
    <m/>
    <s v="good"/>
    <s v="very long"/>
    <s v="Boa"/>
    <s v="REDDY"/>
    <n v="5"/>
    <m/>
    <m/>
    <n v="3"/>
    <s v="reddy"/>
    <s v="kiran"/>
    <x v="2"/>
    <n v="154"/>
  </r>
  <r>
    <n v="1477"/>
    <s v="Kiran"/>
    <s v="Patel"/>
    <x v="2"/>
    <d v="2024-01-19T00:00:00"/>
    <n v="76"/>
    <x v="1"/>
    <n v="4.7"/>
    <n v="218"/>
    <s v="Amazing experience"/>
    <m/>
    <s v="good"/>
    <s v="medium"/>
    <s v="Hik"/>
    <s v="PATEL"/>
    <n v="5"/>
    <m/>
    <m/>
    <n v="5"/>
    <s v="patel"/>
    <s v="kiran"/>
    <x v="2"/>
    <n v="157"/>
  </r>
  <r>
    <n v="1478"/>
    <s v="Anita"/>
    <s v="Singh"/>
    <x v="1"/>
    <d v="2024-12-23T00:00:00"/>
    <n v="238"/>
    <x v="3"/>
    <n v="3.5"/>
    <n v="196"/>
    <s v="Good guide support"/>
    <m/>
    <s v="good"/>
    <s v="very long"/>
    <s v="Saf"/>
    <s v="SINGH"/>
    <n v="5"/>
    <m/>
    <m/>
    <n v="4"/>
    <s v="singh"/>
    <s v="anita"/>
    <x v="1"/>
    <n v="159"/>
  </r>
  <r>
    <n v="1479"/>
    <s v="Divya"/>
    <s v="Singh"/>
    <x v="5"/>
    <d v="2024-09-04T00:00:00"/>
    <n v="154"/>
    <x v="1"/>
    <n v="3.3"/>
    <n v="384"/>
    <s v="Average service"/>
    <m/>
    <s v="good"/>
    <s v="long"/>
    <s v="Boa"/>
    <s v="SINGH"/>
    <n v="5"/>
    <m/>
    <m/>
    <n v="3"/>
    <s v="singh"/>
    <s v="divya"/>
    <x v="7"/>
    <n v="162"/>
  </r>
  <r>
    <n v="1480"/>
    <s v="Sanjay"/>
    <s v="Verma"/>
    <x v="5"/>
    <d v="2024-04-09T00:00:00"/>
    <n v="194"/>
    <x v="3"/>
    <n v="2.5"/>
    <n v="170"/>
    <s v="Peaceful environment"/>
    <m/>
    <s v="neutral"/>
    <s v="very long"/>
    <s v="Boa"/>
    <s v="VERMA"/>
    <n v="6"/>
    <m/>
    <m/>
    <n v="3"/>
    <s v="verma"/>
    <s v="sanjay"/>
    <x v="1"/>
    <n v="164"/>
  </r>
  <r>
    <n v="1481"/>
    <s v="Sneha"/>
    <s v="Menon"/>
    <x v="2"/>
    <d v="2024-06-20T00:00:00"/>
    <n v="145"/>
    <x v="2"/>
    <n v="2.6"/>
    <n v="321"/>
    <s v="Excellent wildlife view"/>
    <m/>
    <s v="good"/>
    <s v="long"/>
    <s v="Hik"/>
    <s v="MENON"/>
    <n v="5"/>
    <m/>
    <m/>
    <n v="3"/>
    <s v="menon"/>
    <s v="sneha"/>
    <x v="3"/>
    <n v="170"/>
  </r>
  <r>
    <n v="1482"/>
    <s v="Rahul"/>
    <s v="Verma"/>
    <x v="0"/>
    <d v="2024-04-25T00:00:00"/>
    <n v="225"/>
    <x v="1"/>
    <n v="4.3"/>
    <n v="394"/>
    <s v="Excellent wildlife view"/>
    <m/>
    <s v="good"/>
    <s v="very long"/>
    <s v="Pho"/>
    <s v="VERMA"/>
    <n v="5"/>
    <m/>
    <m/>
    <n v="4"/>
    <s v="verma"/>
    <s v="rahul"/>
    <x v="2"/>
    <n v="172"/>
  </r>
  <r>
    <n v="1483"/>
    <s v="Vikram"/>
    <s v="Reddy"/>
    <x v="5"/>
    <d v="2024-03-29T00:00:00"/>
    <n v="29"/>
    <x v="2"/>
    <n v="2.6"/>
    <n v="191"/>
    <s v="Could be cleaner"/>
    <m/>
    <s v="good"/>
    <s v="short"/>
    <s v="Boa"/>
    <s v="REDDY"/>
    <n v="6"/>
    <m/>
    <m/>
    <n v="3"/>
    <s v="reddy"/>
    <s v="vikram"/>
    <x v="1"/>
    <n v="174"/>
  </r>
  <r>
    <n v="1484"/>
    <s v="Sanjay"/>
    <s v="Patel"/>
    <x v="0"/>
    <d v="2024-11-12T00:00:00"/>
    <n v="146"/>
    <x v="1"/>
    <n v="3.6"/>
    <n v="420"/>
    <s v="Very enjoyable"/>
    <m/>
    <s v="good"/>
    <s v="long"/>
    <s v="Pho"/>
    <s v="PATEL"/>
    <n v="6"/>
    <m/>
    <m/>
    <n v="4"/>
    <s v="patel"/>
    <s v="sanjay"/>
    <x v="1"/>
    <n v="190"/>
  </r>
  <r>
    <n v="1485"/>
    <s v="Rahul"/>
    <s v="Reddy"/>
    <x v="2"/>
    <d v="2024-04-27T00:00:00"/>
    <n v="162"/>
    <x v="3"/>
    <n v="4"/>
    <n v="281"/>
    <s v="Excellent wildlife view"/>
    <m/>
    <s v="good"/>
    <s v="long"/>
    <s v="Hik"/>
    <s v="REDDY"/>
    <n v="5"/>
    <m/>
    <m/>
    <n v="4"/>
    <s v="reddy"/>
    <s v="rahul"/>
    <x v="3"/>
    <n v="194"/>
  </r>
  <r>
    <n v="1486"/>
    <s v="Arjun"/>
    <s v="Das"/>
    <x v="3"/>
    <d v="2024-05-13T00:00:00"/>
    <n v="223"/>
    <x v="0"/>
    <n v="3.1"/>
    <n v="388"/>
    <s v="Too crowded"/>
    <m/>
    <s v="good"/>
    <s v="very long"/>
    <s v="Bir"/>
    <s v="DAS"/>
    <n v="5"/>
    <m/>
    <m/>
    <n v="3"/>
    <s v="das"/>
    <s v="arjun"/>
    <x v="7"/>
    <n v="197"/>
  </r>
  <r>
    <n v="1487"/>
    <s v="Kiran"/>
    <s v="Singh"/>
    <x v="4"/>
    <d v="2024-03-31T00:00:00"/>
    <n v="129"/>
    <x v="3"/>
    <n v="4.4000000000000004"/>
    <n v="411"/>
    <s v="Too crowded"/>
    <m/>
    <s v="good"/>
    <s v="long"/>
    <s v="Cam"/>
    <s v="SINGH"/>
    <n v="5"/>
    <m/>
    <m/>
    <n v="4"/>
    <s v="singh"/>
    <s v="kiran"/>
    <x v="7"/>
    <n v="204"/>
  </r>
  <r>
    <n v="1488"/>
    <s v="Aditi"/>
    <s v="Nair"/>
    <x v="2"/>
    <d v="2024-05-02T00:00:00"/>
    <n v="149"/>
    <x v="1"/>
    <n v="3.7"/>
    <n v="394"/>
    <s v="Could be cleaner"/>
    <m/>
    <s v="good"/>
    <s v="long"/>
    <s v="Hik"/>
    <s v="NAIR"/>
    <n v="5"/>
    <m/>
    <m/>
    <n v="4"/>
    <s v="nair"/>
    <s v="aditi"/>
    <x v="5"/>
    <n v="214"/>
  </r>
  <r>
    <n v="1489"/>
    <s v="Sanjay"/>
    <s v="Verma"/>
    <x v="0"/>
    <d v="2024-11-21T00:00:00"/>
    <n v="57"/>
    <x v="0"/>
    <n v="4"/>
    <n v="129"/>
    <s v="Excellent wildlife view"/>
    <m/>
    <s v="good"/>
    <s v="medium"/>
    <s v="Pho"/>
    <s v="VERMA"/>
    <n v="6"/>
    <m/>
    <m/>
    <n v="4"/>
    <s v="verma"/>
    <s v="sanjay"/>
    <x v="2"/>
    <n v="217"/>
  </r>
  <r>
    <n v="1490"/>
    <s v="Rahul"/>
    <s v="Verma"/>
    <x v="1"/>
    <d v="2024-11-21T00:00:00"/>
    <n v="126"/>
    <x v="3"/>
    <n v="3.9"/>
    <n v="292"/>
    <s v="Saw rare species"/>
    <m/>
    <s v="good"/>
    <s v="long"/>
    <s v="Saf"/>
    <s v="VERMA"/>
    <n v="5"/>
    <m/>
    <m/>
    <n v="4"/>
    <s v="verma"/>
    <s v="rahul"/>
    <x v="6"/>
    <n v="223"/>
  </r>
  <r>
    <n v="1491"/>
    <s v="Anita"/>
    <s v="Menon"/>
    <x v="2"/>
    <d v="2024-07-27T00:00:00"/>
    <n v="48"/>
    <x v="1"/>
    <n v="4.8"/>
    <n v="109"/>
    <s v="Amazing experience"/>
    <m/>
    <s v="good"/>
    <s v="medium"/>
    <s v="Hik"/>
    <s v="MENON"/>
    <n v="5"/>
    <m/>
    <m/>
    <n v="5"/>
    <s v="menon"/>
    <s v="anita"/>
    <x v="3"/>
    <n v="223"/>
  </r>
  <r>
    <n v="1492"/>
    <s v="Anita"/>
    <s v="Sharma"/>
    <x v="1"/>
    <d v="2024-04-21T00:00:00"/>
    <n v="141"/>
    <x v="0"/>
    <n v="3"/>
    <n v="225"/>
    <s v="Average service"/>
    <m/>
    <s v="good"/>
    <s v="long"/>
    <s v="Saf"/>
    <s v="SHARMA"/>
    <n v="5"/>
    <m/>
    <m/>
    <n v="3"/>
    <s v="sharma"/>
    <s v="anita"/>
    <x v="7"/>
    <n v="225"/>
  </r>
  <r>
    <n v="1493"/>
    <s v="Anita"/>
    <s v="Mehta"/>
    <x v="3"/>
    <d v="2024-03-09T00:00:00"/>
    <n v="137"/>
    <x v="1"/>
    <n v="2.9"/>
    <n v="374"/>
    <s v="Excellent wildlife view"/>
    <m/>
    <s v="good"/>
    <s v="long"/>
    <s v="Bir"/>
    <s v="MEHTA"/>
    <n v="5"/>
    <m/>
    <m/>
    <n v="3"/>
    <s v="mehta"/>
    <s v="anita"/>
    <x v="2"/>
    <n v="225"/>
  </r>
  <r>
    <n v="1494"/>
    <s v="Rahul"/>
    <s v="Verma"/>
    <x v="3"/>
    <d v="2024-04-15T00:00:00"/>
    <n v="94"/>
    <x v="3"/>
    <n v="4.7"/>
    <n v="284"/>
    <s v="Peaceful environment"/>
    <m/>
    <s v="good"/>
    <s v="long"/>
    <s v="Bir"/>
    <s v="VERMA"/>
    <n v="5"/>
    <m/>
    <m/>
    <n v="5"/>
    <s v="verma"/>
    <s v="rahul"/>
    <x v="4"/>
    <n v="226"/>
  </r>
  <r>
    <n v="1495"/>
    <s v="Arjun"/>
    <s v="Mehta"/>
    <x v="5"/>
    <d v="2024-07-17T00:00:00"/>
    <n v="52"/>
    <x v="3"/>
    <n v="4.5999999999999996"/>
    <n v="474"/>
    <s v="Could be cleaner"/>
    <m/>
    <s v="good"/>
    <s v="medium"/>
    <s v="Boa"/>
    <s v="MEHTA"/>
    <n v="5"/>
    <m/>
    <m/>
    <n v="5"/>
    <s v="mehta"/>
    <s v="arjun"/>
    <x v="7"/>
    <n v="230"/>
  </r>
  <r>
    <n v="1496"/>
    <s v="Sanjay"/>
    <s v="Das"/>
    <x v="3"/>
    <d v="2024-01-05T00:00:00"/>
    <n v="109"/>
    <x v="1"/>
    <n v="4.5999999999999996"/>
    <n v="386"/>
    <s v="Too crowded"/>
    <m/>
    <s v="good"/>
    <s v="long"/>
    <s v="Bir"/>
    <s v="DAS"/>
    <n v="6"/>
    <m/>
    <m/>
    <n v="5"/>
    <s v="das"/>
    <s v="sanjay"/>
    <x v="0"/>
    <n v="232"/>
  </r>
  <r>
    <n v="1497"/>
    <s v="Aditi"/>
    <s v="Sharma"/>
    <x v="0"/>
    <d v="2024-12-11T00:00:00"/>
    <n v="72"/>
    <x v="1"/>
    <n v="2.5"/>
    <n v="131"/>
    <s v="Too crowded"/>
    <m/>
    <s v="neutral"/>
    <s v="medium"/>
    <s v="Pho"/>
    <s v="SHARMA"/>
    <n v="5"/>
    <m/>
    <m/>
    <n v="3"/>
    <s v="sharma"/>
    <s v="aditi"/>
    <x v="4"/>
    <n v="232"/>
  </r>
  <r>
    <n v="1498"/>
    <s v="Divya"/>
    <s v="Patel"/>
    <x v="5"/>
    <d v="2024-06-25T00:00:00"/>
    <n v="232"/>
    <x v="0"/>
    <n v="2.9"/>
    <n v="365"/>
    <s v="Very enjoyable"/>
    <m/>
    <s v="good"/>
    <s v="very long"/>
    <s v="Boa"/>
    <s v="PATEL"/>
    <n v="5"/>
    <m/>
    <m/>
    <n v="3"/>
    <s v="patel"/>
    <s v="divya"/>
    <x v="0"/>
    <n v="238"/>
  </r>
  <r>
    <n v="1499"/>
    <s v="Aditi"/>
    <s v="Singh"/>
    <x v="2"/>
    <d v="2024-02-29T00:00:00"/>
    <n v="126"/>
    <x v="0"/>
    <n v="4.9000000000000004"/>
    <n v="380"/>
    <s v="Could be cleaner"/>
    <m/>
    <s v="good"/>
    <s v="long"/>
    <s v="Hik"/>
    <s v="SINGH"/>
    <n v="5"/>
    <m/>
    <m/>
    <n v="5"/>
    <s v="singh"/>
    <s v="aditi"/>
    <x v="5"/>
    <n v="240"/>
  </r>
  <r>
    <n v="1500"/>
    <s v="Aditi"/>
    <s v="Mehta"/>
    <x v="2"/>
    <d v="2024-07-23T00:00:00"/>
    <n v="62"/>
    <x v="1"/>
    <n v="2.6"/>
    <n v="499"/>
    <s v="Too crowded"/>
    <m/>
    <s v="good"/>
    <s v="medium"/>
    <s v="Hik"/>
    <s v="MEHTA"/>
    <n v="5"/>
    <m/>
    <m/>
    <n v="3"/>
    <s v="mehta"/>
    <s v="aditi"/>
    <x v="5"/>
    <n v="240"/>
  </r>
  <r>
    <m/>
    <m/>
    <m/>
    <x v="6"/>
    <m/>
    <m/>
    <x v="4"/>
    <m/>
    <m/>
    <m/>
    <m/>
    <s v="bad"/>
    <s v="short"/>
    <s v=""/>
    <s v=""/>
    <n v="0"/>
    <m/>
    <m/>
    <n v="0"/>
    <m/>
    <m/>
    <x v="8"/>
    <m/>
  </r>
  <r>
    <m/>
    <m/>
    <m/>
    <x v="6"/>
    <m/>
    <m/>
    <x v="4"/>
    <m/>
    <m/>
    <m/>
    <m/>
    <m/>
    <m/>
    <m/>
    <m/>
    <m/>
    <m/>
    <m/>
    <m/>
    <m/>
    <m/>
    <x v="8"/>
    <m/>
  </r>
  <r>
    <m/>
    <m/>
    <m/>
    <x v="6"/>
    <m/>
    <m/>
    <x v="4"/>
    <m/>
    <m/>
    <m/>
    <m/>
    <m/>
    <m/>
    <m/>
    <m/>
    <m/>
    <m/>
    <m/>
    <m/>
    <m/>
    <m/>
    <x v="8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BD577F-659F-4C58-A9A5-02A91C8CDB49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3" firstHeaderRow="1" firstDataRow="1" firstDataCol="1"/>
  <pivotFields count="23"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0">
        <item x="1"/>
        <item x="3"/>
        <item x="4"/>
        <item x="6"/>
        <item x="7"/>
        <item x="2"/>
        <item x="5"/>
        <item x="0"/>
        <item x="8"/>
        <item t="default"/>
      </items>
    </pivotField>
    <pivotField showAll="0"/>
  </pivotFields>
  <rowFields count="1">
    <field x="21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dataFields count="1">
    <dataField name="Count of Activity_Type" fld="3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C75E5F7-393D-4ACE-B129-7F26F71C7379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1" firstHeaderRow="1" firstDataRow="1" firstDataCol="1"/>
  <pivotFields count="23">
    <pivotField showAll="0"/>
    <pivotField dataField="1" showAll="0"/>
    <pivotField showAll="0"/>
    <pivotField axis="axisRow" showAll="0">
      <items count="8">
        <item x="3"/>
        <item x="5"/>
        <item x="4"/>
        <item x="2"/>
        <item x="0"/>
        <item x="1"/>
        <item x="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Count of Visitor_Name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E352A7D-BA0F-4D52-A4DB-62863D757148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9" firstHeaderRow="1" firstDataRow="1" firstDataCol="1"/>
  <pivotFields count="23">
    <pivotField showAll="0"/>
    <pivotField showAll="0"/>
    <pivotField showAll="0"/>
    <pivotField showAll="0"/>
    <pivotField showAll="0"/>
    <pivotField showAll="0"/>
    <pivotField axis="axisRow" showAll="0">
      <items count="6">
        <item x="3"/>
        <item x="2"/>
        <item x="1"/>
        <item x="0"/>
        <item x="4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6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Average of Rating" fld="7" subtotal="average" baseField="6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5309F25-08BF-4681-BF98-5BABEF9F32FF}" name="PivotTable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1" firstHeaderRow="1" firstDataRow="1" firstDataCol="1"/>
  <pivotFields count="23">
    <pivotField showAll="0"/>
    <pivotField showAll="0"/>
    <pivotField showAll="0"/>
    <pivotField axis="axisRow" showAll="0">
      <items count="8">
        <item x="3"/>
        <item x="5"/>
        <item x="4"/>
        <item x="2"/>
        <item x="0"/>
        <item x="1"/>
        <item x="6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Average of Duration (mins)" fld="5" subtotal="average" baseField="3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B4F60FC-82FB-4BE5-9475-2D7E6B2D6D45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3" firstHeaderRow="1" firstDataRow="1" firstDataCol="1"/>
  <pivotFields count="23"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0">
        <item x="1"/>
        <item x="3"/>
        <item x="4"/>
        <item x="6"/>
        <item x="7"/>
        <item x="2"/>
        <item x="5"/>
        <item x="0"/>
        <item x="8"/>
        <item t="default"/>
      </items>
    </pivotField>
    <pivotField showAll="0"/>
  </pivotFields>
  <rowFields count="1">
    <field x="21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dataFields count="1">
    <dataField name="Sum of Entry_Fee (₹)" fld="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ABCB1D4-A94C-49D4-AEBE-DC0864A433CB}" name="PivotTable8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3:B13" firstHeaderRow="1" firstDataRow="1" firstDataCol="1"/>
  <pivotFields count="23"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0">
        <item x="1"/>
        <item x="3"/>
        <item x="4"/>
        <item x="6"/>
        <item x="7"/>
        <item x="2"/>
        <item x="5"/>
        <item x="0"/>
        <item x="8"/>
        <item t="default"/>
      </items>
    </pivotField>
    <pivotField showAll="0"/>
  </pivotFields>
  <rowFields count="1">
    <field x="21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dataFields count="1">
    <dataField name="Count of Activity_Type" fld="3" subtotal="count" baseField="0" baseItem="0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A8E1276-6349-45AB-BD3E-25CB15D11664}" name="Table1" displayName="Table1" ref="A1:U502" totalsRowShown="0" headerRowDxfId="17" headerRowBorderDxfId="16" tableBorderDxfId="15">
  <autoFilter ref="A1:U502" xr:uid="{4A8E1276-6349-45AB-BD3E-25CB15D11664}"/>
  <tableColumns count="21">
    <tableColumn id="1" xr3:uid="{AE0B152B-9F23-4C79-AABF-4D2564481142}" name="Visitor_ID"/>
    <tableColumn id="2" xr3:uid="{4FF4D399-3E05-4C7D-93A0-5EE1E492F05B}" name="Visitor_Name"/>
    <tableColumn id="3" xr3:uid="{55AA4349-1B32-4B1D-B617-F988928A4F0F}" name="Column2"/>
    <tableColumn id="4" xr3:uid="{742ED69F-AC12-4091-AEFA-4AB6CB1B6AF5}" name="Activity_Type"/>
    <tableColumn id="5" xr3:uid="{7E4F13BB-A6C8-4E9E-ACCA-93BE93A50298}" name="Date" dataDxfId="14"/>
    <tableColumn id="6" xr3:uid="{BCDB3D7E-DA55-47FB-B4F4-4692A6BA948A}" name="Duration (mins)"/>
    <tableColumn id="7" xr3:uid="{E78DC9BF-781A-41B8-BCFE-914941667B93}" name="Weather"/>
    <tableColumn id="8" xr3:uid="{FF4807DC-447E-4898-A489-883CE48AC5C1}" name="Rating"/>
    <tableColumn id="9" xr3:uid="{8E802CB4-927D-4C70-9C87-02A6855D1EDB}" name="Entry_Fee (₹)"/>
    <tableColumn id="10" xr3:uid="{A980F1C1-E6E7-421B-BDB3-B7DEF97761E8}" name="Comments"/>
    <tableColumn id="11" xr3:uid="{2EBDC8C8-277B-44B5-A102-30E0083A39CE}" name="min"/>
    <tableColumn id="12" xr3:uid="{F67CD7AE-7666-428D-A88B-8F463247C667}" name="performance">
      <calculatedColumnFormula array="1">_xlfn.IFS(H2&lt;=2,"bad",H2&lt;=2.5,"neutral",H2&gt;2.5,"good")</calculatedColumnFormula>
    </tableColumn>
    <tableColumn id="14" xr3:uid="{182068AB-797E-4349-8FB8-CD7F0D4E62A2}" name="activity duration" dataDxfId="13">
      <calculatedColumnFormula array="1">_xlfn.IFS(F2&lt;30,"short",F2&lt;90,"medium",F2&lt;180,"long",F2&gt;180,"very long")</calculatedColumnFormula>
    </tableColumn>
    <tableColumn id="15" xr3:uid="{67F6B217-0BA6-43BF-AE6B-CCE1FBE1122A}" name="left" dataDxfId="12">
      <calculatedColumnFormula>LEFT(Table1[[#This Row],[Activity_Type]],3)</calculatedColumnFormula>
    </tableColumn>
    <tableColumn id="16" xr3:uid="{0D1B9560-6200-43B7-9185-9B6EC92373A9}" name="upper" dataDxfId="11">
      <calculatedColumnFormula>UPPER(Table1[[#This Row],[Column2]])</calculatedColumnFormula>
    </tableColumn>
    <tableColumn id="17" xr3:uid="{5C2EB0E1-DA08-47E3-A004-69413A0C3985}" name="length" dataDxfId="10">
      <calculatedColumnFormula>LEN(Table1[[#This Row],[Visitor_Name]])</calculatedColumnFormula>
    </tableColumn>
    <tableColumn id="18" xr3:uid="{4B36CBDD-D942-4272-8CCA-0740CEE3AED7}" name="vlookup" dataDxfId="9"/>
    <tableColumn id="19" xr3:uid="{3CF92A02-7FC9-4748-AE9B-6157E0BE683F}" name="Column1" dataDxfId="8"/>
    <tableColumn id="20" xr3:uid="{1857C8AA-F530-4127-9AF7-EFDF3E62E9DB}" name="decimal" dataDxfId="7">
      <calculatedColumnFormula>ROUND(Table1[[#This Row],[Rating]],0)</calculatedColumnFormula>
    </tableColumn>
    <tableColumn id="22" xr3:uid="{72F9A0A7-D5D8-44A4-A871-51A8985DF6FF}" name="last name" dataDxfId="6"/>
    <tableColumn id="23" xr3:uid="{5D6762A2-A252-47F3-B45C-1D7C8C948677}" name="first name" dataDxfId="5"/>
  </tableColumns>
  <tableStyleInfo name="TableStyleMedium13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3C5BF1-56DC-4264-AD87-773EF63EC241}">
  <dimension ref="A3:B13"/>
  <sheetViews>
    <sheetView workbookViewId="0">
      <selection activeCell="D12" sqref="D12"/>
    </sheetView>
  </sheetViews>
  <sheetFormatPr defaultRowHeight="15" x14ac:dyDescent="0.25"/>
  <cols>
    <col min="1" max="1" width="13.140625" bestFit="1" customWidth="1"/>
    <col min="2" max="2" width="21.42578125" bestFit="1" customWidth="1"/>
  </cols>
  <sheetData>
    <row r="3" spans="1:2" x14ac:dyDescent="0.25">
      <c r="A3" s="6" t="s">
        <v>99</v>
      </c>
      <c r="B3" t="s">
        <v>102</v>
      </c>
    </row>
    <row r="4" spans="1:2" x14ac:dyDescent="0.25">
      <c r="A4" s="7" t="s">
        <v>11</v>
      </c>
      <c r="B4">
        <v>66</v>
      </c>
    </row>
    <row r="5" spans="1:2" x14ac:dyDescent="0.25">
      <c r="A5" s="7" t="s">
        <v>13</v>
      </c>
      <c r="B5">
        <v>71</v>
      </c>
    </row>
    <row r="6" spans="1:2" x14ac:dyDescent="0.25">
      <c r="A6" s="7" t="s">
        <v>14</v>
      </c>
      <c r="B6">
        <v>67</v>
      </c>
    </row>
    <row r="7" spans="1:2" x14ac:dyDescent="0.25">
      <c r="A7" s="7" t="s">
        <v>16</v>
      </c>
      <c r="B7">
        <v>61</v>
      </c>
    </row>
    <row r="8" spans="1:2" x14ac:dyDescent="0.25">
      <c r="A8" s="7" t="s">
        <v>17</v>
      </c>
      <c r="B8">
        <v>52</v>
      </c>
    </row>
    <row r="9" spans="1:2" x14ac:dyDescent="0.25">
      <c r="A9" s="7" t="s">
        <v>12</v>
      </c>
      <c r="B9">
        <v>59</v>
      </c>
    </row>
    <row r="10" spans="1:2" x14ac:dyDescent="0.25">
      <c r="A10" s="7" t="s">
        <v>15</v>
      </c>
      <c r="B10">
        <v>57</v>
      </c>
    </row>
    <row r="11" spans="1:2" x14ac:dyDescent="0.25">
      <c r="A11" s="7" t="s">
        <v>10</v>
      </c>
      <c r="B11">
        <v>67</v>
      </c>
    </row>
    <row r="12" spans="1:2" x14ac:dyDescent="0.25">
      <c r="A12" s="7" t="s">
        <v>100</v>
      </c>
    </row>
    <row r="13" spans="1:2" x14ac:dyDescent="0.25">
      <c r="A13" s="7" t="s">
        <v>101</v>
      </c>
      <c r="B13">
        <v>500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25C69D-FF69-4ECF-B4D8-B6F7C299C9CB}">
  <dimension ref="A3:B11"/>
  <sheetViews>
    <sheetView workbookViewId="0">
      <selection activeCell="F13" sqref="F13"/>
    </sheetView>
  </sheetViews>
  <sheetFormatPr defaultRowHeight="15" x14ac:dyDescent="0.25"/>
  <cols>
    <col min="1" max="1" width="13.42578125" bestFit="1" customWidth="1"/>
    <col min="2" max="2" width="21.5703125" bestFit="1" customWidth="1"/>
  </cols>
  <sheetData>
    <row r="3" spans="1:2" x14ac:dyDescent="0.25">
      <c r="A3" s="6" t="s">
        <v>99</v>
      </c>
      <c r="B3" t="s">
        <v>103</v>
      </c>
    </row>
    <row r="4" spans="1:2" x14ac:dyDescent="0.25">
      <c r="A4" s="7" t="s">
        <v>21</v>
      </c>
      <c r="B4">
        <v>92</v>
      </c>
    </row>
    <row r="5" spans="1:2" x14ac:dyDescent="0.25">
      <c r="A5" s="7" t="s">
        <v>23</v>
      </c>
      <c r="B5">
        <v>96</v>
      </c>
    </row>
    <row r="6" spans="1:2" x14ac:dyDescent="0.25">
      <c r="A6" s="7" t="s">
        <v>22</v>
      </c>
      <c r="B6">
        <v>81</v>
      </c>
    </row>
    <row r="7" spans="1:2" x14ac:dyDescent="0.25">
      <c r="A7" s="7" t="s">
        <v>20</v>
      </c>
      <c r="B7">
        <v>66</v>
      </c>
    </row>
    <row r="8" spans="1:2" x14ac:dyDescent="0.25">
      <c r="A8" s="7" t="s">
        <v>18</v>
      </c>
      <c r="B8">
        <v>75</v>
      </c>
    </row>
    <row r="9" spans="1:2" x14ac:dyDescent="0.25">
      <c r="A9" s="7" t="s">
        <v>19</v>
      </c>
      <c r="B9">
        <v>90</v>
      </c>
    </row>
    <row r="10" spans="1:2" x14ac:dyDescent="0.25">
      <c r="A10" s="7" t="s">
        <v>100</v>
      </c>
    </row>
    <row r="11" spans="1:2" x14ac:dyDescent="0.25">
      <c r="A11" s="7" t="s">
        <v>101</v>
      </c>
      <c r="B11">
        <v>500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103612-EB44-4A81-B2DE-B99236E77815}">
  <dimension ref="A3:B9"/>
  <sheetViews>
    <sheetView tabSelected="1" workbookViewId="0">
      <selection activeCell="F13" sqref="F13"/>
    </sheetView>
  </sheetViews>
  <sheetFormatPr defaultRowHeight="15" x14ac:dyDescent="0.25"/>
  <cols>
    <col min="1" max="1" width="13.140625" bestFit="1" customWidth="1"/>
    <col min="2" max="2" width="16.7109375" bestFit="1" customWidth="1"/>
  </cols>
  <sheetData>
    <row r="3" spans="1:2" x14ac:dyDescent="0.25">
      <c r="A3" s="6" t="s">
        <v>99</v>
      </c>
      <c r="B3" t="s">
        <v>104</v>
      </c>
    </row>
    <row r="4" spans="1:2" x14ac:dyDescent="0.25">
      <c r="A4" s="7" t="s">
        <v>27</v>
      </c>
      <c r="B4">
        <v>3.7575221238938048</v>
      </c>
    </row>
    <row r="5" spans="1:2" x14ac:dyDescent="0.25">
      <c r="A5" s="7" t="s">
        <v>26</v>
      </c>
      <c r="B5">
        <v>3.6338983050847466</v>
      </c>
    </row>
    <row r="6" spans="1:2" x14ac:dyDescent="0.25">
      <c r="A6" s="7" t="s">
        <v>25</v>
      </c>
      <c r="B6">
        <v>3.8963768115942017</v>
      </c>
    </row>
    <row r="7" spans="1:2" x14ac:dyDescent="0.25">
      <c r="A7" s="7" t="s">
        <v>24</v>
      </c>
      <c r="B7">
        <v>3.6793893129771016</v>
      </c>
    </row>
    <row r="8" spans="1:2" x14ac:dyDescent="0.25">
      <c r="A8" s="7" t="s">
        <v>100</v>
      </c>
    </row>
    <row r="9" spans="1:2" x14ac:dyDescent="0.25">
      <c r="A9" s="7" t="s">
        <v>101</v>
      </c>
      <c r="B9">
        <v>3.7462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7CBA82-6D7D-4073-A89B-FDF12FC7C285}">
  <dimension ref="A3:B11"/>
  <sheetViews>
    <sheetView workbookViewId="0">
      <selection activeCell="B7" sqref="B7"/>
    </sheetView>
  </sheetViews>
  <sheetFormatPr defaultRowHeight="15" x14ac:dyDescent="0.25"/>
  <cols>
    <col min="1" max="1" width="13.42578125" bestFit="1" customWidth="1"/>
    <col min="2" max="2" width="25.28515625" bestFit="1" customWidth="1"/>
  </cols>
  <sheetData>
    <row r="3" spans="1:2" x14ac:dyDescent="0.25">
      <c r="A3" s="6" t="s">
        <v>99</v>
      </c>
      <c r="B3" t="s">
        <v>106</v>
      </c>
    </row>
    <row r="4" spans="1:2" x14ac:dyDescent="0.25">
      <c r="A4" s="7" t="s">
        <v>21</v>
      </c>
      <c r="B4">
        <v>137.53260869565219</v>
      </c>
    </row>
    <row r="5" spans="1:2" x14ac:dyDescent="0.25">
      <c r="A5" s="7" t="s">
        <v>23</v>
      </c>
      <c r="B5">
        <v>138.1875</v>
      </c>
    </row>
    <row r="6" spans="1:2" x14ac:dyDescent="0.25">
      <c r="A6" s="7" t="s">
        <v>22</v>
      </c>
      <c r="B6">
        <v>137.45679012345678</v>
      </c>
    </row>
    <row r="7" spans="1:2" x14ac:dyDescent="0.25">
      <c r="A7" s="7" t="s">
        <v>20</v>
      </c>
      <c r="B7">
        <v>122.93939393939394</v>
      </c>
    </row>
    <row r="8" spans="1:2" x14ac:dyDescent="0.25">
      <c r="A8" s="7" t="s">
        <v>18</v>
      </c>
      <c r="B8">
        <v>133.25333333333333</v>
      </c>
    </row>
    <row r="9" spans="1:2" x14ac:dyDescent="0.25">
      <c r="A9" s="7" t="s">
        <v>19</v>
      </c>
      <c r="B9">
        <v>136.11111111111111</v>
      </c>
    </row>
    <row r="10" spans="1:2" x14ac:dyDescent="0.25">
      <c r="A10" s="7" t="s">
        <v>100</v>
      </c>
    </row>
    <row r="11" spans="1:2" x14ac:dyDescent="0.25">
      <c r="A11" s="7" t="s">
        <v>101</v>
      </c>
      <c r="B11">
        <v>134.822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0F8DB7-F787-4DC0-B73B-66381D13C458}">
  <dimension ref="A3:B13"/>
  <sheetViews>
    <sheetView workbookViewId="0">
      <selection activeCell="I18" sqref="I18"/>
    </sheetView>
  </sheetViews>
  <sheetFormatPr defaultRowHeight="15" x14ac:dyDescent="0.25"/>
  <cols>
    <col min="1" max="1" width="13.140625" bestFit="1" customWidth="1"/>
    <col min="2" max="2" width="19.7109375" bestFit="1" customWidth="1"/>
  </cols>
  <sheetData>
    <row r="3" spans="1:2" x14ac:dyDescent="0.25">
      <c r="A3" s="6" t="s">
        <v>99</v>
      </c>
      <c r="B3" t="s">
        <v>105</v>
      </c>
    </row>
    <row r="4" spans="1:2" x14ac:dyDescent="0.25">
      <c r="A4" s="7" t="s">
        <v>11</v>
      </c>
      <c r="B4">
        <v>20222</v>
      </c>
    </row>
    <row r="5" spans="1:2" x14ac:dyDescent="0.25">
      <c r="A5" s="7" t="s">
        <v>13</v>
      </c>
      <c r="B5">
        <v>19215</v>
      </c>
    </row>
    <row r="6" spans="1:2" x14ac:dyDescent="0.25">
      <c r="A6" s="7" t="s">
        <v>14</v>
      </c>
      <c r="B6">
        <v>20506</v>
      </c>
    </row>
    <row r="7" spans="1:2" x14ac:dyDescent="0.25">
      <c r="A7" s="7" t="s">
        <v>16</v>
      </c>
      <c r="B7">
        <v>17461</v>
      </c>
    </row>
    <row r="8" spans="1:2" x14ac:dyDescent="0.25">
      <c r="A8" s="7" t="s">
        <v>17</v>
      </c>
      <c r="B8">
        <v>16034</v>
      </c>
    </row>
    <row r="9" spans="1:2" x14ac:dyDescent="0.25">
      <c r="A9" s="7" t="s">
        <v>12</v>
      </c>
      <c r="B9">
        <v>17680</v>
      </c>
    </row>
    <row r="10" spans="1:2" x14ac:dyDescent="0.25">
      <c r="A10" s="7" t="s">
        <v>15</v>
      </c>
      <c r="B10">
        <v>17912</v>
      </c>
    </row>
    <row r="11" spans="1:2" x14ac:dyDescent="0.25">
      <c r="A11" s="7" t="s">
        <v>10</v>
      </c>
      <c r="B11">
        <v>20938</v>
      </c>
    </row>
    <row r="12" spans="1:2" x14ac:dyDescent="0.25">
      <c r="A12" s="7" t="s">
        <v>100</v>
      </c>
    </row>
    <row r="13" spans="1:2" x14ac:dyDescent="0.25">
      <c r="A13" s="7" t="s">
        <v>101</v>
      </c>
      <c r="B13">
        <v>149968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768241-78C4-4D3B-A6D8-16374096C814}">
  <dimension ref="A3:B13"/>
  <sheetViews>
    <sheetView workbookViewId="0">
      <selection activeCell="F18" sqref="F18"/>
    </sheetView>
  </sheetViews>
  <sheetFormatPr defaultRowHeight="15" x14ac:dyDescent="0.25"/>
  <cols>
    <col min="1" max="1" width="13.140625" bestFit="1" customWidth="1"/>
    <col min="2" max="2" width="21.42578125" bestFit="1" customWidth="1"/>
  </cols>
  <sheetData>
    <row r="3" spans="1:2" x14ac:dyDescent="0.25">
      <c r="A3" s="6" t="s">
        <v>99</v>
      </c>
      <c r="B3" t="s">
        <v>102</v>
      </c>
    </row>
    <row r="4" spans="1:2" x14ac:dyDescent="0.25">
      <c r="A4" s="7" t="s">
        <v>11</v>
      </c>
      <c r="B4">
        <v>66</v>
      </c>
    </row>
    <row r="5" spans="1:2" x14ac:dyDescent="0.25">
      <c r="A5" s="7" t="s">
        <v>13</v>
      </c>
      <c r="B5">
        <v>71</v>
      </c>
    </row>
    <row r="6" spans="1:2" x14ac:dyDescent="0.25">
      <c r="A6" s="7" t="s">
        <v>14</v>
      </c>
      <c r="B6">
        <v>67</v>
      </c>
    </row>
    <row r="7" spans="1:2" x14ac:dyDescent="0.25">
      <c r="A7" s="7" t="s">
        <v>16</v>
      </c>
      <c r="B7">
        <v>61</v>
      </c>
    </row>
    <row r="8" spans="1:2" x14ac:dyDescent="0.25">
      <c r="A8" s="7" t="s">
        <v>17</v>
      </c>
      <c r="B8">
        <v>52</v>
      </c>
    </row>
    <row r="9" spans="1:2" x14ac:dyDescent="0.25">
      <c r="A9" s="7" t="s">
        <v>12</v>
      </c>
      <c r="B9">
        <v>59</v>
      </c>
    </row>
    <row r="10" spans="1:2" x14ac:dyDescent="0.25">
      <c r="A10" s="7" t="s">
        <v>15</v>
      </c>
      <c r="B10">
        <v>57</v>
      </c>
    </row>
    <row r="11" spans="1:2" x14ac:dyDescent="0.25">
      <c r="A11" s="7" t="s">
        <v>10</v>
      </c>
      <c r="B11">
        <v>67</v>
      </c>
    </row>
    <row r="12" spans="1:2" x14ac:dyDescent="0.25">
      <c r="A12" s="7" t="s">
        <v>100</v>
      </c>
    </row>
    <row r="13" spans="1:2" x14ac:dyDescent="0.25">
      <c r="A13" s="7" t="s">
        <v>101</v>
      </c>
      <c r="B13">
        <v>500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503"/>
  <sheetViews>
    <sheetView workbookViewId="0">
      <pane ySplit="1" topLeftCell="A2" activePane="bottomLeft" state="frozen"/>
      <selection pane="bottomLeft" activeCell="E18" sqref="E18"/>
    </sheetView>
  </sheetViews>
  <sheetFormatPr defaultRowHeight="15" x14ac:dyDescent="0.25"/>
  <cols>
    <col min="1" max="1" width="13.42578125" customWidth="1"/>
    <col min="2" max="2" width="18" customWidth="1"/>
    <col min="3" max="4" width="17.140625" customWidth="1"/>
    <col min="5" max="5" width="20.7109375" style="1" customWidth="1"/>
    <col min="6" max="6" width="22.28515625" customWidth="1"/>
    <col min="7" max="7" width="17" customWidth="1"/>
    <col min="8" max="8" width="11" customWidth="1"/>
    <col min="9" max="9" width="10.5703125" customWidth="1"/>
    <col min="10" max="10" width="16.7109375" customWidth="1"/>
    <col min="11" max="11" width="21.5703125" customWidth="1"/>
    <col min="12" max="12" width="12" customWidth="1"/>
    <col min="16" max="16" width="15.42578125" customWidth="1"/>
    <col min="18" max="18" width="16.85546875" customWidth="1"/>
    <col min="22" max="22" width="12.28515625" customWidth="1"/>
    <col min="23" max="23" width="14.42578125" customWidth="1"/>
  </cols>
  <sheetData>
    <row r="1" spans="1:23" x14ac:dyDescent="0.25">
      <c r="A1" s="2" t="s">
        <v>0</v>
      </c>
      <c r="B1" s="2" t="s">
        <v>1</v>
      </c>
      <c r="C1" s="2" t="s">
        <v>78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42</v>
      </c>
      <c r="L1" s="2" t="s">
        <v>38</v>
      </c>
      <c r="M1" s="2" t="s">
        <v>46</v>
      </c>
      <c r="N1" s="2" t="s">
        <v>47</v>
      </c>
      <c r="O1" s="2" t="s">
        <v>48</v>
      </c>
      <c r="P1" s="2" t="s">
        <v>49</v>
      </c>
      <c r="Q1" s="2" t="s">
        <v>50</v>
      </c>
      <c r="R1" s="2" t="s">
        <v>51</v>
      </c>
      <c r="S1" s="2" t="s">
        <v>55</v>
      </c>
      <c r="T1" s="2" t="s">
        <v>57</v>
      </c>
      <c r="U1" s="2" t="s">
        <v>56</v>
      </c>
      <c r="V1" s="2" t="s">
        <v>2</v>
      </c>
      <c r="W1" t="s">
        <v>5</v>
      </c>
    </row>
    <row r="2" spans="1:23" x14ac:dyDescent="0.25">
      <c r="A2">
        <v>1001</v>
      </c>
      <c r="B2" t="s">
        <v>79</v>
      </c>
      <c r="C2" t="s">
        <v>80</v>
      </c>
      <c r="D2" t="s">
        <v>18</v>
      </c>
      <c r="E2" s="1">
        <v>45407</v>
      </c>
      <c r="F2">
        <v>33</v>
      </c>
      <c r="G2" t="s">
        <v>24</v>
      </c>
      <c r="H2">
        <v>3.9</v>
      </c>
      <c r="I2">
        <v>109</v>
      </c>
      <c r="J2" t="s">
        <v>28</v>
      </c>
      <c r="K2">
        <f>MIN(F2:F502)</f>
        <v>20</v>
      </c>
      <c r="L2" t="str" cm="1">
        <f t="array" ref="L2">_xlfn.IFS(H2&lt;=2,"bad",H2&lt;=2.5,"neutral",H2&gt;2.5,"good")</f>
        <v>good</v>
      </c>
      <c r="M2" t="str" cm="1">
        <f t="array" ref="M2">_xlfn.IFS(F2&lt;30,"short",F2&lt;90,"medium",F2&lt;180,"long",F2&gt;180,"very long")</f>
        <v>medium</v>
      </c>
      <c r="N2" t="str">
        <f>LEFT(Table1[[#This Row],[Activity_Type]],3)</f>
        <v>Pho</v>
      </c>
      <c r="O2" t="str">
        <f>UPPER(Table1[[#This Row],[Column2]])</f>
        <v>MEHTA</v>
      </c>
      <c r="P2">
        <f>LEN(Table1[[#This Row],[Visitor_Name]])</f>
        <v>5</v>
      </c>
      <c r="Q2">
        <v>1021</v>
      </c>
      <c r="R2" t="str">
        <f>VLOOKUP(Q2,A2:K503,2)</f>
        <v>Anita</v>
      </c>
      <c r="S2">
        <f>ROUND(Table1[[#This Row],[Rating]],0)</f>
        <v>4</v>
      </c>
      <c r="T2" t="s">
        <v>68</v>
      </c>
      <c r="U2" t="s">
        <v>58</v>
      </c>
      <c r="V2" s="5" t="s">
        <v>10</v>
      </c>
      <c r="W2">
        <v>24</v>
      </c>
    </row>
    <row r="3" spans="1:23" x14ac:dyDescent="0.25">
      <c r="A3">
        <v>1002</v>
      </c>
      <c r="B3" t="s">
        <v>79</v>
      </c>
      <c r="C3" t="s">
        <v>81</v>
      </c>
      <c r="D3" t="s">
        <v>19</v>
      </c>
      <c r="E3" s="1">
        <v>45442</v>
      </c>
      <c r="F3">
        <v>171</v>
      </c>
      <c r="G3" t="s">
        <v>25</v>
      </c>
      <c r="H3">
        <v>4.5999999999999996</v>
      </c>
      <c r="I3">
        <v>362</v>
      </c>
      <c r="J3" t="s">
        <v>29</v>
      </c>
      <c r="K3" t="s">
        <v>43</v>
      </c>
      <c r="L3" t="str" cm="1">
        <f t="array" ref="L3">_xlfn.IFS(H3&lt;=2,"bad",H3&lt;=2.5,"neutral",H3&gt;2.5,"good")</f>
        <v>good</v>
      </c>
      <c r="M3" t="str" cm="1">
        <f t="array" ref="M3">_xlfn.IFS(F3&lt;30,"short",F3&lt;90,"medium",F3&lt;180,"long",F3&gt;180,"very long")</f>
        <v>long</v>
      </c>
      <c r="N3" t="str">
        <f>LEFT(Table1[[#This Row],[Activity_Type]],3)</f>
        <v>Saf</v>
      </c>
      <c r="O3" t="str">
        <f>UPPER(Table1[[#This Row],[Column2]])</f>
        <v>PATEL</v>
      </c>
      <c r="P3">
        <f>LEN(Table1[[#This Row],[Visitor_Name]])</f>
        <v>5</v>
      </c>
      <c r="Q3">
        <v>1021</v>
      </c>
      <c r="R3">
        <f>VLOOKUP(Q3,A2:J502,8)</f>
        <v>2.6</v>
      </c>
      <c r="S3">
        <f>ROUND(Table1[[#This Row],[Rating]],0)</f>
        <v>5</v>
      </c>
      <c r="T3" t="s">
        <v>69</v>
      </c>
      <c r="U3" t="s">
        <v>58</v>
      </c>
      <c r="V3" s="5" t="s">
        <v>11</v>
      </c>
      <c r="W3">
        <v>32</v>
      </c>
    </row>
    <row r="4" spans="1:23" x14ac:dyDescent="0.25">
      <c r="A4">
        <v>1003</v>
      </c>
      <c r="B4" t="s">
        <v>82</v>
      </c>
      <c r="C4" t="s">
        <v>83</v>
      </c>
      <c r="D4" t="s">
        <v>20</v>
      </c>
      <c r="E4" s="1">
        <v>45388</v>
      </c>
      <c r="F4">
        <v>197</v>
      </c>
      <c r="G4" t="s">
        <v>24</v>
      </c>
      <c r="H4">
        <v>4.5999999999999996</v>
      </c>
      <c r="I4">
        <v>224</v>
      </c>
      <c r="J4" t="s">
        <v>30</v>
      </c>
      <c r="K4">
        <f>MAX(F2:F502)</f>
        <v>240</v>
      </c>
      <c r="L4" t="str" cm="1">
        <f t="array" ref="L4">_xlfn.IFS(H4&lt;=2,"bad",H4&lt;=2.5,"neutral",H4&gt;2.5,"good")</f>
        <v>good</v>
      </c>
      <c r="M4" t="str" cm="1">
        <f t="array" ref="M4">_xlfn.IFS(F4&lt;30,"short",F4&lt;90,"medium",F4&lt;180,"long",F4&gt;180,"very long")</f>
        <v>very long</v>
      </c>
      <c r="N4" t="str">
        <f>LEFT(Table1[[#This Row],[Activity_Type]],3)</f>
        <v>Hik</v>
      </c>
      <c r="O4" t="str">
        <f>UPPER(Table1[[#This Row],[Column2]])</f>
        <v>NAIR</v>
      </c>
      <c r="P4">
        <f>LEN(Table1[[#This Row],[Visitor_Name]])</f>
        <v>5</v>
      </c>
      <c r="S4">
        <f>ROUND(Table1[[#This Row],[Rating]],0)</f>
        <v>5</v>
      </c>
      <c r="T4" t="s">
        <v>70</v>
      </c>
      <c r="U4" t="s">
        <v>59</v>
      </c>
      <c r="V4" s="5" t="s">
        <v>12</v>
      </c>
      <c r="W4">
        <v>33</v>
      </c>
    </row>
    <row r="5" spans="1:23" x14ac:dyDescent="0.25">
      <c r="A5">
        <v>1004</v>
      </c>
      <c r="B5" t="s">
        <v>84</v>
      </c>
      <c r="C5" t="s">
        <v>85</v>
      </c>
      <c r="D5" t="s">
        <v>20</v>
      </c>
      <c r="E5" s="1">
        <v>45436</v>
      </c>
      <c r="F5">
        <v>64</v>
      </c>
      <c r="G5" t="s">
        <v>24</v>
      </c>
      <c r="H5">
        <v>4.5999999999999996</v>
      </c>
      <c r="I5">
        <v>270</v>
      </c>
      <c r="J5" t="s">
        <v>31</v>
      </c>
      <c r="L5" t="str" cm="1">
        <f t="array" ref="L5">_xlfn.IFS(H5&lt;=2,"bad",H5&lt;=2.5,"neutral",H5&gt;2.5,"good")</f>
        <v>good</v>
      </c>
      <c r="M5" t="str" cm="1">
        <f t="array" ref="M5">_xlfn.IFS(F5&lt;30,"short",F5&lt;90,"medium",F5&lt;180,"long",F5&gt;180,"very long")</f>
        <v>medium</v>
      </c>
      <c r="N5" t="str">
        <f>LEFT(Table1[[#This Row],[Activity_Type]],3)</f>
        <v>Hik</v>
      </c>
      <c r="O5" t="str">
        <f>UPPER(Table1[[#This Row],[Column2]])</f>
        <v>DAS</v>
      </c>
      <c r="P5">
        <f>LEN(Table1[[#This Row],[Visitor_Name]])</f>
        <v>5</v>
      </c>
      <c r="S5">
        <f>ROUND(Table1[[#This Row],[Rating]],0)</f>
        <v>5</v>
      </c>
      <c r="T5" t="s">
        <v>71</v>
      </c>
      <c r="U5" t="s">
        <v>63</v>
      </c>
      <c r="V5" s="5" t="s">
        <v>11</v>
      </c>
      <c r="W5">
        <v>43</v>
      </c>
    </row>
    <row r="6" spans="1:23" x14ac:dyDescent="0.25">
      <c r="A6">
        <v>1005</v>
      </c>
      <c r="B6" t="s">
        <v>86</v>
      </c>
      <c r="C6" t="s">
        <v>87</v>
      </c>
      <c r="D6" t="s">
        <v>18</v>
      </c>
      <c r="E6" s="1">
        <v>45377</v>
      </c>
      <c r="F6">
        <v>221</v>
      </c>
      <c r="G6" t="s">
        <v>25</v>
      </c>
      <c r="H6">
        <v>4.2</v>
      </c>
      <c r="I6">
        <v>232</v>
      </c>
      <c r="J6" t="s">
        <v>32</v>
      </c>
      <c r="K6" t="s">
        <v>41</v>
      </c>
      <c r="L6" t="str" cm="1">
        <f t="array" ref="L6">_xlfn.IFS(H6&lt;=2,"bad",H6&lt;=2.5,"neutral",H6&gt;2.5,"good")</f>
        <v>good</v>
      </c>
      <c r="M6" t="str" cm="1">
        <f t="array" ref="M6">_xlfn.IFS(F6&lt;30,"short",F6&lt;90,"medium",F6&lt;180,"long",F6&gt;180,"very long")</f>
        <v>very long</v>
      </c>
      <c r="N6" t="str">
        <f>LEFT(Table1[[#This Row],[Activity_Type]],3)</f>
        <v>Pho</v>
      </c>
      <c r="O6" t="str">
        <f>UPPER(Table1[[#This Row],[Column2]])</f>
        <v>VERMA</v>
      </c>
      <c r="P6">
        <f>LEN(Table1[[#This Row],[Visitor_Name]])</f>
        <v>6</v>
      </c>
      <c r="Q6" t="s">
        <v>52</v>
      </c>
      <c r="S6">
        <f>ROUND(Table1[[#This Row],[Rating]],0)</f>
        <v>4</v>
      </c>
      <c r="T6" t="s">
        <v>72</v>
      </c>
      <c r="U6" t="s">
        <v>66</v>
      </c>
      <c r="V6" s="5" t="s">
        <v>13</v>
      </c>
      <c r="W6">
        <v>43</v>
      </c>
    </row>
    <row r="7" spans="1:23" x14ac:dyDescent="0.25">
      <c r="A7">
        <v>1006</v>
      </c>
      <c r="B7" t="s">
        <v>88</v>
      </c>
      <c r="C7" t="s">
        <v>81</v>
      </c>
      <c r="D7" t="s">
        <v>21</v>
      </c>
      <c r="E7" s="1">
        <v>45654</v>
      </c>
      <c r="F7">
        <v>85</v>
      </c>
      <c r="G7" t="s">
        <v>26</v>
      </c>
      <c r="H7">
        <v>4.0999999999999996</v>
      </c>
      <c r="I7">
        <v>125</v>
      </c>
      <c r="J7" t="s">
        <v>32</v>
      </c>
      <c r="K7">
        <f>SUM(F2:F502)</f>
        <v>67411</v>
      </c>
      <c r="L7" t="str" cm="1">
        <f t="array" ref="L7">_xlfn.IFS(H7&lt;=2,"bad",H7&lt;=2.5,"neutral",H7&gt;2.5,"good")</f>
        <v>good</v>
      </c>
      <c r="M7" t="str" cm="1">
        <f t="array" ref="M7">_xlfn.IFS(F7&lt;30,"short",F7&lt;90,"medium",F7&lt;180,"long",F7&gt;180,"very long")</f>
        <v>medium</v>
      </c>
      <c r="N7" t="str">
        <f>LEFT(Table1[[#This Row],[Activity_Type]],3)</f>
        <v>Bir</v>
      </c>
      <c r="O7" t="str">
        <f>UPPER(Table1[[#This Row],[Column2]])</f>
        <v>PATEL</v>
      </c>
      <c r="P7">
        <f>LEN(Table1[[#This Row],[Visitor_Name]])</f>
        <v>6</v>
      </c>
      <c r="Q7" t="s">
        <v>53</v>
      </c>
      <c r="R7" t="str">
        <f>HLOOKUP("Activity_Type",A1:F502,5,FALSE)</f>
        <v>Hiking</v>
      </c>
      <c r="S7">
        <f>ROUND(Table1[[#This Row],[Rating]],0)</f>
        <v>4</v>
      </c>
      <c r="T7" t="s">
        <v>69</v>
      </c>
      <c r="U7" t="s">
        <v>67</v>
      </c>
      <c r="V7" s="5" t="s">
        <v>12</v>
      </c>
      <c r="W7">
        <v>44</v>
      </c>
    </row>
    <row r="8" spans="1:23" x14ac:dyDescent="0.25">
      <c r="A8">
        <v>1007</v>
      </c>
      <c r="B8" t="s">
        <v>82</v>
      </c>
      <c r="C8" t="s">
        <v>89</v>
      </c>
      <c r="D8" t="s">
        <v>21</v>
      </c>
      <c r="E8" s="1">
        <v>45394</v>
      </c>
      <c r="F8">
        <v>181</v>
      </c>
      <c r="G8" t="s">
        <v>24</v>
      </c>
      <c r="H8">
        <v>4.3</v>
      </c>
      <c r="I8">
        <v>212</v>
      </c>
      <c r="J8" t="s">
        <v>28</v>
      </c>
      <c r="L8" t="str" cm="1">
        <f t="array" ref="L8">_xlfn.IFS(H8&lt;=2,"bad",H8&lt;=2.5,"neutral",H8&gt;2.5,"good")</f>
        <v>good</v>
      </c>
      <c r="M8" t="str" cm="1">
        <f t="array" ref="M8">_xlfn.IFS(F8&lt;30,"short",F8&lt;90,"medium",F8&lt;180,"long",F8&gt;180,"very long")</f>
        <v>very long</v>
      </c>
      <c r="N8" t="str">
        <f>LEFT(Table1[[#This Row],[Activity_Type]],3)</f>
        <v>Bir</v>
      </c>
      <c r="O8" t="str">
        <f>UPPER(Table1[[#This Row],[Column2]])</f>
        <v>MENON</v>
      </c>
      <c r="P8">
        <f>LEN(Table1[[#This Row],[Visitor_Name]])</f>
        <v>5</v>
      </c>
      <c r="S8">
        <f>ROUND(Table1[[#This Row],[Rating]],0)</f>
        <v>4</v>
      </c>
      <c r="T8" t="s">
        <v>73</v>
      </c>
      <c r="U8" t="s">
        <v>59</v>
      </c>
      <c r="V8" s="5" t="s">
        <v>13</v>
      </c>
      <c r="W8">
        <v>56</v>
      </c>
    </row>
    <row r="9" spans="1:23" x14ac:dyDescent="0.25">
      <c r="A9">
        <v>1008</v>
      </c>
      <c r="B9" t="s">
        <v>90</v>
      </c>
      <c r="C9" t="s">
        <v>81</v>
      </c>
      <c r="D9" t="s">
        <v>21</v>
      </c>
      <c r="E9" s="1">
        <v>45329</v>
      </c>
      <c r="F9">
        <v>160</v>
      </c>
      <c r="G9" t="s">
        <v>25</v>
      </c>
      <c r="H9">
        <v>3.8</v>
      </c>
      <c r="I9">
        <v>249</v>
      </c>
      <c r="J9" t="s">
        <v>29</v>
      </c>
      <c r="K9" t="s">
        <v>44</v>
      </c>
      <c r="L9" t="str" cm="1">
        <f t="array" ref="L9">_xlfn.IFS(H9&lt;=2,"bad",H9&lt;=2.5,"neutral",H9&gt;2.5,"good")</f>
        <v>good</v>
      </c>
      <c r="M9" t="str" cm="1">
        <f t="array" ref="M9">_xlfn.IFS(F9&lt;30,"short",F9&lt;90,"medium",F9&lt;180,"long",F9&gt;180,"very long")</f>
        <v>long</v>
      </c>
      <c r="N9" t="str">
        <f>LEFT(Table1[[#This Row],[Activity_Type]],3)</f>
        <v>Bir</v>
      </c>
      <c r="O9" t="str">
        <f>UPPER(Table1[[#This Row],[Column2]])</f>
        <v>PATEL</v>
      </c>
      <c r="P9">
        <f>LEN(Table1[[#This Row],[Visitor_Name]])</f>
        <v>5</v>
      </c>
      <c r="Q9" t="s">
        <v>54</v>
      </c>
      <c r="S9">
        <f>ROUND(Table1[[#This Row],[Rating]],0)</f>
        <v>4</v>
      </c>
      <c r="T9" t="s">
        <v>69</v>
      </c>
      <c r="U9" t="s">
        <v>60</v>
      </c>
      <c r="V9" s="5" t="s">
        <v>14</v>
      </c>
      <c r="W9">
        <v>56</v>
      </c>
    </row>
    <row r="10" spans="1:23" x14ac:dyDescent="0.25">
      <c r="A10">
        <v>1009</v>
      </c>
      <c r="B10" t="s">
        <v>91</v>
      </c>
      <c r="C10" t="s">
        <v>85</v>
      </c>
      <c r="D10" t="s">
        <v>18</v>
      </c>
      <c r="E10" s="1">
        <v>45577</v>
      </c>
      <c r="F10">
        <v>231</v>
      </c>
      <c r="G10" t="s">
        <v>25</v>
      </c>
      <c r="H10">
        <v>2.7</v>
      </c>
      <c r="I10">
        <v>447</v>
      </c>
      <c r="J10" t="s">
        <v>30</v>
      </c>
      <c r="K10">
        <f>AVERAGE(H2:H502)</f>
        <v>3.746199999999996</v>
      </c>
      <c r="L10" t="str" cm="1">
        <f t="array" ref="L10">_xlfn.IFS(H10&lt;=2,"bad",H10&lt;=2.5,"neutral",H10&gt;2.5,"good")</f>
        <v>good</v>
      </c>
      <c r="M10" t="str" cm="1">
        <f t="array" ref="M10">_xlfn.IFS(F10&lt;30,"short",F10&lt;90,"medium",F10&lt;180,"long",F10&gt;180,"very long")</f>
        <v>very long</v>
      </c>
      <c r="N10" t="str">
        <f>LEFT(Table1[[#This Row],[Activity_Type]],3)</f>
        <v>Pho</v>
      </c>
      <c r="O10" t="str">
        <f>UPPER(Table1[[#This Row],[Column2]])</f>
        <v>DAS</v>
      </c>
      <c r="P10">
        <f>LEN(Table1[[#This Row],[Visitor_Name]])</f>
        <v>5</v>
      </c>
      <c r="Q10">
        <f>INDEX(F2:F502,MATCH(B16,B2:B502,0))</f>
        <v>160</v>
      </c>
      <c r="S10">
        <f>ROUND(Table1[[#This Row],[Rating]],0)</f>
        <v>3</v>
      </c>
      <c r="T10" t="s">
        <v>71</v>
      </c>
      <c r="U10" t="s">
        <v>61</v>
      </c>
      <c r="V10" s="5" t="s">
        <v>15</v>
      </c>
      <c r="W10">
        <v>59</v>
      </c>
    </row>
    <row r="11" spans="1:23" x14ac:dyDescent="0.25">
      <c r="A11">
        <v>1010</v>
      </c>
      <c r="B11" t="s">
        <v>92</v>
      </c>
      <c r="C11" t="s">
        <v>80</v>
      </c>
      <c r="D11" t="s">
        <v>19</v>
      </c>
      <c r="E11" s="1">
        <v>45601</v>
      </c>
      <c r="F11">
        <v>116</v>
      </c>
      <c r="G11" t="s">
        <v>27</v>
      </c>
      <c r="H11">
        <v>4.4000000000000004</v>
      </c>
      <c r="I11">
        <v>402</v>
      </c>
      <c r="J11" t="s">
        <v>28</v>
      </c>
      <c r="L11" t="str" cm="1">
        <f t="array" ref="L11">_xlfn.IFS(H11&lt;=2,"bad",H11&lt;=2.5,"neutral",H11&gt;2.5,"good")</f>
        <v>good</v>
      </c>
      <c r="M11" t="str" cm="1">
        <f t="array" ref="M11">_xlfn.IFS(F11&lt;30,"short",F11&lt;90,"medium",F11&lt;180,"long",F11&gt;180,"very long")</f>
        <v>long</v>
      </c>
      <c r="N11" t="str">
        <f>LEFT(Table1[[#This Row],[Activity_Type]],3)</f>
        <v>Saf</v>
      </c>
      <c r="O11" t="str">
        <f>UPPER(Table1[[#This Row],[Column2]])</f>
        <v>MEHTA</v>
      </c>
      <c r="P11">
        <f>LEN(Table1[[#This Row],[Visitor_Name]])</f>
        <v>5</v>
      </c>
      <c r="S11">
        <f>ROUND(Table1[[#This Row],[Rating]],0)</f>
        <v>4</v>
      </c>
      <c r="T11" t="s">
        <v>68</v>
      </c>
      <c r="U11" t="s">
        <v>62</v>
      </c>
      <c r="V11" s="5" t="s">
        <v>16</v>
      </c>
      <c r="W11">
        <v>64</v>
      </c>
    </row>
    <row r="12" spans="1:23" x14ac:dyDescent="0.25">
      <c r="A12">
        <v>1011</v>
      </c>
      <c r="B12" t="s">
        <v>84</v>
      </c>
      <c r="C12" t="s">
        <v>93</v>
      </c>
      <c r="D12" t="s">
        <v>22</v>
      </c>
      <c r="E12" s="1">
        <v>45496</v>
      </c>
      <c r="F12">
        <v>191</v>
      </c>
      <c r="G12" t="s">
        <v>26</v>
      </c>
      <c r="H12">
        <v>4.7</v>
      </c>
      <c r="I12">
        <v>137</v>
      </c>
      <c r="J12" t="s">
        <v>29</v>
      </c>
      <c r="K12" t="s">
        <v>45</v>
      </c>
      <c r="L12" t="str" cm="1">
        <f t="array" ref="L12">_xlfn.IFS(H12&lt;=2,"bad",H12&lt;=2.5,"neutral",H12&gt;2.5,"good")</f>
        <v>good</v>
      </c>
      <c r="M12" t="str" cm="1">
        <f t="array" ref="M12">_xlfn.IFS(F12&lt;30,"short",F12&lt;90,"medium",F12&lt;180,"long",F12&gt;180,"very long")</f>
        <v>very long</v>
      </c>
      <c r="N12" t="str">
        <f>LEFT(Table1[[#This Row],[Activity_Type]],3)</f>
        <v>Cam</v>
      </c>
      <c r="O12" t="str">
        <f>UPPER(Table1[[#This Row],[Column2]])</f>
        <v>IYER</v>
      </c>
      <c r="P12">
        <f>LEN(Table1[[#This Row],[Visitor_Name]])</f>
        <v>5</v>
      </c>
      <c r="S12">
        <f>ROUND(Table1[[#This Row],[Rating]],0)</f>
        <v>5</v>
      </c>
      <c r="T12" t="s">
        <v>74</v>
      </c>
      <c r="U12" t="s">
        <v>63</v>
      </c>
      <c r="V12" s="5" t="s">
        <v>11</v>
      </c>
      <c r="W12">
        <v>65</v>
      </c>
    </row>
    <row r="13" spans="1:23" x14ac:dyDescent="0.25">
      <c r="A13">
        <v>1012</v>
      </c>
      <c r="B13" t="s">
        <v>79</v>
      </c>
      <c r="C13" t="s">
        <v>87</v>
      </c>
      <c r="D13" t="s">
        <v>21</v>
      </c>
      <c r="E13" s="1">
        <v>45648</v>
      </c>
      <c r="F13">
        <v>223</v>
      </c>
      <c r="G13" t="s">
        <v>27</v>
      </c>
      <c r="H13">
        <v>3.6</v>
      </c>
      <c r="I13">
        <v>496</v>
      </c>
      <c r="J13" t="s">
        <v>33</v>
      </c>
      <c r="K13">
        <f>COUNTA(J2:J502)</f>
        <v>500</v>
      </c>
      <c r="L13" t="str" cm="1">
        <f t="array" ref="L13">_xlfn.IFS(H13&lt;=2,"bad",H13&lt;=2.5,"neutral",H13&gt;2.5,"good")</f>
        <v>good</v>
      </c>
      <c r="M13" t="str" cm="1">
        <f t="array" ref="M13">_xlfn.IFS(F13&lt;30,"short",F13&lt;90,"medium",F13&lt;180,"long",F13&gt;180,"very long")</f>
        <v>very long</v>
      </c>
      <c r="N13" t="str">
        <f>LEFT(Table1[[#This Row],[Activity_Type]],3)</f>
        <v>Bir</v>
      </c>
      <c r="O13" t="str">
        <f>UPPER(Table1[[#This Row],[Column2]])</f>
        <v>VERMA</v>
      </c>
      <c r="P13">
        <f>LEN(Table1[[#This Row],[Visitor_Name]])</f>
        <v>5</v>
      </c>
      <c r="S13">
        <f>ROUND(Table1[[#This Row],[Rating]],0)</f>
        <v>4</v>
      </c>
      <c r="T13" t="s">
        <v>72</v>
      </c>
      <c r="U13" t="s">
        <v>58</v>
      </c>
      <c r="V13" s="5" t="s">
        <v>11</v>
      </c>
      <c r="W13">
        <v>73</v>
      </c>
    </row>
    <row r="14" spans="1:23" x14ac:dyDescent="0.25">
      <c r="A14">
        <v>1013</v>
      </c>
      <c r="B14" t="s">
        <v>91</v>
      </c>
      <c r="C14" t="s">
        <v>80</v>
      </c>
      <c r="D14" t="s">
        <v>23</v>
      </c>
      <c r="E14" s="1">
        <v>45491</v>
      </c>
      <c r="F14">
        <v>199</v>
      </c>
      <c r="G14" t="s">
        <v>26</v>
      </c>
      <c r="H14">
        <v>3.3</v>
      </c>
      <c r="I14">
        <v>229</v>
      </c>
      <c r="J14" t="s">
        <v>34</v>
      </c>
      <c r="L14" t="str" cm="1">
        <f t="array" ref="L14">_xlfn.IFS(H14&lt;=2,"bad",H14&lt;=2.5,"neutral",H14&gt;2.5,"good")</f>
        <v>good</v>
      </c>
      <c r="M14" t="str" cm="1">
        <f t="array" ref="M14">_xlfn.IFS(F14&lt;30,"short",F14&lt;90,"medium",F14&lt;180,"long",F14&gt;180,"very long")</f>
        <v>very long</v>
      </c>
      <c r="N14" t="str">
        <f>LEFT(Table1[[#This Row],[Activity_Type]],3)</f>
        <v>Boa</v>
      </c>
      <c r="O14" t="str">
        <f>UPPER(Table1[[#This Row],[Column2]])</f>
        <v>MEHTA</v>
      </c>
      <c r="P14">
        <f>LEN(Table1[[#This Row],[Visitor_Name]])</f>
        <v>5</v>
      </c>
      <c r="S14">
        <f>ROUND(Table1[[#This Row],[Rating]],0)</f>
        <v>3</v>
      </c>
      <c r="T14" t="s">
        <v>68</v>
      </c>
      <c r="U14" t="s">
        <v>61</v>
      </c>
      <c r="V14" s="5" t="s">
        <v>17</v>
      </c>
      <c r="W14">
        <v>73</v>
      </c>
    </row>
    <row r="15" spans="1:23" x14ac:dyDescent="0.25">
      <c r="A15">
        <v>1014</v>
      </c>
      <c r="B15" t="s">
        <v>94</v>
      </c>
      <c r="C15" t="s">
        <v>95</v>
      </c>
      <c r="D15" t="s">
        <v>23</v>
      </c>
      <c r="E15" s="1">
        <v>45627</v>
      </c>
      <c r="F15">
        <v>92</v>
      </c>
      <c r="G15" t="s">
        <v>26</v>
      </c>
      <c r="H15">
        <v>3.3</v>
      </c>
      <c r="I15">
        <v>284</v>
      </c>
      <c r="J15" t="s">
        <v>32</v>
      </c>
      <c r="L15" t="str" cm="1">
        <f t="array" ref="L15">_xlfn.IFS(H15&lt;=2,"bad",H15&lt;=2.5,"neutral",H15&gt;2.5,"good")</f>
        <v>good</v>
      </c>
      <c r="M15" t="str" cm="1">
        <f t="array" ref="M15">_xlfn.IFS(F15&lt;30,"short",F15&lt;90,"medium",F15&lt;180,"long",F15&gt;180,"very long")</f>
        <v>long</v>
      </c>
      <c r="N15" t="str">
        <f>LEFT(Table1[[#This Row],[Activity_Type]],3)</f>
        <v>Boa</v>
      </c>
      <c r="O15" t="str">
        <f>UPPER(Table1[[#This Row],[Column2]])</f>
        <v>SINGH</v>
      </c>
      <c r="P15">
        <f>LEN(Table1[[#This Row],[Visitor_Name]])</f>
        <v>5</v>
      </c>
      <c r="S15">
        <f>ROUND(Table1[[#This Row],[Rating]],0)</f>
        <v>3</v>
      </c>
      <c r="T15" t="s">
        <v>75</v>
      </c>
      <c r="U15" t="s">
        <v>64</v>
      </c>
      <c r="V15" s="5" t="s">
        <v>12</v>
      </c>
      <c r="W15">
        <v>78</v>
      </c>
    </row>
    <row r="16" spans="1:23" x14ac:dyDescent="0.25">
      <c r="A16">
        <v>1015</v>
      </c>
      <c r="B16" t="s">
        <v>90</v>
      </c>
      <c r="C16" t="s">
        <v>96</v>
      </c>
      <c r="D16" t="s">
        <v>20</v>
      </c>
      <c r="E16" s="1">
        <v>45487</v>
      </c>
      <c r="F16">
        <v>198</v>
      </c>
      <c r="G16" t="s">
        <v>26</v>
      </c>
      <c r="H16">
        <v>2.7</v>
      </c>
      <c r="I16">
        <v>311</v>
      </c>
      <c r="J16" t="s">
        <v>30</v>
      </c>
      <c r="L16" t="str" cm="1">
        <f t="array" ref="L16">_xlfn.IFS(H16&lt;=2,"bad",H16&lt;=2.5,"neutral",H16&gt;2.5,"good")</f>
        <v>good</v>
      </c>
      <c r="M16" t="str" cm="1">
        <f t="array" ref="M16">_xlfn.IFS(F16&lt;30,"short",F16&lt;90,"medium",F16&lt;180,"long",F16&gt;180,"very long")</f>
        <v>very long</v>
      </c>
      <c r="N16" t="str">
        <f>LEFT(Table1[[#This Row],[Activity_Type]],3)</f>
        <v>Hik</v>
      </c>
      <c r="O16" t="str">
        <f>UPPER(Table1[[#This Row],[Column2]])</f>
        <v>SHARMA</v>
      </c>
      <c r="P16">
        <f>LEN(Table1[[#This Row],[Visitor_Name]])</f>
        <v>5</v>
      </c>
      <c r="S16">
        <f>ROUND(Table1[[#This Row],[Rating]],0)</f>
        <v>3</v>
      </c>
      <c r="T16" t="s">
        <v>76</v>
      </c>
      <c r="U16" t="s">
        <v>60</v>
      </c>
      <c r="V16" s="5" t="s">
        <v>13</v>
      </c>
      <c r="W16">
        <v>82</v>
      </c>
    </row>
    <row r="17" spans="1:23" x14ac:dyDescent="0.25">
      <c r="A17">
        <v>1016</v>
      </c>
      <c r="B17" t="s">
        <v>97</v>
      </c>
      <c r="C17" t="s">
        <v>80</v>
      </c>
      <c r="D17" t="s">
        <v>23</v>
      </c>
      <c r="E17" s="1">
        <v>45423</v>
      </c>
      <c r="F17">
        <v>160</v>
      </c>
      <c r="G17" t="s">
        <v>24</v>
      </c>
      <c r="H17">
        <v>3.1</v>
      </c>
      <c r="I17">
        <v>414</v>
      </c>
      <c r="J17" t="s">
        <v>32</v>
      </c>
      <c r="L17" t="str" cm="1">
        <f t="array" ref="L17">_xlfn.IFS(H17&lt;=2,"bad",H17&lt;=2.5,"neutral",H17&gt;2.5,"good")</f>
        <v>good</v>
      </c>
      <c r="M17" t="str" cm="1">
        <f t="array" ref="M17">_xlfn.IFS(F17&lt;30,"short",F17&lt;90,"medium",F17&lt;180,"long",F17&gt;180,"very long")</f>
        <v>long</v>
      </c>
      <c r="N17" t="str">
        <f>LEFT(Table1[[#This Row],[Activity_Type]],3)</f>
        <v>Boa</v>
      </c>
      <c r="O17" t="str">
        <f>UPPER(Table1[[#This Row],[Column2]])</f>
        <v>MEHTA</v>
      </c>
      <c r="P17">
        <f>LEN(Table1[[#This Row],[Visitor_Name]])</f>
        <v>5</v>
      </c>
      <c r="S17">
        <f>ROUND(Table1[[#This Row],[Rating]],0)</f>
        <v>3</v>
      </c>
      <c r="T17" t="s">
        <v>68</v>
      </c>
      <c r="U17" t="s">
        <v>65</v>
      </c>
      <c r="V17" s="5" t="s">
        <v>10</v>
      </c>
      <c r="W17">
        <v>82</v>
      </c>
    </row>
    <row r="18" spans="1:23" x14ac:dyDescent="0.25">
      <c r="A18">
        <v>1017</v>
      </c>
      <c r="B18" t="s">
        <v>91</v>
      </c>
      <c r="C18" t="s">
        <v>93</v>
      </c>
      <c r="D18" t="s">
        <v>19</v>
      </c>
      <c r="E18" s="1">
        <v>45399</v>
      </c>
      <c r="F18">
        <v>207</v>
      </c>
      <c r="G18" t="s">
        <v>26</v>
      </c>
      <c r="H18">
        <v>4.4000000000000004</v>
      </c>
      <c r="I18">
        <v>419</v>
      </c>
      <c r="J18" t="s">
        <v>32</v>
      </c>
      <c r="L18" t="str" cm="1">
        <f t="array" ref="L18">_xlfn.IFS(H18&lt;=2,"bad",H18&lt;=2.5,"neutral",H18&gt;2.5,"good")</f>
        <v>good</v>
      </c>
      <c r="M18" t="str" cm="1">
        <f t="array" ref="M18">_xlfn.IFS(F18&lt;30,"short",F18&lt;90,"medium",F18&lt;180,"long",F18&gt;180,"very long")</f>
        <v>very long</v>
      </c>
      <c r="N18" t="str">
        <f>LEFT(Table1[[#This Row],[Activity_Type]],3)</f>
        <v>Saf</v>
      </c>
      <c r="O18" t="str">
        <f>UPPER(Table1[[#This Row],[Column2]])</f>
        <v>IYER</v>
      </c>
      <c r="P18">
        <f>LEN(Table1[[#This Row],[Visitor_Name]])</f>
        <v>5</v>
      </c>
      <c r="S18">
        <f>ROUND(Table1[[#This Row],[Rating]],0)</f>
        <v>4</v>
      </c>
      <c r="T18" t="s">
        <v>74</v>
      </c>
      <c r="U18" t="s">
        <v>61</v>
      </c>
      <c r="V18" s="5" t="s">
        <v>14</v>
      </c>
      <c r="W18">
        <v>84</v>
      </c>
    </row>
    <row r="19" spans="1:23" x14ac:dyDescent="0.25">
      <c r="A19">
        <v>1018</v>
      </c>
      <c r="B19" t="s">
        <v>79</v>
      </c>
      <c r="C19" t="s">
        <v>98</v>
      </c>
      <c r="D19" t="s">
        <v>23</v>
      </c>
      <c r="E19" s="1">
        <v>45350</v>
      </c>
      <c r="F19">
        <v>197</v>
      </c>
      <c r="G19" t="s">
        <v>24</v>
      </c>
      <c r="H19">
        <v>3.8</v>
      </c>
      <c r="I19">
        <v>387</v>
      </c>
      <c r="J19" t="s">
        <v>30</v>
      </c>
      <c r="L19" t="str" cm="1">
        <f t="array" ref="L19">_xlfn.IFS(H19&lt;=2,"bad",H19&lt;=2.5,"neutral",H19&gt;2.5,"good")</f>
        <v>good</v>
      </c>
      <c r="M19" t="str" cm="1">
        <f t="array" ref="M19">_xlfn.IFS(F19&lt;30,"short",F19&lt;90,"medium",F19&lt;180,"long",F19&gt;180,"very long")</f>
        <v>very long</v>
      </c>
      <c r="N19" t="str">
        <f>LEFT(Table1[[#This Row],[Activity_Type]],3)</f>
        <v>Boa</v>
      </c>
      <c r="O19" t="str">
        <f>UPPER(Table1[[#This Row],[Column2]])</f>
        <v>REDDY</v>
      </c>
      <c r="P19">
        <f>LEN(Table1[[#This Row],[Visitor_Name]])</f>
        <v>5</v>
      </c>
      <c r="S19">
        <f>ROUND(Table1[[#This Row],[Rating]],0)</f>
        <v>4</v>
      </c>
      <c r="T19" t="s">
        <v>77</v>
      </c>
      <c r="U19" t="s">
        <v>58</v>
      </c>
      <c r="V19" s="5" t="s">
        <v>12</v>
      </c>
      <c r="W19">
        <v>85</v>
      </c>
    </row>
    <row r="20" spans="1:23" x14ac:dyDescent="0.25">
      <c r="A20">
        <v>1019</v>
      </c>
      <c r="B20" t="s">
        <v>91</v>
      </c>
      <c r="C20" t="s">
        <v>89</v>
      </c>
      <c r="D20" t="s">
        <v>19</v>
      </c>
      <c r="E20" s="1">
        <v>45429</v>
      </c>
      <c r="F20">
        <v>102</v>
      </c>
      <c r="G20" t="s">
        <v>27</v>
      </c>
      <c r="H20">
        <v>4.5</v>
      </c>
      <c r="I20">
        <v>163</v>
      </c>
      <c r="J20" t="s">
        <v>33</v>
      </c>
      <c r="L20" t="str" cm="1">
        <f t="array" ref="L20">_xlfn.IFS(H20&lt;=2,"bad",H20&lt;=2.5,"neutral",H20&gt;2.5,"good")</f>
        <v>good</v>
      </c>
      <c r="M20" t="str" cm="1">
        <f t="array" ref="M20">_xlfn.IFS(F20&lt;30,"short",F20&lt;90,"medium",F20&lt;180,"long",F20&gt;180,"very long")</f>
        <v>long</v>
      </c>
      <c r="N20" t="str">
        <f>LEFT(Table1[[#This Row],[Activity_Type]],3)</f>
        <v>Saf</v>
      </c>
      <c r="O20" t="str">
        <f>UPPER(Table1[[#This Row],[Column2]])</f>
        <v>MENON</v>
      </c>
      <c r="P20">
        <f>LEN(Table1[[#This Row],[Visitor_Name]])</f>
        <v>5</v>
      </c>
      <c r="S20">
        <f>ROUND(Table1[[#This Row],[Rating]],0)</f>
        <v>5</v>
      </c>
      <c r="T20" t="s">
        <v>73</v>
      </c>
      <c r="U20" t="s">
        <v>61</v>
      </c>
      <c r="V20" s="5" t="s">
        <v>12</v>
      </c>
      <c r="W20">
        <v>92</v>
      </c>
    </row>
    <row r="21" spans="1:23" x14ac:dyDescent="0.25">
      <c r="A21">
        <v>1020</v>
      </c>
      <c r="B21" t="s">
        <v>90</v>
      </c>
      <c r="C21" t="s">
        <v>95</v>
      </c>
      <c r="D21" t="s">
        <v>18</v>
      </c>
      <c r="E21" s="1">
        <v>45530</v>
      </c>
      <c r="F21">
        <v>223</v>
      </c>
      <c r="G21" t="s">
        <v>27</v>
      </c>
      <c r="H21">
        <v>4.3</v>
      </c>
      <c r="I21">
        <v>460</v>
      </c>
      <c r="J21" t="s">
        <v>30</v>
      </c>
      <c r="L21" t="str" cm="1">
        <f t="array" ref="L21">_xlfn.IFS(H21&lt;=2,"bad",H21&lt;=2.5,"neutral",H21&gt;2.5,"good")</f>
        <v>good</v>
      </c>
      <c r="M21" t="str" cm="1">
        <f t="array" ref="M21">_xlfn.IFS(F21&lt;30,"short",F21&lt;90,"medium",F21&lt;180,"long",F21&gt;180,"very long")</f>
        <v>very long</v>
      </c>
      <c r="N21" t="str">
        <f>LEFT(Table1[[#This Row],[Activity_Type]],3)</f>
        <v>Pho</v>
      </c>
      <c r="O21" t="str">
        <f>UPPER(Table1[[#This Row],[Column2]])</f>
        <v>SINGH</v>
      </c>
      <c r="P21">
        <f>LEN(Table1[[#This Row],[Visitor_Name]])</f>
        <v>5</v>
      </c>
      <c r="S21">
        <f>ROUND(Table1[[#This Row],[Rating]],0)</f>
        <v>4</v>
      </c>
      <c r="T21" t="s">
        <v>75</v>
      </c>
      <c r="U21" t="s">
        <v>60</v>
      </c>
      <c r="V21" s="5" t="s">
        <v>10</v>
      </c>
      <c r="W21">
        <v>102</v>
      </c>
    </row>
    <row r="22" spans="1:23" x14ac:dyDescent="0.25">
      <c r="A22">
        <v>1021</v>
      </c>
      <c r="B22" t="s">
        <v>94</v>
      </c>
      <c r="C22" t="s">
        <v>93</v>
      </c>
      <c r="D22" t="s">
        <v>21</v>
      </c>
      <c r="E22" s="1">
        <v>45607</v>
      </c>
      <c r="F22">
        <v>240</v>
      </c>
      <c r="G22" t="s">
        <v>27</v>
      </c>
      <c r="H22">
        <v>2.6</v>
      </c>
      <c r="I22">
        <v>230</v>
      </c>
      <c r="J22" t="s">
        <v>31</v>
      </c>
      <c r="L22" t="str" cm="1">
        <f t="array" ref="L22">_xlfn.IFS(H22&lt;=2,"bad",H22&lt;=2.5,"neutral",H22&gt;2.5,"good")</f>
        <v>good</v>
      </c>
      <c r="M22" t="str" cm="1">
        <f t="array" ref="M22">_xlfn.IFS(F22&lt;30,"short",F22&lt;90,"medium",F22&lt;180,"long",F22&gt;180,"very long")</f>
        <v>very long</v>
      </c>
      <c r="N22" t="str">
        <f>LEFT(Table1[[#This Row],[Activity_Type]],3)</f>
        <v>Bir</v>
      </c>
      <c r="O22" t="str">
        <f>UPPER(Table1[[#This Row],[Column2]])</f>
        <v>IYER</v>
      </c>
      <c r="P22">
        <f>LEN(Table1[[#This Row],[Visitor_Name]])</f>
        <v>5</v>
      </c>
      <c r="S22">
        <f>ROUND(Table1[[#This Row],[Rating]],0)</f>
        <v>3</v>
      </c>
      <c r="T22" t="s">
        <v>74</v>
      </c>
      <c r="U22" t="s">
        <v>64</v>
      </c>
      <c r="V22" s="5" t="s">
        <v>12</v>
      </c>
      <c r="W22">
        <v>103</v>
      </c>
    </row>
    <row r="23" spans="1:23" x14ac:dyDescent="0.25">
      <c r="A23">
        <v>1022</v>
      </c>
      <c r="B23" t="s">
        <v>88</v>
      </c>
      <c r="C23" t="s">
        <v>85</v>
      </c>
      <c r="D23" t="s">
        <v>18</v>
      </c>
      <c r="E23" s="1">
        <v>45337</v>
      </c>
      <c r="F23">
        <v>128</v>
      </c>
      <c r="G23" t="s">
        <v>27</v>
      </c>
      <c r="H23">
        <v>4.0999999999999996</v>
      </c>
      <c r="I23">
        <v>427</v>
      </c>
      <c r="J23" t="s">
        <v>33</v>
      </c>
      <c r="L23" t="str" cm="1">
        <f t="array" ref="L23">_xlfn.IFS(H23&lt;=2,"bad",H23&lt;=2.5,"neutral",H23&gt;2.5,"good")</f>
        <v>good</v>
      </c>
      <c r="M23" t="str" cm="1">
        <f t="array" ref="M23">_xlfn.IFS(F23&lt;30,"short",F23&lt;90,"medium",F23&lt;180,"long",F23&gt;180,"very long")</f>
        <v>long</v>
      </c>
      <c r="N23" t="str">
        <f>LEFT(Table1[[#This Row],[Activity_Type]],3)</f>
        <v>Pho</v>
      </c>
      <c r="O23" t="str">
        <f>UPPER(Table1[[#This Row],[Column2]])</f>
        <v>DAS</v>
      </c>
      <c r="P23">
        <f>LEN(Table1[[#This Row],[Visitor_Name]])</f>
        <v>6</v>
      </c>
      <c r="S23">
        <f>ROUND(Table1[[#This Row],[Rating]],0)</f>
        <v>4</v>
      </c>
      <c r="T23" t="s">
        <v>71</v>
      </c>
      <c r="U23" t="s">
        <v>67</v>
      </c>
      <c r="V23" s="5" t="s">
        <v>17</v>
      </c>
      <c r="W23">
        <v>113</v>
      </c>
    </row>
    <row r="24" spans="1:23" x14ac:dyDescent="0.25">
      <c r="A24">
        <v>1023</v>
      </c>
      <c r="B24" t="s">
        <v>86</v>
      </c>
      <c r="C24" t="s">
        <v>87</v>
      </c>
      <c r="D24" t="s">
        <v>20</v>
      </c>
      <c r="E24" s="1">
        <v>45527</v>
      </c>
      <c r="F24">
        <v>162</v>
      </c>
      <c r="G24" t="s">
        <v>24</v>
      </c>
      <c r="H24">
        <v>4.9000000000000004</v>
      </c>
      <c r="I24">
        <v>430</v>
      </c>
      <c r="J24" t="s">
        <v>28</v>
      </c>
      <c r="L24" t="str" cm="1">
        <f t="array" ref="L24">_xlfn.IFS(H24&lt;=2,"bad",H24&lt;=2.5,"neutral",H24&gt;2.5,"good")</f>
        <v>good</v>
      </c>
      <c r="M24" t="str" cm="1">
        <f t="array" ref="M24">_xlfn.IFS(F24&lt;30,"short",F24&lt;90,"medium",F24&lt;180,"long",F24&gt;180,"very long")</f>
        <v>long</v>
      </c>
      <c r="N24" t="str">
        <f>LEFT(Table1[[#This Row],[Activity_Type]],3)</f>
        <v>Hik</v>
      </c>
      <c r="O24" t="str">
        <f>UPPER(Table1[[#This Row],[Column2]])</f>
        <v>VERMA</v>
      </c>
      <c r="P24">
        <f>LEN(Table1[[#This Row],[Visitor_Name]])</f>
        <v>6</v>
      </c>
      <c r="S24">
        <f>ROUND(Table1[[#This Row],[Rating]],0)</f>
        <v>5</v>
      </c>
      <c r="T24" t="s">
        <v>72</v>
      </c>
      <c r="U24" t="s">
        <v>66</v>
      </c>
      <c r="V24" s="5" t="s">
        <v>14</v>
      </c>
      <c r="W24">
        <v>116</v>
      </c>
    </row>
    <row r="25" spans="1:23" x14ac:dyDescent="0.25">
      <c r="A25">
        <v>1024</v>
      </c>
      <c r="B25" t="s">
        <v>90</v>
      </c>
      <c r="C25" t="s">
        <v>87</v>
      </c>
      <c r="D25" t="s">
        <v>23</v>
      </c>
      <c r="E25" s="1">
        <v>45568</v>
      </c>
      <c r="F25">
        <v>199</v>
      </c>
      <c r="G25" t="s">
        <v>24</v>
      </c>
      <c r="H25">
        <v>3.5</v>
      </c>
      <c r="I25">
        <v>463</v>
      </c>
      <c r="J25" t="s">
        <v>33</v>
      </c>
      <c r="L25" t="str" cm="1">
        <f t="array" ref="L25">_xlfn.IFS(H25&lt;=2,"bad",H25&lt;=2.5,"neutral",H25&gt;2.5,"good")</f>
        <v>good</v>
      </c>
      <c r="M25" t="str" cm="1">
        <f t="array" ref="M25">_xlfn.IFS(F25&lt;30,"short",F25&lt;90,"medium",F25&lt;180,"long",F25&gt;180,"very long")</f>
        <v>very long</v>
      </c>
      <c r="N25" t="str">
        <f>LEFT(Table1[[#This Row],[Activity_Type]],3)</f>
        <v>Boa</v>
      </c>
      <c r="O25" t="str">
        <f>UPPER(Table1[[#This Row],[Column2]])</f>
        <v>VERMA</v>
      </c>
      <c r="P25">
        <f>LEN(Table1[[#This Row],[Visitor_Name]])</f>
        <v>5</v>
      </c>
      <c r="S25">
        <f>ROUND(Table1[[#This Row],[Rating]],0)</f>
        <v>4</v>
      </c>
      <c r="T25" t="s">
        <v>72</v>
      </c>
      <c r="U25" t="s">
        <v>60</v>
      </c>
      <c r="V25" s="5" t="s">
        <v>12</v>
      </c>
      <c r="W25">
        <v>116</v>
      </c>
    </row>
    <row r="26" spans="1:23" x14ac:dyDescent="0.25">
      <c r="A26">
        <v>1025</v>
      </c>
      <c r="B26" t="s">
        <v>86</v>
      </c>
      <c r="C26" t="s">
        <v>81</v>
      </c>
      <c r="D26" t="s">
        <v>20</v>
      </c>
      <c r="E26" s="1">
        <v>45535</v>
      </c>
      <c r="F26">
        <v>43</v>
      </c>
      <c r="G26" t="s">
        <v>25</v>
      </c>
      <c r="H26">
        <v>4.0999999999999996</v>
      </c>
      <c r="I26">
        <v>124</v>
      </c>
      <c r="J26" t="s">
        <v>31</v>
      </c>
      <c r="L26" t="str" cm="1">
        <f t="array" ref="L26">_xlfn.IFS(H26&lt;=2,"bad",H26&lt;=2.5,"neutral",H26&gt;2.5,"good")</f>
        <v>good</v>
      </c>
      <c r="M26" t="str" cm="1">
        <f t="array" ref="M26">_xlfn.IFS(F26&lt;30,"short",F26&lt;90,"medium",F26&lt;180,"long",F26&gt;180,"very long")</f>
        <v>medium</v>
      </c>
      <c r="N26" t="str">
        <f>LEFT(Table1[[#This Row],[Activity_Type]],3)</f>
        <v>Hik</v>
      </c>
      <c r="O26" t="str">
        <f>UPPER(Table1[[#This Row],[Column2]])</f>
        <v>PATEL</v>
      </c>
      <c r="P26">
        <f>LEN(Table1[[#This Row],[Visitor_Name]])</f>
        <v>6</v>
      </c>
      <c r="S26">
        <f>ROUND(Table1[[#This Row],[Rating]],0)</f>
        <v>4</v>
      </c>
      <c r="T26" t="s">
        <v>69</v>
      </c>
      <c r="U26" t="s">
        <v>66</v>
      </c>
      <c r="V26" s="5" t="s">
        <v>12</v>
      </c>
      <c r="W26">
        <v>125</v>
      </c>
    </row>
    <row r="27" spans="1:23" x14ac:dyDescent="0.25">
      <c r="A27">
        <v>1026</v>
      </c>
      <c r="B27" t="s">
        <v>90</v>
      </c>
      <c r="C27" t="s">
        <v>95</v>
      </c>
      <c r="D27" t="s">
        <v>23</v>
      </c>
      <c r="E27" s="1">
        <v>45554</v>
      </c>
      <c r="F27">
        <v>103</v>
      </c>
      <c r="G27" t="s">
        <v>24</v>
      </c>
      <c r="H27">
        <v>3.1</v>
      </c>
      <c r="I27">
        <v>392</v>
      </c>
      <c r="J27" t="s">
        <v>35</v>
      </c>
      <c r="L27" t="str" cm="1">
        <f t="array" ref="L27">_xlfn.IFS(H27&lt;=2,"bad",H27&lt;=2.5,"neutral",H27&gt;2.5,"good")</f>
        <v>good</v>
      </c>
      <c r="M27" t="str" cm="1">
        <f t="array" ref="M27">_xlfn.IFS(F27&lt;30,"short",F27&lt;90,"medium",F27&lt;180,"long",F27&gt;180,"very long")</f>
        <v>long</v>
      </c>
      <c r="N27" t="str">
        <f>LEFT(Table1[[#This Row],[Activity_Type]],3)</f>
        <v>Boa</v>
      </c>
      <c r="O27" t="str">
        <f>UPPER(Table1[[#This Row],[Column2]])</f>
        <v>SINGH</v>
      </c>
      <c r="P27">
        <f>LEN(Table1[[#This Row],[Visitor_Name]])</f>
        <v>5</v>
      </c>
      <c r="S27">
        <f>ROUND(Table1[[#This Row],[Rating]],0)</f>
        <v>3</v>
      </c>
      <c r="T27" t="s">
        <v>75</v>
      </c>
      <c r="U27" t="s">
        <v>60</v>
      </c>
      <c r="V27" s="5" t="s">
        <v>11</v>
      </c>
      <c r="W27">
        <v>128</v>
      </c>
    </row>
    <row r="28" spans="1:23" x14ac:dyDescent="0.25">
      <c r="A28">
        <v>1027</v>
      </c>
      <c r="B28" t="s">
        <v>92</v>
      </c>
      <c r="C28" t="s">
        <v>89</v>
      </c>
      <c r="D28" t="s">
        <v>22</v>
      </c>
      <c r="E28" s="1">
        <v>45580</v>
      </c>
      <c r="F28">
        <v>188</v>
      </c>
      <c r="G28" t="s">
        <v>26</v>
      </c>
      <c r="H28">
        <v>4.8</v>
      </c>
      <c r="I28">
        <v>355</v>
      </c>
      <c r="J28" t="s">
        <v>33</v>
      </c>
      <c r="L28" t="str" cm="1">
        <f t="array" ref="L28">_xlfn.IFS(H28&lt;=2,"bad",H28&lt;=2.5,"neutral",H28&gt;2.5,"good")</f>
        <v>good</v>
      </c>
      <c r="M28" t="str" cm="1">
        <f t="array" ref="M28">_xlfn.IFS(F28&lt;30,"short",F28&lt;90,"medium",F28&lt;180,"long",F28&gt;180,"very long")</f>
        <v>very long</v>
      </c>
      <c r="N28" t="str">
        <f>LEFT(Table1[[#This Row],[Activity_Type]],3)</f>
        <v>Cam</v>
      </c>
      <c r="O28" t="str">
        <f>UPPER(Table1[[#This Row],[Column2]])</f>
        <v>MENON</v>
      </c>
      <c r="P28">
        <f>LEN(Table1[[#This Row],[Visitor_Name]])</f>
        <v>5</v>
      </c>
      <c r="S28">
        <f>ROUND(Table1[[#This Row],[Rating]],0)</f>
        <v>5</v>
      </c>
      <c r="T28" t="s">
        <v>73</v>
      </c>
      <c r="U28" t="s">
        <v>62</v>
      </c>
      <c r="V28" s="5" t="s">
        <v>15</v>
      </c>
      <c r="W28">
        <v>128</v>
      </c>
    </row>
    <row r="29" spans="1:23" x14ac:dyDescent="0.25">
      <c r="A29">
        <v>1028</v>
      </c>
      <c r="B29" t="s">
        <v>90</v>
      </c>
      <c r="C29" t="s">
        <v>95</v>
      </c>
      <c r="D29" t="s">
        <v>18</v>
      </c>
      <c r="E29" s="1">
        <v>45648</v>
      </c>
      <c r="F29">
        <v>211</v>
      </c>
      <c r="G29" t="s">
        <v>25</v>
      </c>
      <c r="H29">
        <v>5</v>
      </c>
      <c r="I29">
        <v>193</v>
      </c>
      <c r="J29" t="s">
        <v>33</v>
      </c>
      <c r="L29" t="str" cm="1">
        <f t="array" ref="L29">_xlfn.IFS(H29&lt;=2,"bad",H29&lt;=2.5,"neutral",H29&gt;2.5,"good")</f>
        <v>good</v>
      </c>
      <c r="M29" t="str" cm="1">
        <f t="array" ref="M29">_xlfn.IFS(F29&lt;30,"short",F29&lt;90,"medium",F29&lt;180,"long",F29&gt;180,"very long")</f>
        <v>very long</v>
      </c>
      <c r="N29" t="str">
        <f>LEFT(Table1[[#This Row],[Activity_Type]],3)</f>
        <v>Pho</v>
      </c>
      <c r="O29" t="str">
        <f>UPPER(Table1[[#This Row],[Column2]])</f>
        <v>SINGH</v>
      </c>
      <c r="P29">
        <f>LEN(Table1[[#This Row],[Visitor_Name]])</f>
        <v>5</v>
      </c>
      <c r="S29">
        <f>ROUND(Table1[[#This Row],[Rating]],0)</f>
        <v>5</v>
      </c>
      <c r="T29" t="s">
        <v>75</v>
      </c>
      <c r="U29" t="s">
        <v>60</v>
      </c>
      <c r="V29" s="5" t="s">
        <v>15</v>
      </c>
      <c r="W29">
        <v>131</v>
      </c>
    </row>
    <row r="30" spans="1:23" x14ac:dyDescent="0.25">
      <c r="A30">
        <v>1029</v>
      </c>
      <c r="B30" t="s">
        <v>94</v>
      </c>
      <c r="C30" t="s">
        <v>93</v>
      </c>
      <c r="D30" t="s">
        <v>21</v>
      </c>
      <c r="E30" s="1">
        <v>45320</v>
      </c>
      <c r="F30">
        <v>43</v>
      </c>
      <c r="G30" t="s">
        <v>26</v>
      </c>
      <c r="H30">
        <v>3.5</v>
      </c>
      <c r="I30">
        <v>284</v>
      </c>
      <c r="J30" t="s">
        <v>36</v>
      </c>
      <c r="L30" t="str" cm="1">
        <f t="array" ref="L30">_xlfn.IFS(H30&lt;=2,"bad",H30&lt;=2.5,"neutral",H30&gt;2.5,"good")</f>
        <v>good</v>
      </c>
      <c r="M30" t="str" cm="1">
        <f t="array" ref="M30">_xlfn.IFS(F30&lt;30,"short",F30&lt;90,"medium",F30&lt;180,"long",F30&gt;180,"very long")</f>
        <v>medium</v>
      </c>
      <c r="N30" t="str">
        <f>LEFT(Table1[[#This Row],[Activity_Type]],3)</f>
        <v>Bir</v>
      </c>
      <c r="O30" t="str">
        <f>UPPER(Table1[[#This Row],[Column2]])</f>
        <v>IYER</v>
      </c>
      <c r="P30">
        <f>LEN(Table1[[#This Row],[Visitor_Name]])</f>
        <v>5</v>
      </c>
      <c r="S30">
        <f>ROUND(Table1[[#This Row],[Rating]],0)</f>
        <v>4</v>
      </c>
      <c r="T30" t="s">
        <v>74</v>
      </c>
      <c r="U30" t="s">
        <v>64</v>
      </c>
      <c r="V30" s="5" t="s">
        <v>13</v>
      </c>
      <c r="W30">
        <v>131</v>
      </c>
    </row>
    <row r="31" spans="1:23" x14ac:dyDescent="0.25">
      <c r="A31">
        <v>1030</v>
      </c>
      <c r="B31" t="s">
        <v>91</v>
      </c>
      <c r="C31" t="s">
        <v>96</v>
      </c>
      <c r="D31" t="s">
        <v>19</v>
      </c>
      <c r="E31" s="1">
        <v>45465</v>
      </c>
      <c r="F31">
        <v>116</v>
      </c>
      <c r="G31" t="s">
        <v>27</v>
      </c>
      <c r="H31">
        <v>3.5</v>
      </c>
      <c r="I31">
        <v>152</v>
      </c>
      <c r="J31" t="s">
        <v>29</v>
      </c>
      <c r="L31" t="str" cm="1">
        <f t="array" ref="L31">_xlfn.IFS(H31&lt;=2,"bad",H31&lt;=2.5,"neutral",H31&gt;2.5,"good")</f>
        <v>good</v>
      </c>
      <c r="M31" t="str" cm="1">
        <f t="array" ref="M31">_xlfn.IFS(F31&lt;30,"short",F31&lt;90,"medium",F31&lt;180,"long",F31&gt;180,"very long")</f>
        <v>long</v>
      </c>
      <c r="N31" t="str">
        <f>LEFT(Table1[[#This Row],[Activity_Type]],3)</f>
        <v>Saf</v>
      </c>
      <c r="O31" t="str">
        <f>UPPER(Table1[[#This Row],[Column2]])</f>
        <v>SHARMA</v>
      </c>
      <c r="P31">
        <f>LEN(Table1[[#This Row],[Visitor_Name]])</f>
        <v>5</v>
      </c>
      <c r="S31">
        <f>ROUND(Table1[[#This Row],[Rating]],0)</f>
        <v>4</v>
      </c>
      <c r="T31" t="s">
        <v>76</v>
      </c>
      <c r="U31" t="s">
        <v>61</v>
      </c>
      <c r="V31" s="5" t="s">
        <v>16</v>
      </c>
      <c r="W31">
        <v>134</v>
      </c>
    </row>
    <row r="32" spans="1:23" x14ac:dyDescent="0.25">
      <c r="A32">
        <v>1031</v>
      </c>
      <c r="B32" t="s">
        <v>88</v>
      </c>
      <c r="C32" t="s">
        <v>80</v>
      </c>
      <c r="D32" t="s">
        <v>23</v>
      </c>
      <c r="E32" s="1">
        <v>45342</v>
      </c>
      <c r="F32">
        <v>113</v>
      </c>
      <c r="G32" t="s">
        <v>24</v>
      </c>
      <c r="H32">
        <v>4.5</v>
      </c>
      <c r="I32">
        <v>432</v>
      </c>
      <c r="J32" t="s">
        <v>31</v>
      </c>
      <c r="L32" t="str" cm="1">
        <f t="array" ref="L32">_xlfn.IFS(H32&lt;=2,"bad",H32&lt;=2.5,"neutral",H32&gt;2.5,"good")</f>
        <v>good</v>
      </c>
      <c r="M32" t="str" cm="1">
        <f t="array" ref="M32">_xlfn.IFS(F32&lt;30,"short",F32&lt;90,"medium",F32&lt;180,"long",F32&gt;180,"very long")</f>
        <v>long</v>
      </c>
      <c r="N32" t="str">
        <f>LEFT(Table1[[#This Row],[Activity_Type]],3)</f>
        <v>Boa</v>
      </c>
      <c r="O32" t="str">
        <f>UPPER(Table1[[#This Row],[Column2]])</f>
        <v>MEHTA</v>
      </c>
      <c r="P32">
        <f>LEN(Table1[[#This Row],[Visitor_Name]])</f>
        <v>6</v>
      </c>
      <c r="S32">
        <f>ROUND(Table1[[#This Row],[Rating]],0)</f>
        <v>5</v>
      </c>
      <c r="T32" t="s">
        <v>68</v>
      </c>
      <c r="U32" t="s">
        <v>67</v>
      </c>
      <c r="V32" s="5" t="s">
        <v>16</v>
      </c>
      <c r="W32">
        <v>148</v>
      </c>
    </row>
    <row r="33" spans="1:23" x14ac:dyDescent="0.25">
      <c r="A33">
        <v>1032</v>
      </c>
      <c r="B33" t="s">
        <v>97</v>
      </c>
      <c r="C33" t="s">
        <v>95</v>
      </c>
      <c r="D33" t="s">
        <v>20</v>
      </c>
      <c r="E33" s="1">
        <v>45329</v>
      </c>
      <c r="F33">
        <v>196</v>
      </c>
      <c r="G33" t="s">
        <v>24</v>
      </c>
      <c r="H33">
        <v>4.3</v>
      </c>
      <c r="I33">
        <v>430</v>
      </c>
      <c r="J33" t="s">
        <v>36</v>
      </c>
      <c r="L33" t="str" cm="1">
        <f t="array" ref="L33">_xlfn.IFS(H33&lt;=2,"bad",H33&lt;=2.5,"neutral",H33&gt;2.5,"good")</f>
        <v>good</v>
      </c>
      <c r="M33" t="str" cm="1">
        <f t="array" ref="M33">_xlfn.IFS(F33&lt;30,"short",F33&lt;90,"medium",F33&lt;180,"long",F33&gt;180,"very long")</f>
        <v>very long</v>
      </c>
      <c r="N33" t="str">
        <f>LEFT(Table1[[#This Row],[Activity_Type]],3)</f>
        <v>Hik</v>
      </c>
      <c r="O33" t="str">
        <f>UPPER(Table1[[#This Row],[Column2]])</f>
        <v>SINGH</v>
      </c>
      <c r="P33">
        <f>LEN(Table1[[#This Row],[Visitor_Name]])</f>
        <v>5</v>
      </c>
      <c r="S33">
        <f>ROUND(Table1[[#This Row],[Rating]],0)</f>
        <v>4</v>
      </c>
      <c r="T33" t="s">
        <v>75</v>
      </c>
      <c r="U33" t="s">
        <v>65</v>
      </c>
      <c r="V33" s="5" t="s">
        <v>14</v>
      </c>
      <c r="W33">
        <v>158</v>
      </c>
    </row>
    <row r="34" spans="1:23" x14ac:dyDescent="0.25">
      <c r="A34">
        <v>1033</v>
      </c>
      <c r="B34" t="s">
        <v>94</v>
      </c>
      <c r="C34" t="s">
        <v>83</v>
      </c>
      <c r="D34" t="s">
        <v>20</v>
      </c>
      <c r="E34" s="1">
        <v>45606</v>
      </c>
      <c r="F34">
        <v>78</v>
      </c>
      <c r="G34" t="s">
        <v>26</v>
      </c>
      <c r="H34">
        <v>3.3</v>
      </c>
      <c r="I34">
        <v>336</v>
      </c>
      <c r="J34" t="s">
        <v>37</v>
      </c>
      <c r="L34" t="str" cm="1">
        <f t="array" ref="L34">_xlfn.IFS(H34&lt;=2,"bad",H34&lt;=2.5,"neutral",H34&gt;2.5,"good")</f>
        <v>good</v>
      </c>
      <c r="M34" t="str" cm="1">
        <f t="array" ref="M34">_xlfn.IFS(F34&lt;30,"short",F34&lt;90,"medium",F34&lt;180,"long",F34&gt;180,"very long")</f>
        <v>medium</v>
      </c>
      <c r="N34" t="str">
        <f>LEFT(Table1[[#This Row],[Activity_Type]],3)</f>
        <v>Hik</v>
      </c>
      <c r="O34" t="str">
        <f>UPPER(Table1[[#This Row],[Column2]])</f>
        <v>NAIR</v>
      </c>
      <c r="P34">
        <f>LEN(Table1[[#This Row],[Visitor_Name]])</f>
        <v>5</v>
      </c>
      <c r="S34">
        <f>ROUND(Table1[[#This Row],[Rating]],0)</f>
        <v>3</v>
      </c>
      <c r="T34" t="s">
        <v>70</v>
      </c>
      <c r="U34" t="s">
        <v>64</v>
      </c>
      <c r="V34" s="5" t="s">
        <v>13</v>
      </c>
      <c r="W34">
        <v>160</v>
      </c>
    </row>
    <row r="35" spans="1:23" x14ac:dyDescent="0.25">
      <c r="A35">
        <v>1034</v>
      </c>
      <c r="B35" t="s">
        <v>91</v>
      </c>
      <c r="C35" t="s">
        <v>83</v>
      </c>
      <c r="D35" t="s">
        <v>20</v>
      </c>
      <c r="E35" s="1">
        <v>45574</v>
      </c>
      <c r="F35">
        <v>82</v>
      </c>
      <c r="G35" t="s">
        <v>25</v>
      </c>
      <c r="H35">
        <v>4.5999999999999996</v>
      </c>
      <c r="I35">
        <v>443</v>
      </c>
      <c r="J35" t="s">
        <v>32</v>
      </c>
      <c r="L35" t="str" cm="1">
        <f t="array" ref="L35">_xlfn.IFS(H35&lt;=2,"bad",H35&lt;=2.5,"neutral",H35&gt;2.5,"good")</f>
        <v>good</v>
      </c>
      <c r="M35" t="str" cm="1">
        <f t="array" ref="M35">_xlfn.IFS(F35&lt;30,"short",F35&lt;90,"medium",F35&lt;180,"long",F35&gt;180,"very long")</f>
        <v>medium</v>
      </c>
      <c r="N35" t="str">
        <f>LEFT(Table1[[#This Row],[Activity_Type]],3)</f>
        <v>Hik</v>
      </c>
      <c r="O35" t="str">
        <f>UPPER(Table1[[#This Row],[Column2]])</f>
        <v>NAIR</v>
      </c>
      <c r="P35">
        <f>LEN(Table1[[#This Row],[Visitor_Name]])</f>
        <v>5</v>
      </c>
      <c r="S35">
        <f>ROUND(Table1[[#This Row],[Rating]],0)</f>
        <v>5</v>
      </c>
      <c r="T35" t="s">
        <v>70</v>
      </c>
      <c r="U35" t="s">
        <v>61</v>
      </c>
      <c r="V35" s="5" t="s">
        <v>15</v>
      </c>
      <c r="W35">
        <v>160</v>
      </c>
    </row>
    <row r="36" spans="1:23" x14ac:dyDescent="0.25">
      <c r="A36">
        <v>1035</v>
      </c>
      <c r="B36" t="s">
        <v>86</v>
      </c>
      <c r="C36" t="s">
        <v>89</v>
      </c>
      <c r="D36" t="s">
        <v>21</v>
      </c>
      <c r="E36" s="1">
        <v>45379</v>
      </c>
      <c r="F36">
        <v>236</v>
      </c>
      <c r="G36" t="s">
        <v>24</v>
      </c>
      <c r="H36">
        <v>3.7</v>
      </c>
      <c r="I36">
        <v>299</v>
      </c>
      <c r="J36" t="s">
        <v>29</v>
      </c>
      <c r="L36" t="str" cm="1">
        <f t="array" ref="L36">_xlfn.IFS(H36&lt;=2,"bad",H36&lt;=2.5,"neutral",H36&gt;2.5,"good")</f>
        <v>good</v>
      </c>
      <c r="M36" t="str" cm="1">
        <f t="array" ref="M36">_xlfn.IFS(F36&lt;30,"short",F36&lt;90,"medium",F36&lt;180,"long",F36&gt;180,"very long")</f>
        <v>very long</v>
      </c>
      <c r="N36" t="str">
        <f>LEFT(Table1[[#This Row],[Activity_Type]],3)</f>
        <v>Bir</v>
      </c>
      <c r="O36" t="str">
        <f>UPPER(Table1[[#This Row],[Column2]])</f>
        <v>MENON</v>
      </c>
      <c r="P36">
        <f>LEN(Table1[[#This Row],[Visitor_Name]])</f>
        <v>6</v>
      </c>
      <c r="S36">
        <f>ROUND(Table1[[#This Row],[Rating]],0)</f>
        <v>4</v>
      </c>
      <c r="T36" t="s">
        <v>73</v>
      </c>
      <c r="U36" t="s">
        <v>66</v>
      </c>
      <c r="V36" s="5" t="s">
        <v>14</v>
      </c>
      <c r="W36">
        <v>161</v>
      </c>
    </row>
    <row r="37" spans="1:23" x14ac:dyDescent="0.25">
      <c r="A37">
        <v>1036</v>
      </c>
      <c r="B37" t="s">
        <v>84</v>
      </c>
      <c r="C37" t="s">
        <v>87</v>
      </c>
      <c r="D37" t="s">
        <v>18</v>
      </c>
      <c r="E37" s="1">
        <v>45462</v>
      </c>
      <c r="F37">
        <v>128</v>
      </c>
      <c r="G37" t="s">
        <v>27</v>
      </c>
      <c r="H37">
        <v>3</v>
      </c>
      <c r="I37">
        <v>285</v>
      </c>
      <c r="J37" t="s">
        <v>32</v>
      </c>
      <c r="L37" t="str" cm="1">
        <f t="array" ref="L37">_xlfn.IFS(H37&lt;=2,"bad",H37&lt;=2.5,"neutral",H37&gt;2.5,"good")</f>
        <v>good</v>
      </c>
      <c r="M37" t="str" cm="1">
        <f t="array" ref="M37">_xlfn.IFS(F37&lt;30,"short",F37&lt;90,"medium",F37&lt;180,"long",F37&gt;180,"very long")</f>
        <v>long</v>
      </c>
      <c r="N37" t="str">
        <f>LEFT(Table1[[#This Row],[Activity_Type]],3)</f>
        <v>Pho</v>
      </c>
      <c r="O37" t="str">
        <f>UPPER(Table1[[#This Row],[Column2]])</f>
        <v>VERMA</v>
      </c>
      <c r="P37">
        <f>LEN(Table1[[#This Row],[Visitor_Name]])</f>
        <v>5</v>
      </c>
      <c r="S37">
        <f>ROUND(Table1[[#This Row],[Rating]],0)</f>
        <v>3</v>
      </c>
      <c r="T37" t="s">
        <v>72</v>
      </c>
      <c r="U37" t="s">
        <v>63</v>
      </c>
      <c r="V37" s="5" t="s">
        <v>10</v>
      </c>
      <c r="W37">
        <v>162</v>
      </c>
    </row>
    <row r="38" spans="1:23" x14ac:dyDescent="0.25">
      <c r="A38">
        <v>1037</v>
      </c>
      <c r="B38" t="s">
        <v>90</v>
      </c>
      <c r="C38" t="s">
        <v>93</v>
      </c>
      <c r="D38" t="s">
        <v>21</v>
      </c>
      <c r="E38" s="1">
        <v>45618</v>
      </c>
      <c r="F38">
        <v>131</v>
      </c>
      <c r="G38" t="s">
        <v>26</v>
      </c>
      <c r="H38">
        <v>3.6</v>
      </c>
      <c r="I38">
        <v>102</v>
      </c>
      <c r="J38" t="s">
        <v>33</v>
      </c>
      <c r="L38" t="str" cm="1">
        <f t="array" ref="L38">_xlfn.IFS(H38&lt;=2,"bad",H38&lt;=2.5,"neutral",H38&gt;2.5,"good")</f>
        <v>good</v>
      </c>
      <c r="M38" t="str" cm="1">
        <f t="array" ref="M38">_xlfn.IFS(F38&lt;30,"short",F38&lt;90,"medium",F38&lt;180,"long",F38&gt;180,"very long")</f>
        <v>long</v>
      </c>
      <c r="N38" t="str">
        <f>LEFT(Table1[[#This Row],[Activity_Type]],3)</f>
        <v>Bir</v>
      </c>
      <c r="O38" t="str">
        <f>UPPER(Table1[[#This Row],[Column2]])</f>
        <v>IYER</v>
      </c>
      <c r="P38">
        <f>LEN(Table1[[#This Row],[Visitor_Name]])</f>
        <v>5</v>
      </c>
      <c r="S38">
        <f>ROUND(Table1[[#This Row],[Rating]],0)</f>
        <v>4</v>
      </c>
      <c r="T38" t="s">
        <v>74</v>
      </c>
      <c r="U38" t="s">
        <v>60</v>
      </c>
      <c r="V38" s="5" t="s">
        <v>14</v>
      </c>
      <c r="W38">
        <v>167</v>
      </c>
    </row>
    <row r="39" spans="1:23" x14ac:dyDescent="0.25">
      <c r="A39">
        <v>1038</v>
      </c>
      <c r="B39" t="s">
        <v>79</v>
      </c>
      <c r="C39" t="s">
        <v>93</v>
      </c>
      <c r="D39" t="s">
        <v>23</v>
      </c>
      <c r="E39" s="1">
        <v>45465</v>
      </c>
      <c r="F39">
        <v>24</v>
      </c>
      <c r="G39" t="s">
        <v>25</v>
      </c>
      <c r="H39">
        <v>3</v>
      </c>
      <c r="I39">
        <v>373</v>
      </c>
      <c r="J39" t="s">
        <v>31</v>
      </c>
      <c r="L39" t="str" cm="1">
        <f t="array" ref="L39">_xlfn.IFS(H39&lt;=2,"bad",H39&lt;=2.5,"neutral",H39&gt;2.5,"good")</f>
        <v>good</v>
      </c>
      <c r="M39" t="str" cm="1">
        <f t="array" ref="M39">_xlfn.IFS(F39&lt;30,"short",F39&lt;90,"medium",F39&lt;180,"long",F39&gt;180,"very long")</f>
        <v>short</v>
      </c>
      <c r="N39" t="str">
        <f>LEFT(Table1[[#This Row],[Activity_Type]],3)</f>
        <v>Boa</v>
      </c>
      <c r="O39" t="str">
        <f>UPPER(Table1[[#This Row],[Column2]])</f>
        <v>IYER</v>
      </c>
      <c r="P39">
        <f>LEN(Table1[[#This Row],[Visitor_Name]])</f>
        <v>5</v>
      </c>
      <c r="S39">
        <f>ROUND(Table1[[#This Row],[Rating]],0)</f>
        <v>3</v>
      </c>
      <c r="T39" t="s">
        <v>74</v>
      </c>
      <c r="U39" t="s">
        <v>58</v>
      </c>
      <c r="V39" s="5" t="s">
        <v>17</v>
      </c>
      <c r="W39">
        <v>171</v>
      </c>
    </row>
    <row r="40" spans="1:23" x14ac:dyDescent="0.25">
      <c r="A40">
        <v>1039</v>
      </c>
      <c r="B40" t="s">
        <v>86</v>
      </c>
      <c r="C40" t="s">
        <v>93</v>
      </c>
      <c r="D40" t="s">
        <v>18</v>
      </c>
      <c r="E40" s="1">
        <v>45523</v>
      </c>
      <c r="F40">
        <v>228</v>
      </c>
      <c r="G40" t="s">
        <v>25</v>
      </c>
      <c r="H40">
        <v>2.6</v>
      </c>
      <c r="I40">
        <v>435</v>
      </c>
      <c r="J40" t="s">
        <v>37</v>
      </c>
      <c r="L40" t="str" cm="1">
        <f t="array" ref="L40">_xlfn.IFS(H40&lt;=2,"bad",H40&lt;=2.5,"neutral",H40&gt;2.5,"good")</f>
        <v>good</v>
      </c>
      <c r="M40" t="str" cm="1">
        <f t="array" ref="M40">_xlfn.IFS(F40&lt;30,"short",F40&lt;90,"medium",F40&lt;180,"long",F40&gt;180,"very long")</f>
        <v>very long</v>
      </c>
      <c r="N40" t="str">
        <f>LEFT(Table1[[#This Row],[Activity_Type]],3)</f>
        <v>Pho</v>
      </c>
      <c r="O40" t="str">
        <f>UPPER(Table1[[#This Row],[Column2]])</f>
        <v>IYER</v>
      </c>
      <c r="P40">
        <f>LEN(Table1[[#This Row],[Visitor_Name]])</f>
        <v>6</v>
      </c>
      <c r="S40">
        <f>ROUND(Table1[[#This Row],[Rating]],0)</f>
        <v>3</v>
      </c>
      <c r="T40" t="s">
        <v>74</v>
      </c>
      <c r="U40" t="s">
        <v>66</v>
      </c>
      <c r="V40" s="5" t="s">
        <v>11</v>
      </c>
      <c r="W40">
        <v>173</v>
      </c>
    </row>
    <row r="41" spans="1:23" x14ac:dyDescent="0.25">
      <c r="A41">
        <v>1040</v>
      </c>
      <c r="B41" t="s">
        <v>79</v>
      </c>
      <c r="C41" t="s">
        <v>96</v>
      </c>
      <c r="D41" t="s">
        <v>23</v>
      </c>
      <c r="E41" s="1">
        <v>45506</v>
      </c>
      <c r="F41">
        <v>73</v>
      </c>
      <c r="G41" t="s">
        <v>24</v>
      </c>
      <c r="H41">
        <v>3.5</v>
      </c>
      <c r="I41">
        <v>133</v>
      </c>
      <c r="J41" t="s">
        <v>28</v>
      </c>
      <c r="L41" t="str" cm="1">
        <f t="array" ref="L41">_xlfn.IFS(H41&lt;=2,"bad",H41&lt;=2.5,"neutral",H41&gt;2.5,"good")</f>
        <v>good</v>
      </c>
      <c r="M41" t="str" cm="1">
        <f t="array" ref="M41">_xlfn.IFS(F41&lt;30,"short",F41&lt;90,"medium",F41&lt;180,"long",F41&gt;180,"very long")</f>
        <v>medium</v>
      </c>
      <c r="N41" t="str">
        <f>LEFT(Table1[[#This Row],[Activity_Type]],3)</f>
        <v>Boa</v>
      </c>
      <c r="O41" t="str">
        <f>UPPER(Table1[[#This Row],[Column2]])</f>
        <v>SHARMA</v>
      </c>
      <c r="P41">
        <f>LEN(Table1[[#This Row],[Visitor_Name]])</f>
        <v>5</v>
      </c>
      <c r="S41">
        <f>ROUND(Table1[[#This Row],[Rating]],0)</f>
        <v>4</v>
      </c>
      <c r="T41" t="s">
        <v>76</v>
      </c>
      <c r="U41" t="s">
        <v>58</v>
      </c>
      <c r="V41" s="5" t="s">
        <v>14</v>
      </c>
      <c r="W41">
        <v>177</v>
      </c>
    </row>
    <row r="42" spans="1:23" x14ac:dyDescent="0.25">
      <c r="A42">
        <v>1041</v>
      </c>
      <c r="B42" t="s">
        <v>84</v>
      </c>
      <c r="C42" t="s">
        <v>85</v>
      </c>
      <c r="D42" t="s">
        <v>18</v>
      </c>
      <c r="E42" s="1">
        <v>45591</v>
      </c>
      <c r="F42">
        <v>32</v>
      </c>
      <c r="G42" t="s">
        <v>25</v>
      </c>
      <c r="H42">
        <v>4.0999999999999996</v>
      </c>
      <c r="I42">
        <v>218</v>
      </c>
      <c r="J42" t="s">
        <v>32</v>
      </c>
      <c r="L42" t="str" cm="1">
        <f t="array" ref="L42">_xlfn.IFS(H42&lt;=2,"bad",H42&lt;=2.5,"neutral",H42&gt;2.5,"good")</f>
        <v>good</v>
      </c>
      <c r="M42" t="str" cm="1">
        <f t="array" ref="M42">_xlfn.IFS(F42&lt;30,"short",F42&lt;90,"medium",F42&lt;180,"long",F42&gt;180,"very long")</f>
        <v>medium</v>
      </c>
      <c r="N42" t="str">
        <f>LEFT(Table1[[#This Row],[Activity_Type]],3)</f>
        <v>Pho</v>
      </c>
      <c r="O42" t="str">
        <f>UPPER(Table1[[#This Row],[Column2]])</f>
        <v>DAS</v>
      </c>
      <c r="P42">
        <f>LEN(Table1[[#This Row],[Visitor_Name]])</f>
        <v>5</v>
      </c>
      <c r="S42">
        <f>ROUND(Table1[[#This Row],[Rating]],0)</f>
        <v>4</v>
      </c>
      <c r="T42" t="s">
        <v>71</v>
      </c>
      <c r="U42" t="s">
        <v>63</v>
      </c>
      <c r="V42" s="5" t="s">
        <v>13</v>
      </c>
      <c r="W42">
        <v>178</v>
      </c>
    </row>
    <row r="43" spans="1:23" x14ac:dyDescent="0.25">
      <c r="A43">
        <v>1042</v>
      </c>
      <c r="B43" t="s">
        <v>91</v>
      </c>
      <c r="C43" t="s">
        <v>98</v>
      </c>
      <c r="D43" t="s">
        <v>20</v>
      </c>
      <c r="E43" s="1">
        <v>45493</v>
      </c>
      <c r="F43">
        <v>73</v>
      </c>
      <c r="G43" t="s">
        <v>25</v>
      </c>
      <c r="H43">
        <v>2.5</v>
      </c>
      <c r="I43">
        <v>480</v>
      </c>
      <c r="J43" t="s">
        <v>30</v>
      </c>
      <c r="L43" t="str" cm="1">
        <f t="array" ref="L43">_xlfn.IFS(H43&lt;=2,"bad",H43&lt;=2.5,"neutral",H43&gt;2.5,"good")</f>
        <v>neutral</v>
      </c>
      <c r="M43" t="str" cm="1">
        <f t="array" ref="M43">_xlfn.IFS(F43&lt;30,"short",F43&lt;90,"medium",F43&lt;180,"long",F43&gt;180,"very long")</f>
        <v>medium</v>
      </c>
      <c r="N43" t="str">
        <f>LEFT(Table1[[#This Row],[Activity_Type]],3)</f>
        <v>Hik</v>
      </c>
      <c r="O43" t="str">
        <f>UPPER(Table1[[#This Row],[Column2]])</f>
        <v>REDDY</v>
      </c>
      <c r="P43">
        <f>LEN(Table1[[#This Row],[Visitor_Name]])</f>
        <v>5</v>
      </c>
      <c r="S43">
        <f>ROUND(Table1[[#This Row],[Rating]],0)</f>
        <v>3</v>
      </c>
      <c r="T43" t="s">
        <v>77</v>
      </c>
      <c r="U43" t="s">
        <v>61</v>
      </c>
      <c r="V43" s="5" t="s">
        <v>14</v>
      </c>
      <c r="W43">
        <v>181</v>
      </c>
    </row>
    <row r="44" spans="1:23" x14ac:dyDescent="0.25">
      <c r="A44">
        <v>1043</v>
      </c>
      <c r="B44" t="s">
        <v>79</v>
      </c>
      <c r="C44" t="s">
        <v>80</v>
      </c>
      <c r="D44" t="s">
        <v>18</v>
      </c>
      <c r="E44" s="1">
        <v>45391</v>
      </c>
      <c r="F44">
        <v>167</v>
      </c>
      <c r="G44" t="s">
        <v>25</v>
      </c>
      <c r="H44">
        <v>4.3</v>
      </c>
      <c r="I44">
        <v>472</v>
      </c>
      <c r="J44" t="s">
        <v>35</v>
      </c>
      <c r="L44" t="str" cm="1">
        <f t="array" ref="L44">_xlfn.IFS(H44&lt;=2,"bad",H44&lt;=2.5,"neutral",H44&gt;2.5,"good")</f>
        <v>good</v>
      </c>
      <c r="M44" t="str" cm="1">
        <f t="array" ref="M44">_xlfn.IFS(F44&lt;30,"short",F44&lt;90,"medium",F44&lt;180,"long",F44&gt;180,"very long")</f>
        <v>long</v>
      </c>
      <c r="N44" t="str">
        <f>LEFT(Table1[[#This Row],[Activity_Type]],3)</f>
        <v>Pho</v>
      </c>
      <c r="O44" t="str">
        <f>UPPER(Table1[[#This Row],[Column2]])</f>
        <v>MEHTA</v>
      </c>
      <c r="P44">
        <f>LEN(Table1[[#This Row],[Visitor_Name]])</f>
        <v>5</v>
      </c>
      <c r="S44">
        <f>ROUND(Table1[[#This Row],[Rating]],0)</f>
        <v>4</v>
      </c>
      <c r="T44" t="s">
        <v>68</v>
      </c>
      <c r="U44" t="s">
        <v>58</v>
      </c>
      <c r="V44" s="5" t="s">
        <v>17</v>
      </c>
      <c r="W44">
        <v>185</v>
      </c>
    </row>
    <row r="45" spans="1:23" x14ac:dyDescent="0.25">
      <c r="A45">
        <v>1044</v>
      </c>
      <c r="B45" t="s">
        <v>86</v>
      </c>
      <c r="C45" t="s">
        <v>83</v>
      </c>
      <c r="D45" t="s">
        <v>21</v>
      </c>
      <c r="E45" s="1">
        <v>45300</v>
      </c>
      <c r="F45">
        <v>207</v>
      </c>
      <c r="G45" t="s">
        <v>24</v>
      </c>
      <c r="H45">
        <v>4.2</v>
      </c>
      <c r="I45">
        <v>290</v>
      </c>
      <c r="J45" t="s">
        <v>29</v>
      </c>
      <c r="L45" t="str" cm="1">
        <f t="array" ref="L45">_xlfn.IFS(H45&lt;=2,"bad",H45&lt;=2.5,"neutral",H45&gt;2.5,"good")</f>
        <v>good</v>
      </c>
      <c r="M45" t="str" cm="1">
        <f t="array" ref="M45">_xlfn.IFS(F45&lt;30,"short",F45&lt;90,"medium",F45&lt;180,"long",F45&gt;180,"very long")</f>
        <v>very long</v>
      </c>
      <c r="N45" t="str">
        <f>LEFT(Table1[[#This Row],[Activity_Type]],3)</f>
        <v>Bir</v>
      </c>
      <c r="O45" t="str">
        <f>UPPER(Table1[[#This Row],[Column2]])</f>
        <v>NAIR</v>
      </c>
      <c r="P45">
        <f>LEN(Table1[[#This Row],[Visitor_Name]])</f>
        <v>6</v>
      </c>
      <c r="S45">
        <f>ROUND(Table1[[#This Row],[Rating]],0)</f>
        <v>4</v>
      </c>
      <c r="T45" t="s">
        <v>70</v>
      </c>
      <c r="U45" t="s">
        <v>66</v>
      </c>
      <c r="V45" s="5" t="s">
        <v>13</v>
      </c>
      <c r="W45">
        <v>188</v>
      </c>
    </row>
    <row r="46" spans="1:23" x14ac:dyDescent="0.25">
      <c r="A46">
        <v>1045</v>
      </c>
      <c r="B46" t="s">
        <v>82</v>
      </c>
      <c r="C46" t="s">
        <v>95</v>
      </c>
      <c r="D46" t="s">
        <v>20</v>
      </c>
      <c r="E46" s="1">
        <v>45546</v>
      </c>
      <c r="F46">
        <v>220</v>
      </c>
      <c r="G46" t="s">
        <v>27</v>
      </c>
      <c r="H46">
        <v>4.2</v>
      </c>
      <c r="I46">
        <v>158</v>
      </c>
      <c r="J46" t="s">
        <v>31</v>
      </c>
      <c r="L46" t="str" cm="1">
        <f t="array" ref="L46">_xlfn.IFS(H46&lt;=2,"bad",H46&lt;=2.5,"neutral",H46&gt;2.5,"good")</f>
        <v>good</v>
      </c>
      <c r="M46" t="str" cm="1">
        <f t="array" ref="M46">_xlfn.IFS(F46&lt;30,"short",F46&lt;90,"medium",F46&lt;180,"long",F46&gt;180,"very long")</f>
        <v>very long</v>
      </c>
      <c r="N46" t="str">
        <f>LEFT(Table1[[#This Row],[Activity_Type]],3)</f>
        <v>Hik</v>
      </c>
      <c r="O46" t="str">
        <f>UPPER(Table1[[#This Row],[Column2]])</f>
        <v>SINGH</v>
      </c>
      <c r="P46">
        <f>LEN(Table1[[#This Row],[Visitor_Name]])</f>
        <v>5</v>
      </c>
      <c r="S46">
        <f>ROUND(Table1[[#This Row],[Rating]],0)</f>
        <v>4</v>
      </c>
      <c r="T46" t="s">
        <v>75</v>
      </c>
      <c r="U46" t="s">
        <v>59</v>
      </c>
      <c r="V46" s="5" t="s">
        <v>15</v>
      </c>
      <c r="W46">
        <v>191</v>
      </c>
    </row>
    <row r="47" spans="1:23" x14ac:dyDescent="0.25">
      <c r="A47">
        <v>1046</v>
      </c>
      <c r="B47" t="s">
        <v>88</v>
      </c>
      <c r="C47" t="s">
        <v>89</v>
      </c>
      <c r="D47" t="s">
        <v>18</v>
      </c>
      <c r="E47" s="1">
        <v>45532</v>
      </c>
      <c r="F47">
        <v>201</v>
      </c>
      <c r="G47" t="s">
        <v>26</v>
      </c>
      <c r="H47">
        <v>3.3</v>
      </c>
      <c r="I47">
        <v>364</v>
      </c>
      <c r="J47" t="s">
        <v>31</v>
      </c>
      <c r="L47" t="str" cm="1">
        <f t="array" ref="L47">_xlfn.IFS(H47&lt;=2,"bad",H47&lt;=2.5,"neutral",H47&gt;2.5,"good")</f>
        <v>good</v>
      </c>
      <c r="M47" t="str" cm="1">
        <f t="array" ref="M47">_xlfn.IFS(F47&lt;30,"short",F47&lt;90,"medium",F47&lt;180,"long",F47&gt;180,"very long")</f>
        <v>very long</v>
      </c>
      <c r="N47" t="str">
        <f>LEFT(Table1[[#This Row],[Activity_Type]],3)</f>
        <v>Pho</v>
      </c>
      <c r="O47" t="str">
        <f>UPPER(Table1[[#This Row],[Column2]])</f>
        <v>MENON</v>
      </c>
      <c r="P47">
        <f>LEN(Table1[[#This Row],[Visitor_Name]])</f>
        <v>6</v>
      </c>
      <c r="S47">
        <f>ROUND(Table1[[#This Row],[Rating]],0)</f>
        <v>3</v>
      </c>
      <c r="T47" t="s">
        <v>73</v>
      </c>
      <c r="U47" t="s">
        <v>67</v>
      </c>
      <c r="V47" s="5" t="s">
        <v>10</v>
      </c>
      <c r="W47">
        <v>196</v>
      </c>
    </row>
    <row r="48" spans="1:23" x14ac:dyDescent="0.25">
      <c r="A48">
        <v>1047</v>
      </c>
      <c r="B48" t="s">
        <v>79</v>
      </c>
      <c r="C48" t="s">
        <v>85</v>
      </c>
      <c r="D48" t="s">
        <v>18</v>
      </c>
      <c r="E48" s="1">
        <v>45450</v>
      </c>
      <c r="F48">
        <v>56</v>
      </c>
      <c r="G48" t="s">
        <v>26</v>
      </c>
      <c r="H48">
        <v>3</v>
      </c>
      <c r="I48">
        <v>381</v>
      </c>
      <c r="J48" t="s">
        <v>35</v>
      </c>
      <c r="L48" t="str" cm="1">
        <f t="array" ref="L48">_xlfn.IFS(H48&lt;=2,"bad",H48&lt;=2.5,"neutral",H48&gt;2.5,"good")</f>
        <v>good</v>
      </c>
      <c r="M48" t="str" cm="1">
        <f t="array" ref="M48">_xlfn.IFS(F48&lt;30,"short",F48&lt;90,"medium",F48&lt;180,"long",F48&gt;180,"very long")</f>
        <v>medium</v>
      </c>
      <c r="N48" t="str">
        <f>LEFT(Table1[[#This Row],[Activity_Type]],3)</f>
        <v>Pho</v>
      </c>
      <c r="O48" t="str">
        <f>UPPER(Table1[[#This Row],[Column2]])</f>
        <v>DAS</v>
      </c>
      <c r="P48">
        <f>LEN(Table1[[#This Row],[Visitor_Name]])</f>
        <v>5</v>
      </c>
      <c r="S48">
        <f>ROUND(Table1[[#This Row],[Rating]],0)</f>
        <v>3</v>
      </c>
      <c r="T48" t="s">
        <v>71</v>
      </c>
      <c r="U48" t="s">
        <v>58</v>
      </c>
      <c r="V48" s="5" t="s">
        <v>14</v>
      </c>
      <c r="W48">
        <v>197</v>
      </c>
    </row>
    <row r="49" spans="1:23" x14ac:dyDescent="0.25">
      <c r="A49">
        <v>1048</v>
      </c>
      <c r="B49" t="s">
        <v>90</v>
      </c>
      <c r="C49" t="s">
        <v>83</v>
      </c>
      <c r="D49" t="s">
        <v>19</v>
      </c>
      <c r="E49" s="1">
        <v>45458</v>
      </c>
      <c r="F49">
        <v>56</v>
      </c>
      <c r="G49" t="s">
        <v>24</v>
      </c>
      <c r="H49">
        <v>4.9000000000000004</v>
      </c>
      <c r="I49">
        <v>267</v>
      </c>
      <c r="J49" t="s">
        <v>34</v>
      </c>
      <c r="L49" t="str" cm="1">
        <f t="array" ref="L49">_xlfn.IFS(H49&lt;=2,"bad",H49&lt;=2.5,"neutral",H49&gt;2.5,"good")</f>
        <v>good</v>
      </c>
      <c r="M49" t="str" cm="1">
        <f t="array" ref="M49">_xlfn.IFS(F49&lt;30,"short",F49&lt;90,"medium",F49&lt;180,"long",F49&gt;180,"very long")</f>
        <v>medium</v>
      </c>
      <c r="N49" t="str">
        <f>LEFT(Table1[[#This Row],[Activity_Type]],3)</f>
        <v>Saf</v>
      </c>
      <c r="O49" t="str">
        <f>UPPER(Table1[[#This Row],[Column2]])</f>
        <v>NAIR</v>
      </c>
      <c r="P49">
        <f>LEN(Table1[[#This Row],[Visitor_Name]])</f>
        <v>5</v>
      </c>
      <c r="S49">
        <f>ROUND(Table1[[#This Row],[Rating]],0)</f>
        <v>5</v>
      </c>
      <c r="T49" t="s">
        <v>70</v>
      </c>
      <c r="U49" t="s">
        <v>60</v>
      </c>
      <c r="V49" s="5" t="s">
        <v>13</v>
      </c>
      <c r="W49">
        <v>197</v>
      </c>
    </row>
    <row r="50" spans="1:23" x14ac:dyDescent="0.25">
      <c r="A50">
        <v>1049</v>
      </c>
      <c r="B50" t="s">
        <v>88</v>
      </c>
      <c r="C50" t="s">
        <v>89</v>
      </c>
      <c r="D50" t="s">
        <v>23</v>
      </c>
      <c r="E50" s="1">
        <v>45309</v>
      </c>
      <c r="F50">
        <v>84</v>
      </c>
      <c r="G50" t="s">
        <v>27</v>
      </c>
      <c r="H50">
        <v>3.5</v>
      </c>
      <c r="I50">
        <v>420</v>
      </c>
      <c r="J50" t="s">
        <v>35</v>
      </c>
      <c r="L50" t="str" cm="1">
        <f t="array" ref="L50">_xlfn.IFS(H50&lt;=2,"bad",H50&lt;=2.5,"neutral",H50&gt;2.5,"good")</f>
        <v>good</v>
      </c>
      <c r="M50" t="str" cm="1">
        <f t="array" ref="M50">_xlfn.IFS(F50&lt;30,"short",F50&lt;90,"medium",F50&lt;180,"long",F50&gt;180,"very long")</f>
        <v>medium</v>
      </c>
      <c r="N50" t="str">
        <f>LEFT(Table1[[#This Row],[Activity_Type]],3)</f>
        <v>Boa</v>
      </c>
      <c r="O50" t="str">
        <f>UPPER(Table1[[#This Row],[Column2]])</f>
        <v>MENON</v>
      </c>
      <c r="P50">
        <f>LEN(Table1[[#This Row],[Visitor_Name]])</f>
        <v>6</v>
      </c>
      <c r="S50">
        <f>ROUND(Table1[[#This Row],[Rating]],0)</f>
        <v>4</v>
      </c>
      <c r="T50" t="s">
        <v>73</v>
      </c>
      <c r="U50" t="s">
        <v>67</v>
      </c>
      <c r="V50" s="5" t="s">
        <v>11</v>
      </c>
      <c r="W50">
        <v>198</v>
      </c>
    </row>
    <row r="51" spans="1:23" x14ac:dyDescent="0.25">
      <c r="A51">
        <v>1050</v>
      </c>
      <c r="B51" t="s">
        <v>84</v>
      </c>
      <c r="C51" t="s">
        <v>83</v>
      </c>
      <c r="D51" t="s">
        <v>21</v>
      </c>
      <c r="E51" s="1">
        <v>45651</v>
      </c>
      <c r="F51">
        <v>233</v>
      </c>
      <c r="G51" t="s">
        <v>27</v>
      </c>
      <c r="H51">
        <v>4.0999999999999996</v>
      </c>
      <c r="I51">
        <v>411</v>
      </c>
      <c r="J51" t="s">
        <v>32</v>
      </c>
      <c r="L51" t="str" cm="1">
        <f t="array" ref="L51">_xlfn.IFS(H51&lt;=2,"bad",H51&lt;=2.5,"neutral",H51&gt;2.5,"good")</f>
        <v>good</v>
      </c>
      <c r="M51" t="str" cm="1">
        <f t="array" ref="M51">_xlfn.IFS(F51&lt;30,"short",F51&lt;90,"medium",F51&lt;180,"long",F51&gt;180,"very long")</f>
        <v>very long</v>
      </c>
      <c r="N51" t="str">
        <f>LEFT(Table1[[#This Row],[Activity_Type]],3)</f>
        <v>Bir</v>
      </c>
      <c r="O51" t="str">
        <f>UPPER(Table1[[#This Row],[Column2]])</f>
        <v>NAIR</v>
      </c>
      <c r="P51">
        <f>LEN(Table1[[#This Row],[Visitor_Name]])</f>
        <v>5</v>
      </c>
      <c r="S51">
        <f>ROUND(Table1[[#This Row],[Rating]],0)</f>
        <v>4</v>
      </c>
      <c r="T51" t="s">
        <v>70</v>
      </c>
      <c r="U51" t="s">
        <v>63</v>
      </c>
      <c r="V51" s="5" t="s">
        <v>14</v>
      </c>
      <c r="W51">
        <v>199</v>
      </c>
    </row>
    <row r="52" spans="1:23" x14ac:dyDescent="0.25">
      <c r="A52">
        <v>1051</v>
      </c>
      <c r="B52" t="s">
        <v>86</v>
      </c>
      <c r="C52" t="s">
        <v>87</v>
      </c>
      <c r="D52" t="s">
        <v>22</v>
      </c>
      <c r="E52" s="1">
        <v>45425</v>
      </c>
      <c r="F52">
        <v>177</v>
      </c>
      <c r="G52" t="s">
        <v>25</v>
      </c>
      <c r="H52">
        <v>4.8</v>
      </c>
      <c r="I52">
        <v>127</v>
      </c>
      <c r="J52" t="s">
        <v>32</v>
      </c>
      <c r="L52" t="str" cm="1">
        <f t="array" ref="L52">_xlfn.IFS(H52&lt;=2,"bad",H52&lt;=2.5,"neutral",H52&gt;2.5,"good")</f>
        <v>good</v>
      </c>
      <c r="M52" t="str" cm="1">
        <f t="array" ref="M52">_xlfn.IFS(F52&lt;30,"short",F52&lt;90,"medium",F52&lt;180,"long",F52&gt;180,"very long")</f>
        <v>long</v>
      </c>
      <c r="N52" t="str">
        <f>LEFT(Table1[[#This Row],[Activity_Type]],3)</f>
        <v>Cam</v>
      </c>
      <c r="O52" t="str">
        <f>UPPER(Table1[[#This Row],[Column2]])</f>
        <v>VERMA</v>
      </c>
      <c r="P52">
        <f>LEN(Table1[[#This Row],[Visitor_Name]])</f>
        <v>6</v>
      </c>
      <c r="S52">
        <f>ROUND(Table1[[#This Row],[Rating]],0)</f>
        <v>5</v>
      </c>
      <c r="T52" t="s">
        <v>72</v>
      </c>
      <c r="U52" t="s">
        <v>66</v>
      </c>
      <c r="V52" s="5" t="s">
        <v>12</v>
      </c>
      <c r="W52">
        <v>199</v>
      </c>
    </row>
    <row r="53" spans="1:23" x14ac:dyDescent="0.25">
      <c r="A53">
        <v>1052</v>
      </c>
      <c r="B53" t="s">
        <v>86</v>
      </c>
      <c r="C53" t="s">
        <v>96</v>
      </c>
      <c r="D53" t="s">
        <v>22</v>
      </c>
      <c r="E53" s="1">
        <v>45390</v>
      </c>
      <c r="F53">
        <v>131</v>
      </c>
      <c r="G53" t="s">
        <v>25</v>
      </c>
      <c r="H53">
        <v>4.2</v>
      </c>
      <c r="I53">
        <v>396</v>
      </c>
      <c r="J53" t="s">
        <v>37</v>
      </c>
      <c r="L53" t="str" cm="1">
        <f t="array" ref="L53">_xlfn.IFS(H53&lt;=2,"bad",H53&lt;=2.5,"neutral",H53&gt;2.5,"good")</f>
        <v>good</v>
      </c>
      <c r="M53" t="str" cm="1">
        <f t="array" ref="M53">_xlfn.IFS(F53&lt;30,"short",F53&lt;90,"medium",F53&lt;180,"long",F53&gt;180,"very long")</f>
        <v>long</v>
      </c>
      <c r="N53" t="str">
        <f>LEFT(Table1[[#This Row],[Activity_Type]],3)</f>
        <v>Cam</v>
      </c>
      <c r="O53" t="str">
        <f>UPPER(Table1[[#This Row],[Column2]])</f>
        <v>SHARMA</v>
      </c>
      <c r="P53">
        <f>LEN(Table1[[#This Row],[Visitor_Name]])</f>
        <v>6</v>
      </c>
      <c r="S53">
        <f>ROUND(Table1[[#This Row],[Rating]],0)</f>
        <v>4</v>
      </c>
      <c r="T53" t="s">
        <v>76</v>
      </c>
      <c r="U53" t="s">
        <v>66</v>
      </c>
      <c r="V53" s="5" t="s">
        <v>11</v>
      </c>
      <c r="W53">
        <v>201</v>
      </c>
    </row>
    <row r="54" spans="1:23" x14ac:dyDescent="0.25">
      <c r="A54">
        <v>1053</v>
      </c>
      <c r="B54" t="s">
        <v>84</v>
      </c>
      <c r="C54" t="s">
        <v>85</v>
      </c>
      <c r="D54" t="s">
        <v>18</v>
      </c>
      <c r="E54" s="1">
        <v>45585</v>
      </c>
      <c r="F54">
        <v>59</v>
      </c>
      <c r="G54" t="s">
        <v>24</v>
      </c>
      <c r="H54">
        <v>3.4</v>
      </c>
      <c r="I54">
        <v>165</v>
      </c>
      <c r="J54" t="s">
        <v>36</v>
      </c>
      <c r="L54" t="str" cm="1">
        <f t="array" ref="L54">_xlfn.IFS(H54&lt;=2,"bad",H54&lt;=2.5,"neutral",H54&gt;2.5,"good")</f>
        <v>good</v>
      </c>
      <c r="M54" t="str" cm="1">
        <f t="array" ref="M54">_xlfn.IFS(F54&lt;30,"short",F54&lt;90,"medium",F54&lt;180,"long",F54&gt;180,"very long")</f>
        <v>medium</v>
      </c>
      <c r="N54" t="str">
        <f>LEFT(Table1[[#This Row],[Activity_Type]],3)</f>
        <v>Pho</v>
      </c>
      <c r="O54" t="str">
        <f>UPPER(Table1[[#This Row],[Column2]])</f>
        <v>DAS</v>
      </c>
      <c r="P54">
        <f>LEN(Table1[[#This Row],[Visitor_Name]])</f>
        <v>5</v>
      </c>
      <c r="S54">
        <f>ROUND(Table1[[#This Row],[Rating]],0)</f>
        <v>3</v>
      </c>
      <c r="T54" t="s">
        <v>71</v>
      </c>
      <c r="U54" t="s">
        <v>63</v>
      </c>
      <c r="V54" s="5" t="s">
        <v>13</v>
      </c>
      <c r="W54">
        <v>207</v>
      </c>
    </row>
    <row r="55" spans="1:23" x14ac:dyDescent="0.25">
      <c r="A55">
        <v>1054</v>
      </c>
      <c r="B55" t="s">
        <v>84</v>
      </c>
      <c r="C55" t="s">
        <v>95</v>
      </c>
      <c r="D55" t="s">
        <v>22</v>
      </c>
      <c r="E55" s="1">
        <v>45512</v>
      </c>
      <c r="F55">
        <v>211</v>
      </c>
      <c r="G55" t="s">
        <v>26</v>
      </c>
      <c r="H55">
        <v>3.7</v>
      </c>
      <c r="I55">
        <v>253</v>
      </c>
      <c r="J55" t="s">
        <v>34</v>
      </c>
      <c r="L55" t="str" cm="1">
        <f t="array" ref="L55">_xlfn.IFS(H55&lt;=2,"bad",H55&lt;=2.5,"neutral",H55&gt;2.5,"good")</f>
        <v>good</v>
      </c>
      <c r="M55" t="str" cm="1">
        <f t="array" ref="M55">_xlfn.IFS(F55&lt;30,"short",F55&lt;90,"medium",F55&lt;180,"long",F55&gt;180,"very long")</f>
        <v>very long</v>
      </c>
      <c r="N55" t="str">
        <f>LEFT(Table1[[#This Row],[Activity_Type]],3)</f>
        <v>Cam</v>
      </c>
      <c r="O55" t="str">
        <f>UPPER(Table1[[#This Row],[Column2]])</f>
        <v>SINGH</v>
      </c>
      <c r="P55">
        <f>LEN(Table1[[#This Row],[Visitor_Name]])</f>
        <v>5</v>
      </c>
      <c r="S55">
        <f>ROUND(Table1[[#This Row],[Rating]],0)</f>
        <v>4</v>
      </c>
      <c r="T55" t="s">
        <v>75</v>
      </c>
      <c r="U55" t="s">
        <v>63</v>
      </c>
      <c r="V55" s="5" t="s">
        <v>14</v>
      </c>
      <c r="W55">
        <v>207</v>
      </c>
    </row>
    <row r="56" spans="1:23" x14ac:dyDescent="0.25">
      <c r="A56">
        <v>1055</v>
      </c>
      <c r="B56" t="s">
        <v>88</v>
      </c>
      <c r="C56" t="s">
        <v>98</v>
      </c>
      <c r="D56" t="s">
        <v>22</v>
      </c>
      <c r="E56" s="1">
        <v>45570</v>
      </c>
      <c r="F56">
        <v>185</v>
      </c>
      <c r="G56" t="s">
        <v>27</v>
      </c>
      <c r="H56">
        <v>4.9000000000000004</v>
      </c>
      <c r="I56">
        <v>369</v>
      </c>
      <c r="J56" t="s">
        <v>34</v>
      </c>
      <c r="L56" t="str" cm="1">
        <f t="array" ref="L56">_xlfn.IFS(H56&lt;=2,"bad",H56&lt;=2.5,"neutral",H56&gt;2.5,"good")</f>
        <v>good</v>
      </c>
      <c r="M56" t="str" cm="1">
        <f t="array" ref="M56">_xlfn.IFS(F56&lt;30,"short",F56&lt;90,"medium",F56&lt;180,"long",F56&gt;180,"very long")</f>
        <v>very long</v>
      </c>
      <c r="N56" t="str">
        <f>LEFT(Table1[[#This Row],[Activity_Type]],3)</f>
        <v>Cam</v>
      </c>
      <c r="O56" t="str">
        <f>UPPER(Table1[[#This Row],[Column2]])</f>
        <v>REDDY</v>
      </c>
      <c r="P56">
        <f>LEN(Table1[[#This Row],[Visitor_Name]])</f>
        <v>6</v>
      </c>
      <c r="S56">
        <f>ROUND(Table1[[#This Row],[Rating]],0)</f>
        <v>5</v>
      </c>
      <c r="T56" t="s">
        <v>77</v>
      </c>
      <c r="U56" t="s">
        <v>67</v>
      </c>
      <c r="V56" s="5" t="s">
        <v>15</v>
      </c>
      <c r="W56">
        <v>211</v>
      </c>
    </row>
    <row r="57" spans="1:23" x14ac:dyDescent="0.25">
      <c r="A57">
        <v>1056</v>
      </c>
      <c r="B57" t="s">
        <v>92</v>
      </c>
      <c r="C57" t="s">
        <v>80</v>
      </c>
      <c r="D57" t="s">
        <v>19</v>
      </c>
      <c r="E57" s="1">
        <v>45447</v>
      </c>
      <c r="F57">
        <v>158</v>
      </c>
      <c r="G57" t="s">
        <v>25</v>
      </c>
      <c r="H57">
        <v>2.9</v>
      </c>
      <c r="I57">
        <v>290</v>
      </c>
      <c r="J57" t="s">
        <v>28</v>
      </c>
      <c r="L57" t="str" cm="1">
        <f t="array" ref="L57">_xlfn.IFS(H57&lt;=2,"bad",H57&lt;=2.5,"neutral",H57&gt;2.5,"good")</f>
        <v>good</v>
      </c>
      <c r="M57" t="str" cm="1">
        <f t="array" ref="M57">_xlfn.IFS(F57&lt;30,"short",F57&lt;90,"medium",F57&lt;180,"long",F57&gt;180,"very long")</f>
        <v>long</v>
      </c>
      <c r="N57" t="str">
        <f>LEFT(Table1[[#This Row],[Activity_Type]],3)</f>
        <v>Saf</v>
      </c>
      <c r="O57" t="str">
        <f>UPPER(Table1[[#This Row],[Column2]])</f>
        <v>MEHTA</v>
      </c>
      <c r="P57">
        <f>LEN(Table1[[#This Row],[Visitor_Name]])</f>
        <v>5</v>
      </c>
      <c r="S57">
        <f>ROUND(Table1[[#This Row],[Rating]],0)</f>
        <v>3</v>
      </c>
      <c r="T57" t="s">
        <v>68</v>
      </c>
      <c r="U57" t="s">
        <v>62</v>
      </c>
      <c r="V57" s="5" t="s">
        <v>16</v>
      </c>
      <c r="W57">
        <v>211</v>
      </c>
    </row>
    <row r="58" spans="1:23" x14ac:dyDescent="0.25">
      <c r="A58">
        <v>1057</v>
      </c>
      <c r="B58" t="s">
        <v>86</v>
      </c>
      <c r="C58" t="s">
        <v>81</v>
      </c>
      <c r="D58" t="s">
        <v>21</v>
      </c>
      <c r="E58" s="1">
        <v>45563</v>
      </c>
      <c r="F58">
        <v>225</v>
      </c>
      <c r="G58" t="s">
        <v>24</v>
      </c>
      <c r="H58">
        <v>3.9</v>
      </c>
      <c r="I58">
        <v>425</v>
      </c>
      <c r="J58" t="s">
        <v>36</v>
      </c>
      <c r="L58" t="str" cm="1">
        <f t="array" ref="L58">_xlfn.IFS(H58&lt;=2,"bad",H58&lt;=2.5,"neutral",H58&gt;2.5,"good")</f>
        <v>good</v>
      </c>
      <c r="M58" t="str" cm="1">
        <f t="array" ref="M58">_xlfn.IFS(F58&lt;30,"short",F58&lt;90,"medium",F58&lt;180,"long",F58&gt;180,"very long")</f>
        <v>very long</v>
      </c>
      <c r="N58" t="str">
        <f>LEFT(Table1[[#This Row],[Activity_Type]],3)</f>
        <v>Bir</v>
      </c>
      <c r="O58" t="str">
        <f>UPPER(Table1[[#This Row],[Column2]])</f>
        <v>PATEL</v>
      </c>
      <c r="P58">
        <f>LEN(Table1[[#This Row],[Visitor_Name]])</f>
        <v>6</v>
      </c>
      <c r="S58">
        <f>ROUND(Table1[[#This Row],[Rating]],0)</f>
        <v>4</v>
      </c>
      <c r="T58" t="s">
        <v>69</v>
      </c>
      <c r="U58" t="s">
        <v>66</v>
      </c>
      <c r="V58" s="5" t="s">
        <v>11</v>
      </c>
      <c r="W58">
        <v>220</v>
      </c>
    </row>
    <row r="59" spans="1:23" x14ac:dyDescent="0.25">
      <c r="A59">
        <v>1058</v>
      </c>
      <c r="B59" t="s">
        <v>88</v>
      </c>
      <c r="C59" t="s">
        <v>96</v>
      </c>
      <c r="D59" t="s">
        <v>22</v>
      </c>
      <c r="E59" s="1">
        <v>45323</v>
      </c>
      <c r="F59">
        <v>125</v>
      </c>
      <c r="G59" t="s">
        <v>27</v>
      </c>
      <c r="H59">
        <v>4.0999999999999996</v>
      </c>
      <c r="I59">
        <v>264</v>
      </c>
      <c r="J59" t="s">
        <v>32</v>
      </c>
      <c r="L59" t="str" cm="1">
        <f t="array" ref="L59">_xlfn.IFS(H59&lt;=2,"bad",H59&lt;=2.5,"neutral",H59&gt;2.5,"good")</f>
        <v>good</v>
      </c>
      <c r="M59" t="str" cm="1">
        <f t="array" ref="M59">_xlfn.IFS(F59&lt;30,"short",F59&lt;90,"medium",F59&lt;180,"long",F59&gt;180,"very long")</f>
        <v>long</v>
      </c>
      <c r="N59" t="str">
        <f>LEFT(Table1[[#This Row],[Activity_Type]],3)</f>
        <v>Cam</v>
      </c>
      <c r="O59" t="str">
        <f>UPPER(Table1[[#This Row],[Column2]])</f>
        <v>SHARMA</v>
      </c>
      <c r="P59">
        <f>LEN(Table1[[#This Row],[Visitor_Name]])</f>
        <v>6</v>
      </c>
      <c r="S59">
        <f>ROUND(Table1[[#This Row],[Rating]],0)</f>
        <v>4</v>
      </c>
      <c r="T59" t="s">
        <v>76</v>
      </c>
      <c r="U59" t="s">
        <v>67</v>
      </c>
      <c r="V59" s="5" t="s">
        <v>11</v>
      </c>
      <c r="W59">
        <v>221</v>
      </c>
    </row>
    <row r="60" spans="1:23" x14ac:dyDescent="0.25">
      <c r="A60">
        <v>1059</v>
      </c>
      <c r="B60" t="s">
        <v>90</v>
      </c>
      <c r="C60" t="s">
        <v>98</v>
      </c>
      <c r="D60" t="s">
        <v>21</v>
      </c>
      <c r="E60" s="1">
        <v>45297</v>
      </c>
      <c r="F60">
        <v>65</v>
      </c>
      <c r="G60" t="s">
        <v>25</v>
      </c>
      <c r="H60">
        <v>4.9000000000000004</v>
      </c>
      <c r="I60">
        <v>160</v>
      </c>
      <c r="J60" t="s">
        <v>33</v>
      </c>
      <c r="L60" t="str" cm="1">
        <f t="array" ref="L60">_xlfn.IFS(H60&lt;=2,"bad",H60&lt;=2.5,"neutral",H60&gt;2.5,"good")</f>
        <v>good</v>
      </c>
      <c r="M60" t="str" cm="1">
        <f t="array" ref="M60">_xlfn.IFS(F60&lt;30,"short",F60&lt;90,"medium",F60&lt;180,"long",F60&gt;180,"very long")</f>
        <v>medium</v>
      </c>
      <c r="N60" t="str">
        <f>LEFT(Table1[[#This Row],[Activity_Type]],3)</f>
        <v>Bir</v>
      </c>
      <c r="O60" t="str">
        <f>UPPER(Table1[[#This Row],[Column2]])</f>
        <v>REDDY</v>
      </c>
      <c r="P60">
        <f>LEN(Table1[[#This Row],[Visitor_Name]])</f>
        <v>5</v>
      </c>
      <c r="S60">
        <f>ROUND(Table1[[#This Row],[Rating]],0)</f>
        <v>5</v>
      </c>
      <c r="T60" t="s">
        <v>77</v>
      </c>
      <c r="U60" t="s">
        <v>60</v>
      </c>
      <c r="V60" s="5" t="s">
        <v>14</v>
      </c>
      <c r="W60">
        <v>223</v>
      </c>
    </row>
    <row r="61" spans="1:23" x14ac:dyDescent="0.25">
      <c r="A61">
        <v>1060</v>
      </c>
      <c r="B61" t="s">
        <v>97</v>
      </c>
      <c r="C61" t="s">
        <v>95</v>
      </c>
      <c r="D61" t="s">
        <v>19</v>
      </c>
      <c r="E61" s="1">
        <v>45624</v>
      </c>
      <c r="F61">
        <v>134</v>
      </c>
      <c r="G61" t="s">
        <v>25</v>
      </c>
      <c r="H61">
        <v>3.3</v>
      </c>
      <c r="I61">
        <v>429</v>
      </c>
      <c r="J61" t="s">
        <v>29</v>
      </c>
      <c r="L61" t="str" cm="1">
        <f t="array" ref="L61">_xlfn.IFS(H61&lt;=2,"bad",H61&lt;=2.5,"neutral",H61&gt;2.5,"good")</f>
        <v>good</v>
      </c>
      <c r="M61" t="str" cm="1">
        <f t="array" ref="M61">_xlfn.IFS(F61&lt;30,"short",F61&lt;90,"medium",F61&lt;180,"long",F61&gt;180,"very long")</f>
        <v>long</v>
      </c>
      <c r="N61" t="str">
        <f>LEFT(Table1[[#This Row],[Activity_Type]],3)</f>
        <v>Saf</v>
      </c>
      <c r="O61" t="str">
        <f>UPPER(Table1[[#This Row],[Column2]])</f>
        <v>SINGH</v>
      </c>
      <c r="P61">
        <f>LEN(Table1[[#This Row],[Visitor_Name]])</f>
        <v>5</v>
      </c>
      <c r="S61">
        <f>ROUND(Table1[[#This Row],[Rating]],0)</f>
        <v>3</v>
      </c>
      <c r="T61" t="s">
        <v>75</v>
      </c>
      <c r="U61" t="s">
        <v>65</v>
      </c>
      <c r="V61" s="5" t="s">
        <v>16</v>
      </c>
      <c r="W61">
        <v>223</v>
      </c>
    </row>
    <row r="62" spans="1:23" x14ac:dyDescent="0.25">
      <c r="A62">
        <v>1061</v>
      </c>
      <c r="B62" t="s">
        <v>84</v>
      </c>
      <c r="C62" t="s">
        <v>83</v>
      </c>
      <c r="D62" t="s">
        <v>19</v>
      </c>
      <c r="E62" s="1">
        <v>45470</v>
      </c>
      <c r="F62">
        <v>44</v>
      </c>
      <c r="G62" t="s">
        <v>27</v>
      </c>
      <c r="H62">
        <v>3.8</v>
      </c>
      <c r="I62">
        <v>180</v>
      </c>
      <c r="J62" t="s">
        <v>36</v>
      </c>
      <c r="L62" t="str" cm="1">
        <f t="array" ref="L62">_xlfn.IFS(H62&lt;=2,"bad",H62&lt;=2.5,"neutral",H62&gt;2.5,"good")</f>
        <v>good</v>
      </c>
      <c r="M62" t="str" cm="1">
        <f t="array" ref="M62">_xlfn.IFS(F62&lt;30,"short",F62&lt;90,"medium",F62&lt;180,"long",F62&gt;180,"very long")</f>
        <v>medium</v>
      </c>
      <c r="N62" t="str">
        <f>LEFT(Table1[[#This Row],[Activity_Type]],3)</f>
        <v>Saf</v>
      </c>
      <c r="O62" t="str">
        <f>UPPER(Table1[[#This Row],[Column2]])</f>
        <v>NAIR</v>
      </c>
      <c r="P62">
        <f>LEN(Table1[[#This Row],[Visitor_Name]])</f>
        <v>5</v>
      </c>
      <c r="S62">
        <f>ROUND(Table1[[#This Row],[Rating]],0)</f>
        <v>4</v>
      </c>
      <c r="T62" t="s">
        <v>70</v>
      </c>
      <c r="U62" t="s">
        <v>63</v>
      </c>
      <c r="V62" s="5" t="s">
        <v>11</v>
      </c>
      <c r="W62">
        <v>225</v>
      </c>
    </row>
    <row r="63" spans="1:23" x14ac:dyDescent="0.25">
      <c r="A63">
        <v>1062</v>
      </c>
      <c r="B63" t="s">
        <v>91</v>
      </c>
      <c r="C63" t="s">
        <v>98</v>
      </c>
      <c r="D63" t="s">
        <v>19</v>
      </c>
      <c r="E63" s="1">
        <v>45526</v>
      </c>
      <c r="F63">
        <v>173</v>
      </c>
      <c r="G63" t="s">
        <v>24</v>
      </c>
      <c r="H63">
        <v>2.9</v>
      </c>
      <c r="I63">
        <v>300</v>
      </c>
      <c r="J63" t="s">
        <v>31</v>
      </c>
      <c r="L63" t="str" cm="1">
        <f t="array" ref="L63">_xlfn.IFS(H63&lt;=2,"bad",H63&lt;=2.5,"neutral",H63&gt;2.5,"good")</f>
        <v>good</v>
      </c>
      <c r="M63" t="str" cm="1">
        <f t="array" ref="M63">_xlfn.IFS(F63&lt;30,"short",F63&lt;90,"medium",F63&lt;180,"long",F63&gt;180,"very long")</f>
        <v>long</v>
      </c>
      <c r="N63" t="str">
        <f>LEFT(Table1[[#This Row],[Activity_Type]],3)</f>
        <v>Saf</v>
      </c>
      <c r="O63" t="str">
        <f>UPPER(Table1[[#This Row],[Column2]])</f>
        <v>REDDY</v>
      </c>
      <c r="P63">
        <f>LEN(Table1[[#This Row],[Visitor_Name]])</f>
        <v>5</v>
      </c>
      <c r="S63">
        <f>ROUND(Table1[[#This Row],[Rating]],0)</f>
        <v>3</v>
      </c>
      <c r="T63" t="s">
        <v>77</v>
      </c>
      <c r="U63" t="s">
        <v>61</v>
      </c>
      <c r="V63" s="5" t="s">
        <v>12</v>
      </c>
      <c r="W63">
        <v>228</v>
      </c>
    </row>
    <row r="64" spans="1:23" x14ac:dyDescent="0.25">
      <c r="A64">
        <v>1063</v>
      </c>
      <c r="B64" t="s">
        <v>79</v>
      </c>
      <c r="C64" t="s">
        <v>85</v>
      </c>
      <c r="D64" t="s">
        <v>23</v>
      </c>
      <c r="E64" s="1">
        <v>45368</v>
      </c>
      <c r="F64">
        <v>82</v>
      </c>
      <c r="G64" t="s">
        <v>25</v>
      </c>
      <c r="H64">
        <v>3.5</v>
      </c>
      <c r="I64">
        <v>454</v>
      </c>
      <c r="J64" t="s">
        <v>28</v>
      </c>
      <c r="L64" t="str" cm="1">
        <f t="array" ref="L64">_xlfn.IFS(H64&lt;=2,"bad",H64&lt;=2.5,"neutral",H64&gt;2.5,"good")</f>
        <v>good</v>
      </c>
      <c r="M64" t="str" cm="1">
        <f t="array" ref="M64">_xlfn.IFS(F64&lt;30,"short",F64&lt;90,"medium",F64&lt;180,"long",F64&gt;180,"very long")</f>
        <v>medium</v>
      </c>
      <c r="N64" t="str">
        <f>LEFT(Table1[[#This Row],[Activity_Type]],3)</f>
        <v>Boa</v>
      </c>
      <c r="O64" t="str">
        <f>UPPER(Table1[[#This Row],[Column2]])</f>
        <v>DAS</v>
      </c>
      <c r="P64">
        <f>LEN(Table1[[#This Row],[Visitor_Name]])</f>
        <v>5</v>
      </c>
      <c r="S64">
        <f>ROUND(Table1[[#This Row],[Rating]],0)</f>
        <v>4</v>
      </c>
      <c r="T64" t="s">
        <v>71</v>
      </c>
      <c r="U64" t="s">
        <v>58</v>
      </c>
      <c r="V64" s="5" t="s">
        <v>16</v>
      </c>
      <c r="W64">
        <v>231</v>
      </c>
    </row>
    <row r="65" spans="1:23" x14ac:dyDescent="0.25">
      <c r="A65">
        <v>1064</v>
      </c>
      <c r="B65" t="s">
        <v>91</v>
      </c>
      <c r="C65" t="s">
        <v>96</v>
      </c>
      <c r="D65" t="s">
        <v>20</v>
      </c>
      <c r="E65" s="1">
        <v>45548</v>
      </c>
      <c r="F65">
        <v>178</v>
      </c>
      <c r="G65" t="s">
        <v>24</v>
      </c>
      <c r="H65">
        <v>3.8</v>
      </c>
      <c r="I65">
        <v>172</v>
      </c>
      <c r="J65" t="s">
        <v>28</v>
      </c>
      <c r="L65" t="str" cm="1">
        <f t="array" ref="L65">_xlfn.IFS(H65&lt;=2,"bad",H65&lt;=2.5,"neutral",H65&gt;2.5,"good")</f>
        <v>good</v>
      </c>
      <c r="M65" t="str" cm="1">
        <f t="array" ref="M65">_xlfn.IFS(F65&lt;30,"short",F65&lt;90,"medium",F65&lt;180,"long",F65&gt;180,"very long")</f>
        <v>long</v>
      </c>
      <c r="N65" t="str">
        <f>LEFT(Table1[[#This Row],[Activity_Type]],3)</f>
        <v>Hik</v>
      </c>
      <c r="O65" t="str">
        <f>UPPER(Table1[[#This Row],[Column2]])</f>
        <v>SHARMA</v>
      </c>
      <c r="P65">
        <f>LEN(Table1[[#This Row],[Visitor_Name]])</f>
        <v>5</v>
      </c>
      <c r="S65">
        <f>ROUND(Table1[[#This Row],[Rating]],0)</f>
        <v>4</v>
      </c>
      <c r="T65" t="s">
        <v>76</v>
      </c>
      <c r="U65" t="s">
        <v>61</v>
      </c>
      <c r="V65" s="5" t="s">
        <v>17</v>
      </c>
      <c r="W65">
        <v>233</v>
      </c>
    </row>
    <row r="66" spans="1:23" x14ac:dyDescent="0.25">
      <c r="A66">
        <v>1065</v>
      </c>
      <c r="B66" t="s">
        <v>94</v>
      </c>
      <c r="C66" t="s">
        <v>80</v>
      </c>
      <c r="D66" t="s">
        <v>19</v>
      </c>
      <c r="E66" s="1">
        <v>45377</v>
      </c>
      <c r="F66">
        <v>161</v>
      </c>
      <c r="G66" t="s">
        <v>25</v>
      </c>
      <c r="H66">
        <v>5</v>
      </c>
      <c r="I66">
        <v>455</v>
      </c>
      <c r="J66" t="s">
        <v>34</v>
      </c>
      <c r="L66" t="str" cm="1">
        <f t="array" ref="L66">_xlfn.IFS(H66&lt;=2,"bad",H66&lt;=2.5,"neutral",H66&gt;2.5,"good")</f>
        <v>good</v>
      </c>
      <c r="M66" t="str" cm="1">
        <f t="array" ref="M66">_xlfn.IFS(F66&lt;30,"short",F66&lt;90,"medium",F66&lt;180,"long",F66&gt;180,"very long")</f>
        <v>long</v>
      </c>
      <c r="N66" t="str">
        <f>LEFT(Table1[[#This Row],[Activity_Type]],3)</f>
        <v>Saf</v>
      </c>
      <c r="O66" t="str">
        <f>UPPER(Table1[[#This Row],[Column2]])</f>
        <v>MEHTA</v>
      </c>
      <c r="P66">
        <f>LEN(Table1[[#This Row],[Visitor_Name]])</f>
        <v>5</v>
      </c>
      <c r="S66">
        <f>ROUND(Table1[[#This Row],[Rating]],0)</f>
        <v>5</v>
      </c>
      <c r="T66" t="s">
        <v>68</v>
      </c>
      <c r="U66" t="s">
        <v>64</v>
      </c>
      <c r="V66" s="5" t="s">
        <v>16</v>
      </c>
      <c r="W66">
        <v>236</v>
      </c>
    </row>
    <row r="67" spans="1:23" x14ac:dyDescent="0.25">
      <c r="A67">
        <v>1066</v>
      </c>
      <c r="B67" t="s">
        <v>94</v>
      </c>
      <c r="C67" t="s">
        <v>85</v>
      </c>
      <c r="D67" t="s">
        <v>20</v>
      </c>
      <c r="E67" s="1">
        <v>45549</v>
      </c>
      <c r="F67">
        <v>148</v>
      </c>
      <c r="G67" t="s">
        <v>24</v>
      </c>
      <c r="H67">
        <v>4.2</v>
      </c>
      <c r="I67">
        <v>276</v>
      </c>
      <c r="J67" t="s">
        <v>28</v>
      </c>
      <c r="L67" t="str" cm="1">
        <f t="array" ref="L67">_xlfn.IFS(H67&lt;=2,"bad",H67&lt;=2.5,"neutral",H67&gt;2.5,"good")</f>
        <v>good</v>
      </c>
      <c r="M67" t="str" cm="1">
        <f t="array" ref="M67">_xlfn.IFS(F67&lt;30,"short",F67&lt;90,"medium",F67&lt;180,"long",F67&gt;180,"very long")</f>
        <v>long</v>
      </c>
      <c r="N67" t="str">
        <f>LEFT(Table1[[#This Row],[Activity_Type]],3)</f>
        <v>Hik</v>
      </c>
      <c r="O67" t="str">
        <f>UPPER(Table1[[#This Row],[Column2]])</f>
        <v>DAS</v>
      </c>
      <c r="P67">
        <f>LEN(Table1[[#This Row],[Visitor_Name]])</f>
        <v>5</v>
      </c>
      <c r="S67">
        <f>ROUND(Table1[[#This Row],[Rating]],0)</f>
        <v>4</v>
      </c>
      <c r="T67" t="s">
        <v>71</v>
      </c>
      <c r="U67" t="s">
        <v>64</v>
      </c>
      <c r="V67" s="5" t="s">
        <v>13</v>
      </c>
      <c r="W67">
        <v>240</v>
      </c>
    </row>
    <row r="68" spans="1:23" x14ac:dyDescent="0.25">
      <c r="A68">
        <v>1067</v>
      </c>
      <c r="B68" t="s">
        <v>91</v>
      </c>
      <c r="C68" t="s">
        <v>95</v>
      </c>
      <c r="D68" t="s">
        <v>19</v>
      </c>
      <c r="E68" s="1">
        <v>45343</v>
      </c>
      <c r="F68">
        <v>161</v>
      </c>
      <c r="G68" t="s">
        <v>24</v>
      </c>
      <c r="H68">
        <v>3.7</v>
      </c>
      <c r="I68">
        <v>283</v>
      </c>
      <c r="J68" t="s">
        <v>28</v>
      </c>
      <c r="L68" t="str" cm="1">
        <f t="array" ref="L68">_xlfn.IFS(H68&lt;=2,"bad",H68&lt;=2.5,"neutral",H68&gt;2.5,"good")</f>
        <v>good</v>
      </c>
      <c r="M68" t="str" cm="1">
        <f t="array" ref="M68">_xlfn.IFS(F68&lt;30,"short",F68&lt;90,"medium",F68&lt;180,"long",F68&gt;180,"very long")</f>
        <v>long</v>
      </c>
      <c r="N68" t="str">
        <f>LEFT(Table1[[#This Row],[Activity_Type]],3)</f>
        <v>Saf</v>
      </c>
      <c r="O68" t="str">
        <f>UPPER(Table1[[#This Row],[Column2]])</f>
        <v>SINGH</v>
      </c>
      <c r="P68">
        <f>LEN(Table1[[#This Row],[Visitor_Name]])</f>
        <v>5</v>
      </c>
      <c r="S68">
        <f>ROUND(Table1[[#This Row],[Rating]],0)</f>
        <v>4</v>
      </c>
      <c r="T68" t="s">
        <v>75</v>
      </c>
      <c r="U68" t="s">
        <v>61</v>
      </c>
      <c r="V68" s="5" t="s">
        <v>15</v>
      </c>
      <c r="W68">
        <v>25</v>
      </c>
    </row>
    <row r="69" spans="1:23" x14ac:dyDescent="0.25">
      <c r="A69">
        <v>1068</v>
      </c>
      <c r="B69" t="s">
        <v>79</v>
      </c>
      <c r="C69" t="s">
        <v>83</v>
      </c>
      <c r="D69" t="s">
        <v>21</v>
      </c>
      <c r="E69" s="1">
        <v>45374</v>
      </c>
      <c r="F69">
        <v>181</v>
      </c>
      <c r="G69" t="s">
        <v>25</v>
      </c>
      <c r="H69">
        <v>2.9</v>
      </c>
      <c r="I69">
        <v>375</v>
      </c>
      <c r="J69" t="s">
        <v>31</v>
      </c>
      <c r="L69" t="str" cm="1">
        <f t="array" ref="L69">_xlfn.IFS(H69&lt;=2,"bad",H69&lt;=2.5,"neutral",H69&gt;2.5,"good")</f>
        <v>good</v>
      </c>
      <c r="M69" t="str" cm="1">
        <f t="array" ref="M69">_xlfn.IFS(F69&lt;30,"short",F69&lt;90,"medium",F69&lt;180,"long",F69&gt;180,"very long")</f>
        <v>very long</v>
      </c>
      <c r="N69" t="str">
        <f>LEFT(Table1[[#This Row],[Activity_Type]],3)</f>
        <v>Bir</v>
      </c>
      <c r="O69" t="str">
        <f>UPPER(Table1[[#This Row],[Column2]])</f>
        <v>NAIR</v>
      </c>
      <c r="P69">
        <f>LEN(Table1[[#This Row],[Visitor_Name]])</f>
        <v>5</v>
      </c>
      <c r="S69">
        <f>ROUND(Table1[[#This Row],[Rating]],0)</f>
        <v>3</v>
      </c>
      <c r="T69" t="s">
        <v>70</v>
      </c>
      <c r="U69" t="s">
        <v>58</v>
      </c>
      <c r="V69" s="5" t="s">
        <v>10</v>
      </c>
      <c r="W69">
        <v>25</v>
      </c>
    </row>
    <row r="70" spans="1:23" x14ac:dyDescent="0.25">
      <c r="A70">
        <v>1069</v>
      </c>
      <c r="B70" t="s">
        <v>79</v>
      </c>
      <c r="C70" t="s">
        <v>81</v>
      </c>
      <c r="D70" t="s">
        <v>20</v>
      </c>
      <c r="E70" s="1">
        <v>45632</v>
      </c>
      <c r="F70">
        <v>95</v>
      </c>
      <c r="G70" t="s">
        <v>25</v>
      </c>
      <c r="H70">
        <v>3.2</v>
      </c>
      <c r="I70">
        <v>436</v>
      </c>
      <c r="J70" t="s">
        <v>33</v>
      </c>
      <c r="L70" t="str" cm="1">
        <f t="array" ref="L70">_xlfn.IFS(H70&lt;=2,"bad",H70&lt;=2.5,"neutral",H70&gt;2.5,"good")</f>
        <v>good</v>
      </c>
      <c r="M70" t="str" cm="1">
        <f t="array" ref="M70">_xlfn.IFS(F70&lt;30,"short",F70&lt;90,"medium",F70&lt;180,"long",F70&gt;180,"very long")</f>
        <v>long</v>
      </c>
      <c r="N70" t="str">
        <f>LEFT(Table1[[#This Row],[Activity_Type]],3)</f>
        <v>Hik</v>
      </c>
      <c r="O70" t="str">
        <f>UPPER(Table1[[#This Row],[Column2]])</f>
        <v>PATEL</v>
      </c>
      <c r="P70">
        <f>LEN(Table1[[#This Row],[Visitor_Name]])</f>
        <v>5</v>
      </c>
      <c r="S70">
        <f>ROUND(Table1[[#This Row],[Rating]],0)</f>
        <v>3</v>
      </c>
      <c r="T70" t="s">
        <v>69</v>
      </c>
      <c r="U70" t="s">
        <v>58</v>
      </c>
      <c r="V70" s="5" t="s">
        <v>10</v>
      </c>
      <c r="W70">
        <v>26</v>
      </c>
    </row>
    <row r="71" spans="1:23" x14ac:dyDescent="0.25">
      <c r="A71">
        <v>1070</v>
      </c>
      <c r="B71" t="s">
        <v>97</v>
      </c>
      <c r="C71" t="s">
        <v>87</v>
      </c>
      <c r="D71" t="s">
        <v>23</v>
      </c>
      <c r="E71" s="1">
        <v>45626</v>
      </c>
      <c r="F71">
        <v>69</v>
      </c>
      <c r="G71" t="s">
        <v>24</v>
      </c>
      <c r="H71">
        <v>3.8</v>
      </c>
      <c r="I71">
        <v>237</v>
      </c>
      <c r="J71" t="s">
        <v>35</v>
      </c>
      <c r="L71" t="str" cm="1">
        <f t="array" ref="L71">_xlfn.IFS(H71&lt;=2,"bad",H71&lt;=2.5,"neutral",H71&gt;2.5,"good")</f>
        <v>good</v>
      </c>
      <c r="M71" t="str" cm="1">
        <f t="array" ref="M71">_xlfn.IFS(F71&lt;30,"short",F71&lt;90,"medium",F71&lt;180,"long",F71&gt;180,"very long")</f>
        <v>medium</v>
      </c>
      <c r="N71" t="str">
        <f>LEFT(Table1[[#This Row],[Activity_Type]],3)</f>
        <v>Boa</v>
      </c>
      <c r="O71" t="str">
        <f>UPPER(Table1[[#This Row],[Column2]])</f>
        <v>VERMA</v>
      </c>
      <c r="P71">
        <f>LEN(Table1[[#This Row],[Visitor_Name]])</f>
        <v>5</v>
      </c>
      <c r="S71">
        <f>ROUND(Table1[[#This Row],[Rating]],0)</f>
        <v>4</v>
      </c>
      <c r="T71" t="s">
        <v>72</v>
      </c>
      <c r="U71" t="s">
        <v>65</v>
      </c>
      <c r="V71" s="5" t="s">
        <v>13</v>
      </c>
      <c r="W71">
        <v>39</v>
      </c>
    </row>
    <row r="72" spans="1:23" x14ac:dyDescent="0.25">
      <c r="A72">
        <v>1071</v>
      </c>
      <c r="B72" t="s">
        <v>82</v>
      </c>
      <c r="C72" t="s">
        <v>89</v>
      </c>
      <c r="D72" t="s">
        <v>23</v>
      </c>
      <c r="E72" s="1">
        <v>45506</v>
      </c>
      <c r="F72">
        <v>129</v>
      </c>
      <c r="G72" t="s">
        <v>24</v>
      </c>
      <c r="H72">
        <v>4.9000000000000004</v>
      </c>
      <c r="I72">
        <v>329</v>
      </c>
      <c r="J72" t="s">
        <v>36</v>
      </c>
      <c r="L72" t="str" cm="1">
        <f t="array" ref="L72">_xlfn.IFS(H72&lt;=2,"bad",H72&lt;=2.5,"neutral",H72&gt;2.5,"good")</f>
        <v>good</v>
      </c>
      <c r="M72" t="str" cm="1">
        <f t="array" ref="M72">_xlfn.IFS(F72&lt;30,"short",F72&lt;90,"medium",F72&lt;180,"long",F72&gt;180,"very long")</f>
        <v>long</v>
      </c>
      <c r="N72" t="str">
        <f>LEFT(Table1[[#This Row],[Activity_Type]],3)</f>
        <v>Boa</v>
      </c>
      <c r="O72" t="str">
        <f>UPPER(Table1[[#This Row],[Column2]])</f>
        <v>MENON</v>
      </c>
      <c r="P72">
        <f>LEN(Table1[[#This Row],[Visitor_Name]])</f>
        <v>5</v>
      </c>
      <c r="S72">
        <f>ROUND(Table1[[#This Row],[Rating]],0)</f>
        <v>5</v>
      </c>
      <c r="T72" t="s">
        <v>73</v>
      </c>
      <c r="U72" t="s">
        <v>59</v>
      </c>
      <c r="V72" s="5" t="s">
        <v>12</v>
      </c>
      <c r="W72">
        <v>47</v>
      </c>
    </row>
    <row r="73" spans="1:23" x14ac:dyDescent="0.25">
      <c r="A73">
        <v>1072</v>
      </c>
      <c r="B73" t="s">
        <v>88</v>
      </c>
      <c r="C73" t="s">
        <v>83</v>
      </c>
      <c r="D73" t="s">
        <v>19</v>
      </c>
      <c r="E73" s="1">
        <v>45371</v>
      </c>
      <c r="F73">
        <v>81</v>
      </c>
      <c r="G73" t="s">
        <v>24</v>
      </c>
      <c r="H73">
        <v>4.9000000000000004</v>
      </c>
      <c r="I73">
        <v>136</v>
      </c>
      <c r="J73" t="s">
        <v>32</v>
      </c>
      <c r="L73" t="str" cm="1">
        <f t="array" ref="L73">_xlfn.IFS(H73&lt;=2,"bad",H73&lt;=2.5,"neutral",H73&gt;2.5,"good")</f>
        <v>good</v>
      </c>
      <c r="M73" t="str" cm="1">
        <f t="array" ref="M73">_xlfn.IFS(F73&lt;30,"short",F73&lt;90,"medium",F73&lt;180,"long",F73&gt;180,"very long")</f>
        <v>medium</v>
      </c>
      <c r="N73" t="str">
        <f>LEFT(Table1[[#This Row],[Activity_Type]],3)</f>
        <v>Saf</v>
      </c>
      <c r="O73" t="str">
        <f>UPPER(Table1[[#This Row],[Column2]])</f>
        <v>NAIR</v>
      </c>
      <c r="P73">
        <f>LEN(Table1[[#This Row],[Visitor_Name]])</f>
        <v>6</v>
      </c>
      <c r="S73">
        <f>ROUND(Table1[[#This Row],[Rating]],0)</f>
        <v>5</v>
      </c>
      <c r="T73" t="s">
        <v>70</v>
      </c>
      <c r="U73" t="s">
        <v>67</v>
      </c>
      <c r="V73" s="5" t="s">
        <v>10</v>
      </c>
      <c r="W73">
        <v>49</v>
      </c>
    </row>
    <row r="74" spans="1:23" x14ac:dyDescent="0.25">
      <c r="A74">
        <v>1073</v>
      </c>
      <c r="B74" t="s">
        <v>91</v>
      </c>
      <c r="C74" t="s">
        <v>83</v>
      </c>
      <c r="D74" t="s">
        <v>23</v>
      </c>
      <c r="E74" s="1">
        <v>45526</v>
      </c>
      <c r="F74">
        <v>159</v>
      </c>
      <c r="G74" t="s">
        <v>25</v>
      </c>
      <c r="H74">
        <v>2.9</v>
      </c>
      <c r="I74">
        <v>409</v>
      </c>
      <c r="J74" t="s">
        <v>34</v>
      </c>
      <c r="L74" t="str" cm="1">
        <f t="array" ref="L74">_xlfn.IFS(H74&lt;=2,"bad",H74&lt;=2.5,"neutral",H74&gt;2.5,"good")</f>
        <v>good</v>
      </c>
      <c r="M74" t="str" cm="1">
        <f t="array" ref="M74">_xlfn.IFS(F74&lt;30,"short",F74&lt;90,"medium",F74&lt;180,"long",F74&gt;180,"very long")</f>
        <v>long</v>
      </c>
      <c r="N74" t="str">
        <f>LEFT(Table1[[#This Row],[Activity_Type]],3)</f>
        <v>Boa</v>
      </c>
      <c r="O74" t="str">
        <f>UPPER(Table1[[#This Row],[Column2]])</f>
        <v>NAIR</v>
      </c>
      <c r="P74">
        <f>LEN(Table1[[#This Row],[Visitor_Name]])</f>
        <v>5</v>
      </c>
      <c r="S74">
        <f>ROUND(Table1[[#This Row],[Rating]],0)</f>
        <v>3</v>
      </c>
      <c r="T74" t="s">
        <v>70</v>
      </c>
      <c r="U74" t="s">
        <v>61</v>
      </c>
      <c r="V74" s="5" t="s">
        <v>16</v>
      </c>
      <c r="W74">
        <v>51</v>
      </c>
    </row>
    <row r="75" spans="1:23" x14ac:dyDescent="0.25">
      <c r="A75">
        <v>1074</v>
      </c>
      <c r="B75" t="s">
        <v>84</v>
      </c>
      <c r="C75" t="s">
        <v>85</v>
      </c>
      <c r="D75" t="s">
        <v>23</v>
      </c>
      <c r="E75" s="1">
        <v>45543</v>
      </c>
      <c r="F75">
        <v>185</v>
      </c>
      <c r="G75" t="s">
        <v>27</v>
      </c>
      <c r="H75">
        <v>4.4000000000000004</v>
      </c>
      <c r="I75">
        <v>440</v>
      </c>
      <c r="J75" t="s">
        <v>31</v>
      </c>
      <c r="L75" t="str" cm="1">
        <f t="array" ref="L75">_xlfn.IFS(H75&lt;=2,"bad",H75&lt;=2.5,"neutral",H75&gt;2.5,"good")</f>
        <v>good</v>
      </c>
      <c r="M75" t="str" cm="1">
        <f t="array" ref="M75">_xlfn.IFS(F75&lt;30,"short",F75&lt;90,"medium",F75&lt;180,"long",F75&gt;180,"very long")</f>
        <v>very long</v>
      </c>
      <c r="N75" t="str">
        <f>LEFT(Table1[[#This Row],[Activity_Type]],3)</f>
        <v>Boa</v>
      </c>
      <c r="O75" t="str">
        <f>UPPER(Table1[[#This Row],[Column2]])</f>
        <v>DAS</v>
      </c>
      <c r="P75">
        <f>LEN(Table1[[#This Row],[Visitor_Name]])</f>
        <v>5</v>
      </c>
      <c r="S75">
        <f>ROUND(Table1[[#This Row],[Rating]],0)</f>
        <v>4</v>
      </c>
      <c r="T75" t="s">
        <v>71</v>
      </c>
      <c r="U75" t="s">
        <v>63</v>
      </c>
      <c r="V75" s="5" t="s">
        <v>15</v>
      </c>
      <c r="W75">
        <v>54</v>
      </c>
    </row>
    <row r="76" spans="1:23" x14ac:dyDescent="0.25">
      <c r="A76">
        <v>1075</v>
      </c>
      <c r="B76" t="s">
        <v>94</v>
      </c>
      <c r="C76" t="s">
        <v>81</v>
      </c>
      <c r="D76" t="s">
        <v>20</v>
      </c>
      <c r="E76" s="1">
        <v>45343</v>
      </c>
      <c r="F76">
        <v>148</v>
      </c>
      <c r="G76" t="s">
        <v>24</v>
      </c>
      <c r="H76">
        <v>2.7</v>
      </c>
      <c r="I76">
        <v>239</v>
      </c>
      <c r="J76" t="s">
        <v>34</v>
      </c>
      <c r="L76" t="str" cm="1">
        <f t="array" ref="L76">_xlfn.IFS(H76&lt;=2,"bad",H76&lt;=2.5,"neutral",H76&gt;2.5,"good")</f>
        <v>good</v>
      </c>
      <c r="M76" t="str" cm="1">
        <f t="array" ref="M76">_xlfn.IFS(F76&lt;30,"short",F76&lt;90,"medium",F76&lt;180,"long",F76&gt;180,"very long")</f>
        <v>long</v>
      </c>
      <c r="N76" t="str">
        <f>LEFT(Table1[[#This Row],[Activity_Type]],3)</f>
        <v>Hik</v>
      </c>
      <c r="O76" t="str">
        <f>UPPER(Table1[[#This Row],[Column2]])</f>
        <v>PATEL</v>
      </c>
      <c r="P76">
        <f>LEN(Table1[[#This Row],[Visitor_Name]])</f>
        <v>5</v>
      </c>
      <c r="S76">
        <f>ROUND(Table1[[#This Row],[Rating]],0)</f>
        <v>3</v>
      </c>
      <c r="T76" t="s">
        <v>69</v>
      </c>
      <c r="U76" t="s">
        <v>64</v>
      </c>
      <c r="V76" s="5" t="s">
        <v>13</v>
      </c>
      <c r="W76">
        <v>57</v>
      </c>
    </row>
    <row r="77" spans="1:23" x14ac:dyDescent="0.25">
      <c r="A77">
        <v>1076</v>
      </c>
      <c r="B77" t="s">
        <v>91</v>
      </c>
      <c r="C77" t="s">
        <v>81</v>
      </c>
      <c r="D77" t="s">
        <v>21</v>
      </c>
      <c r="E77" s="1">
        <v>45307</v>
      </c>
      <c r="F77">
        <v>25</v>
      </c>
      <c r="G77" t="s">
        <v>26</v>
      </c>
      <c r="H77">
        <v>2.5</v>
      </c>
      <c r="I77">
        <v>239</v>
      </c>
      <c r="J77" t="s">
        <v>28</v>
      </c>
      <c r="L77" t="str" cm="1">
        <f t="array" ref="L77">_xlfn.IFS(H77&lt;=2,"bad",H77&lt;=2.5,"neutral",H77&gt;2.5,"good")</f>
        <v>neutral</v>
      </c>
      <c r="M77" t="str" cm="1">
        <f t="array" ref="M77">_xlfn.IFS(F77&lt;30,"short",F77&lt;90,"medium",F77&lt;180,"long",F77&gt;180,"very long")</f>
        <v>short</v>
      </c>
      <c r="N77" t="str">
        <f>LEFT(Table1[[#This Row],[Activity_Type]],3)</f>
        <v>Bir</v>
      </c>
      <c r="O77" t="str">
        <f>UPPER(Table1[[#This Row],[Column2]])</f>
        <v>PATEL</v>
      </c>
      <c r="P77">
        <f>LEN(Table1[[#This Row],[Visitor_Name]])</f>
        <v>5</v>
      </c>
      <c r="S77">
        <f>ROUND(Table1[[#This Row],[Rating]],0)</f>
        <v>3</v>
      </c>
      <c r="T77" t="s">
        <v>69</v>
      </c>
      <c r="U77" t="s">
        <v>61</v>
      </c>
      <c r="V77" s="5" t="s">
        <v>11</v>
      </c>
      <c r="W77">
        <v>58</v>
      </c>
    </row>
    <row r="78" spans="1:23" x14ac:dyDescent="0.25">
      <c r="A78">
        <v>1077</v>
      </c>
      <c r="B78" t="s">
        <v>91</v>
      </c>
      <c r="C78" t="s">
        <v>96</v>
      </c>
      <c r="D78" t="s">
        <v>22</v>
      </c>
      <c r="E78" s="1">
        <v>45535</v>
      </c>
      <c r="F78">
        <v>111</v>
      </c>
      <c r="G78" t="s">
        <v>27</v>
      </c>
      <c r="H78">
        <v>2.6</v>
      </c>
      <c r="I78">
        <v>480</v>
      </c>
      <c r="J78" t="s">
        <v>36</v>
      </c>
      <c r="L78" t="str" cm="1">
        <f t="array" ref="L78">_xlfn.IFS(H78&lt;=2,"bad",H78&lt;=2.5,"neutral",H78&gt;2.5,"good")</f>
        <v>good</v>
      </c>
      <c r="M78" t="str" cm="1">
        <f t="array" ref="M78">_xlfn.IFS(F78&lt;30,"short",F78&lt;90,"medium",F78&lt;180,"long",F78&gt;180,"very long")</f>
        <v>long</v>
      </c>
      <c r="N78" t="str">
        <f>LEFT(Table1[[#This Row],[Activity_Type]],3)</f>
        <v>Cam</v>
      </c>
      <c r="O78" t="str">
        <f>UPPER(Table1[[#This Row],[Column2]])</f>
        <v>SHARMA</v>
      </c>
      <c r="P78">
        <f>LEN(Table1[[#This Row],[Visitor_Name]])</f>
        <v>5</v>
      </c>
      <c r="S78">
        <f>ROUND(Table1[[#This Row],[Rating]],0)</f>
        <v>3</v>
      </c>
      <c r="T78" t="s">
        <v>76</v>
      </c>
      <c r="U78" t="s">
        <v>61</v>
      </c>
      <c r="V78" s="5" t="s">
        <v>13</v>
      </c>
      <c r="W78">
        <v>61</v>
      </c>
    </row>
    <row r="79" spans="1:23" x14ac:dyDescent="0.25">
      <c r="A79">
        <v>1078</v>
      </c>
      <c r="B79" t="s">
        <v>86</v>
      </c>
      <c r="C79" t="s">
        <v>93</v>
      </c>
      <c r="D79" t="s">
        <v>23</v>
      </c>
      <c r="E79" s="1">
        <v>45636</v>
      </c>
      <c r="F79">
        <v>127</v>
      </c>
      <c r="G79" t="s">
        <v>25</v>
      </c>
      <c r="H79">
        <v>4.0999999999999996</v>
      </c>
      <c r="I79">
        <v>371</v>
      </c>
      <c r="J79" t="s">
        <v>35</v>
      </c>
      <c r="L79" t="str" cm="1">
        <f t="array" ref="L79">_xlfn.IFS(H79&lt;=2,"bad",H79&lt;=2.5,"neutral",H79&gt;2.5,"good")</f>
        <v>good</v>
      </c>
      <c r="M79" t="str" cm="1">
        <f t="array" ref="M79">_xlfn.IFS(F79&lt;30,"short",F79&lt;90,"medium",F79&lt;180,"long",F79&gt;180,"very long")</f>
        <v>long</v>
      </c>
      <c r="N79" t="str">
        <f>LEFT(Table1[[#This Row],[Activity_Type]],3)</f>
        <v>Boa</v>
      </c>
      <c r="O79" t="str">
        <f>UPPER(Table1[[#This Row],[Column2]])</f>
        <v>IYER</v>
      </c>
      <c r="P79">
        <f>LEN(Table1[[#This Row],[Visitor_Name]])</f>
        <v>6</v>
      </c>
      <c r="S79">
        <f>ROUND(Table1[[#This Row],[Rating]],0)</f>
        <v>4</v>
      </c>
      <c r="T79" t="s">
        <v>74</v>
      </c>
      <c r="U79" t="s">
        <v>66</v>
      </c>
      <c r="V79" s="5" t="s">
        <v>11</v>
      </c>
      <c r="W79">
        <v>63</v>
      </c>
    </row>
    <row r="80" spans="1:23" x14ac:dyDescent="0.25">
      <c r="A80">
        <v>1079</v>
      </c>
      <c r="B80" t="s">
        <v>94</v>
      </c>
      <c r="C80" t="s">
        <v>89</v>
      </c>
      <c r="D80" t="s">
        <v>20</v>
      </c>
      <c r="E80" s="1">
        <v>45494</v>
      </c>
      <c r="F80">
        <v>78</v>
      </c>
      <c r="G80" t="s">
        <v>26</v>
      </c>
      <c r="H80">
        <v>4.3</v>
      </c>
      <c r="I80">
        <v>111</v>
      </c>
      <c r="J80" t="s">
        <v>36</v>
      </c>
      <c r="L80" t="str" cm="1">
        <f t="array" ref="L80">_xlfn.IFS(H80&lt;=2,"bad",H80&lt;=2.5,"neutral",H80&gt;2.5,"good")</f>
        <v>good</v>
      </c>
      <c r="M80" t="str" cm="1">
        <f t="array" ref="M80">_xlfn.IFS(F80&lt;30,"short",F80&lt;90,"medium",F80&lt;180,"long",F80&gt;180,"very long")</f>
        <v>medium</v>
      </c>
      <c r="N80" t="str">
        <f>LEFT(Table1[[#This Row],[Activity_Type]],3)</f>
        <v>Hik</v>
      </c>
      <c r="O80" t="str">
        <f>UPPER(Table1[[#This Row],[Column2]])</f>
        <v>MENON</v>
      </c>
      <c r="P80">
        <f>LEN(Table1[[#This Row],[Visitor_Name]])</f>
        <v>5</v>
      </c>
      <c r="S80">
        <f>ROUND(Table1[[#This Row],[Rating]],0)</f>
        <v>4</v>
      </c>
      <c r="T80" t="s">
        <v>73</v>
      </c>
      <c r="U80" t="s">
        <v>64</v>
      </c>
      <c r="V80" s="5" t="s">
        <v>12</v>
      </c>
      <c r="W80">
        <v>68</v>
      </c>
    </row>
    <row r="81" spans="1:23" x14ac:dyDescent="0.25">
      <c r="A81">
        <v>1080</v>
      </c>
      <c r="B81" t="s">
        <v>90</v>
      </c>
      <c r="C81" t="s">
        <v>95</v>
      </c>
      <c r="D81" t="s">
        <v>18</v>
      </c>
      <c r="E81" s="1">
        <v>45500</v>
      </c>
      <c r="F81">
        <v>58</v>
      </c>
      <c r="G81" t="s">
        <v>27</v>
      </c>
      <c r="H81">
        <v>4</v>
      </c>
      <c r="I81">
        <v>219</v>
      </c>
      <c r="J81" t="s">
        <v>32</v>
      </c>
      <c r="L81" t="str" cm="1">
        <f t="array" ref="L81">_xlfn.IFS(H81&lt;=2,"bad",H81&lt;=2.5,"neutral",H81&gt;2.5,"good")</f>
        <v>good</v>
      </c>
      <c r="M81" t="str" cm="1">
        <f t="array" ref="M81">_xlfn.IFS(F81&lt;30,"short",F81&lt;90,"medium",F81&lt;180,"long",F81&gt;180,"very long")</f>
        <v>medium</v>
      </c>
      <c r="N81" t="str">
        <f>LEFT(Table1[[#This Row],[Activity_Type]],3)</f>
        <v>Pho</v>
      </c>
      <c r="O81" t="str">
        <f>UPPER(Table1[[#This Row],[Column2]])</f>
        <v>SINGH</v>
      </c>
      <c r="P81">
        <f>LEN(Table1[[#This Row],[Visitor_Name]])</f>
        <v>5</v>
      </c>
      <c r="S81">
        <f>ROUND(Table1[[#This Row],[Rating]],0)</f>
        <v>4</v>
      </c>
      <c r="T81" t="s">
        <v>75</v>
      </c>
      <c r="U81" t="s">
        <v>60</v>
      </c>
      <c r="V81" s="5" t="s">
        <v>13</v>
      </c>
      <c r="W81">
        <v>69</v>
      </c>
    </row>
    <row r="82" spans="1:23" x14ac:dyDescent="0.25">
      <c r="A82">
        <v>1081</v>
      </c>
      <c r="B82" t="s">
        <v>79</v>
      </c>
      <c r="C82" t="s">
        <v>87</v>
      </c>
      <c r="D82" t="s">
        <v>18</v>
      </c>
      <c r="E82" s="1">
        <v>45639</v>
      </c>
      <c r="F82">
        <v>121</v>
      </c>
      <c r="G82" t="s">
        <v>24</v>
      </c>
      <c r="H82">
        <v>3</v>
      </c>
      <c r="I82">
        <v>390</v>
      </c>
      <c r="J82" t="s">
        <v>36</v>
      </c>
      <c r="L82" t="str" cm="1">
        <f t="array" ref="L82">_xlfn.IFS(H82&lt;=2,"bad",H82&lt;=2.5,"neutral",H82&gt;2.5,"good")</f>
        <v>good</v>
      </c>
      <c r="M82" t="str" cm="1">
        <f t="array" ref="M82">_xlfn.IFS(F82&lt;30,"short",F82&lt;90,"medium",F82&lt;180,"long",F82&gt;180,"very long")</f>
        <v>long</v>
      </c>
      <c r="N82" t="str">
        <f>LEFT(Table1[[#This Row],[Activity_Type]],3)</f>
        <v>Pho</v>
      </c>
      <c r="O82" t="str">
        <f>UPPER(Table1[[#This Row],[Column2]])</f>
        <v>VERMA</v>
      </c>
      <c r="P82">
        <f>LEN(Table1[[#This Row],[Visitor_Name]])</f>
        <v>5</v>
      </c>
      <c r="S82">
        <f>ROUND(Table1[[#This Row],[Rating]],0)</f>
        <v>3</v>
      </c>
      <c r="T82" t="s">
        <v>72</v>
      </c>
      <c r="U82" t="s">
        <v>58</v>
      </c>
      <c r="V82" s="5" t="s">
        <v>12</v>
      </c>
      <c r="W82">
        <v>73</v>
      </c>
    </row>
    <row r="83" spans="1:23" x14ac:dyDescent="0.25">
      <c r="A83">
        <v>1082</v>
      </c>
      <c r="B83" t="s">
        <v>88</v>
      </c>
      <c r="C83" t="s">
        <v>95</v>
      </c>
      <c r="D83" t="s">
        <v>23</v>
      </c>
      <c r="E83" s="1">
        <v>45370</v>
      </c>
      <c r="F83">
        <v>49</v>
      </c>
      <c r="G83" t="s">
        <v>26</v>
      </c>
      <c r="H83">
        <v>2.9</v>
      </c>
      <c r="I83">
        <v>119</v>
      </c>
      <c r="J83" t="s">
        <v>35</v>
      </c>
      <c r="L83" t="str" cm="1">
        <f t="array" ref="L83">_xlfn.IFS(H83&lt;=2,"bad",H83&lt;=2.5,"neutral",H83&gt;2.5,"good")</f>
        <v>good</v>
      </c>
      <c r="M83" t="str" cm="1">
        <f t="array" ref="M83">_xlfn.IFS(F83&lt;30,"short",F83&lt;90,"medium",F83&lt;180,"long",F83&gt;180,"very long")</f>
        <v>medium</v>
      </c>
      <c r="N83" t="str">
        <f>LEFT(Table1[[#This Row],[Activity_Type]],3)</f>
        <v>Boa</v>
      </c>
      <c r="O83" t="str">
        <f>UPPER(Table1[[#This Row],[Column2]])</f>
        <v>SINGH</v>
      </c>
      <c r="P83">
        <f>LEN(Table1[[#This Row],[Visitor_Name]])</f>
        <v>6</v>
      </c>
      <c r="S83">
        <f>ROUND(Table1[[#This Row],[Rating]],0)</f>
        <v>3</v>
      </c>
      <c r="T83" t="s">
        <v>75</v>
      </c>
      <c r="U83" t="s">
        <v>67</v>
      </c>
      <c r="V83" s="5" t="s">
        <v>13</v>
      </c>
      <c r="W83">
        <v>75</v>
      </c>
    </row>
    <row r="84" spans="1:23" x14ac:dyDescent="0.25">
      <c r="A84">
        <v>1083</v>
      </c>
      <c r="B84" t="s">
        <v>97</v>
      </c>
      <c r="C84" t="s">
        <v>98</v>
      </c>
      <c r="D84" t="s">
        <v>20</v>
      </c>
      <c r="E84" s="1">
        <v>45413</v>
      </c>
      <c r="F84">
        <v>158</v>
      </c>
      <c r="G84" t="s">
        <v>25</v>
      </c>
      <c r="H84">
        <v>3.4</v>
      </c>
      <c r="I84">
        <v>366</v>
      </c>
      <c r="J84" t="s">
        <v>34</v>
      </c>
      <c r="L84" t="str" cm="1">
        <f t="array" ref="L84">_xlfn.IFS(H84&lt;=2,"bad",H84&lt;=2.5,"neutral",H84&gt;2.5,"good")</f>
        <v>good</v>
      </c>
      <c r="M84" t="str" cm="1">
        <f t="array" ref="M84">_xlfn.IFS(F84&lt;30,"short",F84&lt;90,"medium",F84&lt;180,"long",F84&gt;180,"very long")</f>
        <v>long</v>
      </c>
      <c r="N84" t="str">
        <f>LEFT(Table1[[#This Row],[Activity_Type]],3)</f>
        <v>Hik</v>
      </c>
      <c r="O84" t="str">
        <f>UPPER(Table1[[#This Row],[Column2]])</f>
        <v>REDDY</v>
      </c>
      <c r="P84">
        <f>LEN(Table1[[#This Row],[Visitor_Name]])</f>
        <v>5</v>
      </c>
      <c r="S84">
        <f>ROUND(Table1[[#This Row],[Rating]],0)</f>
        <v>3</v>
      </c>
      <c r="T84" t="s">
        <v>77</v>
      </c>
      <c r="U84" t="s">
        <v>65</v>
      </c>
      <c r="V84" s="5" t="s">
        <v>15</v>
      </c>
      <c r="W84">
        <v>75</v>
      </c>
    </row>
    <row r="85" spans="1:23" x14ac:dyDescent="0.25">
      <c r="A85">
        <v>1084</v>
      </c>
      <c r="B85" t="s">
        <v>79</v>
      </c>
      <c r="C85" t="s">
        <v>81</v>
      </c>
      <c r="D85" t="s">
        <v>18</v>
      </c>
      <c r="E85" s="1">
        <v>45578</v>
      </c>
      <c r="F85">
        <v>227</v>
      </c>
      <c r="G85" t="s">
        <v>27</v>
      </c>
      <c r="H85">
        <v>3.5</v>
      </c>
      <c r="I85">
        <v>413</v>
      </c>
      <c r="J85" t="s">
        <v>28</v>
      </c>
      <c r="L85" t="str" cm="1">
        <f t="array" ref="L85">_xlfn.IFS(H85&lt;=2,"bad",H85&lt;=2.5,"neutral",H85&gt;2.5,"good")</f>
        <v>good</v>
      </c>
      <c r="M85" t="str" cm="1">
        <f t="array" ref="M85">_xlfn.IFS(F85&lt;30,"short",F85&lt;90,"medium",F85&lt;180,"long",F85&gt;180,"very long")</f>
        <v>very long</v>
      </c>
      <c r="N85" t="str">
        <f>LEFT(Table1[[#This Row],[Activity_Type]],3)</f>
        <v>Pho</v>
      </c>
      <c r="O85" t="str">
        <f>UPPER(Table1[[#This Row],[Column2]])</f>
        <v>PATEL</v>
      </c>
      <c r="P85">
        <f>LEN(Table1[[#This Row],[Visitor_Name]])</f>
        <v>5</v>
      </c>
      <c r="S85">
        <f>ROUND(Table1[[#This Row],[Rating]],0)</f>
        <v>4</v>
      </c>
      <c r="T85" t="s">
        <v>69</v>
      </c>
      <c r="U85" t="s">
        <v>58</v>
      </c>
      <c r="V85" s="5" t="s">
        <v>17</v>
      </c>
      <c r="W85">
        <v>76</v>
      </c>
    </row>
    <row r="86" spans="1:23" x14ac:dyDescent="0.25">
      <c r="A86">
        <v>1085</v>
      </c>
      <c r="B86" t="s">
        <v>94</v>
      </c>
      <c r="C86" t="s">
        <v>83</v>
      </c>
      <c r="D86" t="s">
        <v>18</v>
      </c>
      <c r="E86" s="1">
        <v>45455</v>
      </c>
      <c r="F86">
        <v>108</v>
      </c>
      <c r="G86" t="s">
        <v>24</v>
      </c>
      <c r="H86">
        <v>4.8</v>
      </c>
      <c r="I86">
        <v>500</v>
      </c>
      <c r="J86" t="s">
        <v>36</v>
      </c>
      <c r="L86" t="str" cm="1">
        <f t="array" ref="L86">_xlfn.IFS(H86&lt;=2,"bad",H86&lt;=2.5,"neutral",H86&gt;2.5,"good")</f>
        <v>good</v>
      </c>
      <c r="M86" t="str" cm="1">
        <f t="array" ref="M86">_xlfn.IFS(F86&lt;30,"short",F86&lt;90,"medium",F86&lt;180,"long",F86&gt;180,"very long")</f>
        <v>long</v>
      </c>
      <c r="N86" t="str">
        <f>LEFT(Table1[[#This Row],[Activity_Type]],3)</f>
        <v>Pho</v>
      </c>
      <c r="O86" t="str">
        <f>UPPER(Table1[[#This Row],[Column2]])</f>
        <v>NAIR</v>
      </c>
      <c r="P86">
        <f>LEN(Table1[[#This Row],[Visitor_Name]])</f>
        <v>5</v>
      </c>
      <c r="S86">
        <f>ROUND(Table1[[#This Row],[Rating]],0)</f>
        <v>5</v>
      </c>
      <c r="T86" t="s">
        <v>70</v>
      </c>
      <c r="U86" t="s">
        <v>64</v>
      </c>
      <c r="V86" s="5" t="s">
        <v>14</v>
      </c>
      <c r="W86">
        <v>78</v>
      </c>
    </row>
    <row r="87" spans="1:23" x14ac:dyDescent="0.25">
      <c r="A87">
        <v>1086</v>
      </c>
      <c r="B87" t="s">
        <v>86</v>
      </c>
      <c r="C87" t="s">
        <v>87</v>
      </c>
      <c r="D87" t="s">
        <v>23</v>
      </c>
      <c r="E87" s="1">
        <v>45619</v>
      </c>
      <c r="F87">
        <v>194</v>
      </c>
      <c r="G87" t="s">
        <v>26</v>
      </c>
      <c r="H87">
        <v>4.0999999999999996</v>
      </c>
      <c r="I87">
        <v>314</v>
      </c>
      <c r="J87" t="s">
        <v>33</v>
      </c>
      <c r="L87" t="str" cm="1">
        <f t="array" ref="L87">_xlfn.IFS(H87&lt;=2,"bad",H87&lt;=2.5,"neutral",H87&gt;2.5,"good")</f>
        <v>good</v>
      </c>
      <c r="M87" t="str" cm="1">
        <f t="array" ref="M87">_xlfn.IFS(F87&lt;30,"short",F87&lt;90,"medium",F87&lt;180,"long",F87&gt;180,"very long")</f>
        <v>very long</v>
      </c>
      <c r="N87" t="str">
        <f>LEFT(Table1[[#This Row],[Activity_Type]],3)</f>
        <v>Boa</v>
      </c>
      <c r="O87" t="str">
        <f>UPPER(Table1[[#This Row],[Column2]])</f>
        <v>VERMA</v>
      </c>
      <c r="P87">
        <f>LEN(Table1[[#This Row],[Visitor_Name]])</f>
        <v>6</v>
      </c>
      <c r="S87">
        <f>ROUND(Table1[[#This Row],[Rating]],0)</f>
        <v>4</v>
      </c>
      <c r="T87" t="s">
        <v>72</v>
      </c>
      <c r="U87" t="s">
        <v>66</v>
      </c>
      <c r="V87" s="5" t="s">
        <v>14</v>
      </c>
      <c r="W87">
        <v>78</v>
      </c>
    </row>
    <row r="88" spans="1:23" x14ac:dyDescent="0.25">
      <c r="A88">
        <v>1087</v>
      </c>
      <c r="B88" t="s">
        <v>84</v>
      </c>
      <c r="C88" t="s">
        <v>89</v>
      </c>
      <c r="D88" t="s">
        <v>22</v>
      </c>
      <c r="E88" s="1">
        <v>45349</v>
      </c>
      <c r="F88">
        <v>232</v>
      </c>
      <c r="G88" t="s">
        <v>27</v>
      </c>
      <c r="H88">
        <v>4.0999999999999996</v>
      </c>
      <c r="I88">
        <v>470</v>
      </c>
      <c r="J88" t="s">
        <v>29</v>
      </c>
      <c r="L88" t="str" cm="1">
        <f t="array" ref="L88">_xlfn.IFS(H88&lt;=2,"bad",H88&lt;=2.5,"neutral",H88&gt;2.5,"good")</f>
        <v>good</v>
      </c>
      <c r="M88" t="str" cm="1">
        <f t="array" ref="M88">_xlfn.IFS(F88&lt;30,"short",F88&lt;90,"medium",F88&lt;180,"long",F88&gt;180,"very long")</f>
        <v>very long</v>
      </c>
      <c r="N88" t="str">
        <f>LEFT(Table1[[#This Row],[Activity_Type]],3)</f>
        <v>Cam</v>
      </c>
      <c r="O88" t="str">
        <f>UPPER(Table1[[#This Row],[Column2]])</f>
        <v>MENON</v>
      </c>
      <c r="P88">
        <f>LEN(Table1[[#This Row],[Visitor_Name]])</f>
        <v>5</v>
      </c>
      <c r="S88">
        <f>ROUND(Table1[[#This Row],[Rating]],0)</f>
        <v>4</v>
      </c>
      <c r="T88" t="s">
        <v>73</v>
      </c>
      <c r="U88" t="s">
        <v>63</v>
      </c>
      <c r="V88" s="5" t="s">
        <v>14</v>
      </c>
      <c r="W88">
        <v>81</v>
      </c>
    </row>
    <row r="89" spans="1:23" x14ac:dyDescent="0.25">
      <c r="A89">
        <v>1088</v>
      </c>
      <c r="B89" t="s">
        <v>84</v>
      </c>
      <c r="C89" t="s">
        <v>96</v>
      </c>
      <c r="D89" t="s">
        <v>22</v>
      </c>
      <c r="E89" s="1">
        <v>45370</v>
      </c>
      <c r="F89">
        <v>145</v>
      </c>
      <c r="G89" t="s">
        <v>24</v>
      </c>
      <c r="H89">
        <v>2.8</v>
      </c>
      <c r="I89">
        <v>180</v>
      </c>
      <c r="J89" t="s">
        <v>37</v>
      </c>
      <c r="L89" t="str" cm="1">
        <f t="array" ref="L89">_xlfn.IFS(H89&lt;=2,"bad",H89&lt;=2.5,"neutral",H89&gt;2.5,"good")</f>
        <v>good</v>
      </c>
      <c r="M89" t="str" cm="1">
        <f t="array" ref="M89">_xlfn.IFS(F89&lt;30,"short",F89&lt;90,"medium",F89&lt;180,"long",F89&gt;180,"very long")</f>
        <v>long</v>
      </c>
      <c r="N89" t="str">
        <f>LEFT(Table1[[#This Row],[Activity_Type]],3)</f>
        <v>Cam</v>
      </c>
      <c r="O89" t="str">
        <f>UPPER(Table1[[#This Row],[Column2]])</f>
        <v>SHARMA</v>
      </c>
      <c r="P89">
        <f>LEN(Table1[[#This Row],[Visitor_Name]])</f>
        <v>5</v>
      </c>
      <c r="S89">
        <f>ROUND(Table1[[#This Row],[Rating]],0)</f>
        <v>3</v>
      </c>
      <c r="T89" t="s">
        <v>76</v>
      </c>
      <c r="U89" t="s">
        <v>63</v>
      </c>
      <c r="V89" s="5" t="s">
        <v>11</v>
      </c>
      <c r="W89">
        <v>87</v>
      </c>
    </row>
    <row r="90" spans="1:23" x14ac:dyDescent="0.25">
      <c r="A90">
        <v>1089</v>
      </c>
      <c r="B90" t="s">
        <v>94</v>
      </c>
      <c r="C90" t="s">
        <v>96</v>
      </c>
      <c r="D90" t="s">
        <v>21</v>
      </c>
      <c r="E90" s="1">
        <v>45295</v>
      </c>
      <c r="F90">
        <v>73</v>
      </c>
      <c r="G90" t="s">
        <v>25</v>
      </c>
      <c r="H90">
        <v>4.9000000000000004</v>
      </c>
      <c r="I90">
        <v>156</v>
      </c>
      <c r="J90" t="s">
        <v>36</v>
      </c>
      <c r="L90" t="str" cm="1">
        <f t="array" ref="L90">_xlfn.IFS(H90&lt;=2,"bad",H90&lt;=2.5,"neutral",H90&gt;2.5,"good")</f>
        <v>good</v>
      </c>
      <c r="M90" t="str" cm="1">
        <f t="array" ref="M90">_xlfn.IFS(F90&lt;30,"short",F90&lt;90,"medium",F90&lt;180,"long",F90&gt;180,"very long")</f>
        <v>medium</v>
      </c>
      <c r="N90" t="str">
        <f>LEFT(Table1[[#This Row],[Activity_Type]],3)</f>
        <v>Bir</v>
      </c>
      <c r="O90" t="str">
        <f>UPPER(Table1[[#This Row],[Column2]])</f>
        <v>SHARMA</v>
      </c>
      <c r="P90">
        <f>LEN(Table1[[#This Row],[Visitor_Name]])</f>
        <v>5</v>
      </c>
      <c r="S90">
        <f>ROUND(Table1[[#This Row],[Rating]],0)</f>
        <v>5</v>
      </c>
      <c r="T90" t="s">
        <v>76</v>
      </c>
      <c r="U90" t="s">
        <v>64</v>
      </c>
      <c r="V90" s="5" t="s">
        <v>14</v>
      </c>
      <c r="W90">
        <v>95</v>
      </c>
    </row>
    <row r="91" spans="1:23" x14ac:dyDescent="0.25">
      <c r="A91">
        <v>1090</v>
      </c>
      <c r="B91" t="s">
        <v>91</v>
      </c>
      <c r="C91" t="s">
        <v>95</v>
      </c>
      <c r="D91" t="s">
        <v>18</v>
      </c>
      <c r="E91" s="1">
        <v>45304</v>
      </c>
      <c r="F91">
        <v>156</v>
      </c>
      <c r="G91" t="s">
        <v>26</v>
      </c>
      <c r="H91">
        <v>3.1</v>
      </c>
      <c r="I91">
        <v>114</v>
      </c>
      <c r="J91" t="s">
        <v>28</v>
      </c>
      <c r="L91" t="str" cm="1">
        <f t="array" ref="L91">_xlfn.IFS(H91&lt;=2,"bad",H91&lt;=2.5,"neutral",H91&gt;2.5,"good")</f>
        <v>good</v>
      </c>
      <c r="M91" t="str" cm="1">
        <f t="array" ref="M91">_xlfn.IFS(F91&lt;30,"short",F91&lt;90,"medium",F91&lt;180,"long",F91&gt;180,"very long")</f>
        <v>long</v>
      </c>
      <c r="N91" t="str">
        <f>LEFT(Table1[[#This Row],[Activity_Type]],3)</f>
        <v>Pho</v>
      </c>
      <c r="O91" t="str">
        <f>UPPER(Table1[[#This Row],[Column2]])</f>
        <v>SINGH</v>
      </c>
      <c r="P91">
        <f>LEN(Table1[[#This Row],[Visitor_Name]])</f>
        <v>5</v>
      </c>
      <c r="S91">
        <f>ROUND(Table1[[#This Row],[Rating]],0)</f>
        <v>3</v>
      </c>
      <c r="T91" t="s">
        <v>75</v>
      </c>
      <c r="U91" t="s">
        <v>61</v>
      </c>
      <c r="V91" s="5" t="s">
        <v>13</v>
      </c>
      <c r="W91">
        <v>97</v>
      </c>
    </row>
    <row r="92" spans="1:23" x14ac:dyDescent="0.25">
      <c r="A92">
        <v>1091</v>
      </c>
      <c r="B92" t="s">
        <v>84</v>
      </c>
      <c r="C92" t="s">
        <v>87</v>
      </c>
      <c r="D92" t="s">
        <v>22</v>
      </c>
      <c r="E92" s="1">
        <v>45306</v>
      </c>
      <c r="F92">
        <v>217</v>
      </c>
      <c r="G92" t="s">
        <v>24</v>
      </c>
      <c r="H92">
        <v>2.8</v>
      </c>
      <c r="I92">
        <v>215</v>
      </c>
      <c r="J92" t="s">
        <v>32</v>
      </c>
      <c r="L92" t="str" cm="1">
        <f t="array" ref="L92">_xlfn.IFS(H92&lt;=2,"bad",H92&lt;=2.5,"neutral",H92&gt;2.5,"good")</f>
        <v>good</v>
      </c>
      <c r="M92" t="str" cm="1">
        <f t="array" ref="M92">_xlfn.IFS(F92&lt;30,"short",F92&lt;90,"medium",F92&lt;180,"long",F92&gt;180,"very long")</f>
        <v>very long</v>
      </c>
      <c r="N92" t="str">
        <f>LEFT(Table1[[#This Row],[Activity_Type]],3)</f>
        <v>Cam</v>
      </c>
      <c r="O92" t="str">
        <f>UPPER(Table1[[#This Row],[Column2]])</f>
        <v>VERMA</v>
      </c>
      <c r="P92">
        <f>LEN(Table1[[#This Row],[Visitor_Name]])</f>
        <v>5</v>
      </c>
      <c r="S92">
        <f>ROUND(Table1[[#This Row],[Rating]],0)</f>
        <v>3</v>
      </c>
      <c r="T92" t="s">
        <v>72</v>
      </c>
      <c r="U92" t="s">
        <v>63</v>
      </c>
      <c r="V92" s="5" t="s">
        <v>13</v>
      </c>
      <c r="W92">
        <v>108</v>
      </c>
    </row>
    <row r="93" spans="1:23" x14ac:dyDescent="0.25">
      <c r="A93">
        <v>1092</v>
      </c>
      <c r="B93" t="s">
        <v>79</v>
      </c>
      <c r="C93" t="s">
        <v>83</v>
      </c>
      <c r="D93" t="s">
        <v>23</v>
      </c>
      <c r="E93" s="1">
        <v>45630</v>
      </c>
      <c r="F93">
        <v>226</v>
      </c>
      <c r="G93" t="s">
        <v>24</v>
      </c>
      <c r="H93">
        <v>3.8</v>
      </c>
      <c r="I93">
        <v>284</v>
      </c>
      <c r="J93" t="s">
        <v>33</v>
      </c>
      <c r="L93" t="str" cm="1">
        <f t="array" ref="L93">_xlfn.IFS(H93&lt;=2,"bad",H93&lt;=2.5,"neutral",H93&gt;2.5,"good")</f>
        <v>good</v>
      </c>
      <c r="M93" t="str" cm="1">
        <f t="array" ref="M93">_xlfn.IFS(F93&lt;30,"short",F93&lt;90,"medium",F93&lt;180,"long",F93&gt;180,"very long")</f>
        <v>very long</v>
      </c>
      <c r="N93" t="str">
        <f>LEFT(Table1[[#This Row],[Activity_Type]],3)</f>
        <v>Boa</v>
      </c>
      <c r="O93" t="str">
        <f>UPPER(Table1[[#This Row],[Column2]])</f>
        <v>NAIR</v>
      </c>
      <c r="P93">
        <f>LEN(Table1[[#This Row],[Visitor_Name]])</f>
        <v>5</v>
      </c>
      <c r="S93">
        <f>ROUND(Table1[[#This Row],[Rating]],0)</f>
        <v>4</v>
      </c>
      <c r="T93" t="s">
        <v>70</v>
      </c>
      <c r="U93" t="s">
        <v>58</v>
      </c>
      <c r="V93" s="5" t="s">
        <v>14</v>
      </c>
      <c r="W93">
        <v>111</v>
      </c>
    </row>
    <row r="94" spans="1:23" x14ac:dyDescent="0.25">
      <c r="A94">
        <v>1093</v>
      </c>
      <c r="B94" t="s">
        <v>79</v>
      </c>
      <c r="C94" t="s">
        <v>98</v>
      </c>
      <c r="D94" t="s">
        <v>21</v>
      </c>
      <c r="E94" s="1">
        <v>45639</v>
      </c>
      <c r="F94">
        <v>191</v>
      </c>
      <c r="G94" t="s">
        <v>27</v>
      </c>
      <c r="H94">
        <v>4.2</v>
      </c>
      <c r="I94">
        <v>300</v>
      </c>
      <c r="J94" t="s">
        <v>30</v>
      </c>
      <c r="L94" t="str" cm="1">
        <f t="array" ref="L94">_xlfn.IFS(H94&lt;=2,"bad",H94&lt;=2.5,"neutral",H94&gt;2.5,"good")</f>
        <v>good</v>
      </c>
      <c r="M94" t="str" cm="1">
        <f t="array" ref="M94">_xlfn.IFS(F94&lt;30,"short",F94&lt;90,"medium",F94&lt;180,"long",F94&gt;180,"very long")</f>
        <v>very long</v>
      </c>
      <c r="N94" t="str">
        <f>LEFT(Table1[[#This Row],[Activity_Type]],3)</f>
        <v>Bir</v>
      </c>
      <c r="O94" t="str">
        <f>UPPER(Table1[[#This Row],[Column2]])</f>
        <v>REDDY</v>
      </c>
      <c r="P94">
        <f>LEN(Table1[[#This Row],[Visitor_Name]])</f>
        <v>5</v>
      </c>
      <c r="S94">
        <f>ROUND(Table1[[#This Row],[Rating]],0)</f>
        <v>4</v>
      </c>
      <c r="T94" t="s">
        <v>77</v>
      </c>
      <c r="U94" t="s">
        <v>58</v>
      </c>
      <c r="V94" s="5" t="s">
        <v>13</v>
      </c>
      <c r="W94">
        <v>121</v>
      </c>
    </row>
    <row r="95" spans="1:23" x14ac:dyDescent="0.25">
      <c r="A95">
        <v>1094</v>
      </c>
      <c r="B95" t="s">
        <v>86</v>
      </c>
      <c r="C95" t="s">
        <v>87</v>
      </c>
      <c r="D95" t="s">
        <v>21</v>
      </c>
      <c r="E95" s="1">
        <v>45340</v>
      </c>
      <c r="F95">
        <v>235</v>
      </c>
      <c r="G95" t="s">
        <v>24</v>
      </c>
      <c r="H95">
        <v>3.5</v>
      </c>
      <c r="I95">
        <v>338</v>
      </c>
      <c r="J95" t="s">
        <v>33</v>
      </c>
      <c r="L95" t="str" cm="1">
        <f t="array" ref="L95">_xlfn.IFS(H95&lt;=2,"bad",H95&lt;=2.5,"neutral",H95&gt;2.5,"good")</f>
        <v>good</v>
      </c>
      <c r="M95" t="str" cm="1">
        <f t="array" ref="M95">_xlfn.IFS(F95&lt;30,"short",F95&lt;90,"medium",F95&lt;180,"long",F95&gt;180,"very long")</f>
        <v>very long</v>
      </c>
      <c r="N95" t="str">
        <f>LEFT(Table1[[#This Row],[Activity_Type]],3)</f>
        <v>Bir</v>
      </c>
      <c r="O95" t="str">
        <f>UPPER(Table1[[#This Row],[Column2]])</f>
        <v>VERMA</v>
      </c>
      <c r="P95">
        <f>LEN(Table1[[#This Row],[Visitor_Name]])</f>
        <v>6</v>
      </c>
      <c r="S95">
        <f>ROUND(Table1[[#This Row],[Rating]],0)</f>
        <v>4</v>
      </c>
      <c r="T95" t="s">
        <v>72</v>
      </c>
      <c r="U95" t="s">
        <v>66</v>
      </c>
      <c r="V95" s="5" t="s">
        <v>12</v>
      </c>
      <c r="W95">
        <v>126</v>
      </c>
    </row>
    <row r="96" spans="1:23" x14ac:dyDescent="0.25">
      <c r="A96">
        <v>1095</v>
      </c>
      <c r="B96" t="s">
        <v>79</v>
      </c>
      <c r="C96" t="s">
        <v>80</v>
      </c>
      <c r="D96" t="s">
        <v>21</v>
      </c>
      <c r="E96" s="1">
        <v>45292</v>
      </c>
      <c r="F96">
        <v>75</v>
      </c>
      <c r="G96" t="s">
        <v>25</v>
      </c>
      <c r="H96">
        <v>4.7</v>
      </c>
      <c r="I96">
        <v>162</v>
      </c>
      <c r="J96" t="s">
        <v>35</v>
      </c>
      <c r="L96" t="str" cm="1">
        <f t="array" ref="L96">_xlfn.IFS(H96&lt;=2,"bad",H96&lt;=2.5,"neutral",H96&gt;2.5,"good")</f>
        <v>good</v>
      </c>
      <c r="M96" t="str" cm="1">
        <f t="array" ref="M96">_xlfn.IFS(F96&lt;30,"short",F96&lt;90,"medium",F96&lt;180,"long",F96&gt;180,"very long")</f>
        <v>medium</v>
      </c>
      <c r="N96" t="str">
        <f>LEFT(Table1[[#This Row],[Activity_Type]],3)</f>
        <v>Bir</v>
      </c>
      <c r="O96" t="str">
        <f>UPPER(Table1[[#This Row],[Column2]])</f>
        <v>MEHTA</v>
      </c>
      <c r="P96">
        <f>LEN(Table1[[#This Row],[Visitor_Name]])</f>
        <v>5</v>
      </c>
      <c r="S96">
        <f>ROUND(Table1[[#This Row],[Rating]],0)</f>
        <v>5</v>
      </c>
      <c r="T96" t="s">
        <v>68</v>
      </c>
      <c r="U96" t="s">
        <v>58</v>
      </c>
      <c r="V96" s="5" t="s">
        <v>16</v>
      </c>
      <c r="W96">
        <v>127</v>
      </c>
    </row>
    <row r="97" spans="1:23" x14ac:dyDescent="0.25">
      <c r="A97">
        <v>1096</v>
      </c>
      <c r="B97" t="s">
        <v>97</v>
      </c>
      <c r="C97" t="s">
        <v>89</v>
      </c>
      <c r="D97" t="s">
        <v>18</v>
      </c>
      <c r="E97" s="1">
        <v>45557</v>
      </c>
      <c r="F97">
        <v>182</v>
      </c>
      <c r="G97" t="s">
        <v>24</v>
      </c>
      <c r="H97">
        <v>5</v>
      </c>
      <c r="I97">
        <v>434</v>
      </c>
      <c r="J97" t="s">
        <v>35</v>
      </c>
      <c r="L97" t="str" cm="1">
        <f t="array" ref="L97">_xlfn.IFS(H97&lt;=2,"bad",H97&lt;=2.5,"neutral",H97&gt;2.5,"good")</f>
        <v>good</v>
      </c>
      <c r="M97" t="str" cm="1">
        <f t="array" ref="M97">_xlfn.IFS(F97&lt;30,"short",F97&lt;90,"medium",F97&lt;180,"long",F97&gt;180,"very long")</f>
        <v>very long</v>
      </c>
      <c r="N97" t="str">
        <f>LEFT(Table1[[#This Row],[Activity_Type]],3)</f>
        <v>Pho</v>
      </c>
      <c r="O97" t="str">
        <f>UPPER(Table1[[#This Row],[Column2]])</f>
        <v>MENON</v>
      </c>
      <c r="P97">
        <f>LEN(Table1[[#This Row],[Visitor_Name]])</f>
        <v>5</v>
      </c>
      <c r="S97">
        <f>ROUND(Table1[[#This Row],[Rating]],0)</f>
        <v>5</v>
      </c>
      <c r="T97" t="s">
        <v>73</v>
      </c>
      <c r="U97" t="s">
        <v>65</v>
      </c>
      <c r="V97" s="5" t="s">
        <v>16</v>
      </c>
      <c r="W97">
        <v>127</v>
      </c>
    </row>
    <row r="98" spans="1:23" x14ac:dyDescent="0.25">
      <c r="A98">
        <v>1097</v>
      </c>
      <c r="B98" t="s">
        <v>91</v>
      </c>
      <c r="C98" t="s">
        <v>80</v>
      </c>
      <c r="D98" t="s">
        <v>23</v>
      </c>
      <c r="E98" s="1">
        <v>45339</v>
      </c>
      <c r="F98">
        <v>134</v>
      </c>
      <c r="G98" t="s">
        <v>26</v>
      </c>
      <c r="H98">
        <v>4.7</v>
      </c>
      <c r="I98">
        <v>185</v>
      </c>
      <c r="J98" t="s">
        <v>33</v>
      </c>
      <c r="L98" t="str" cm="1">
        <f t="array" ref="L98">_xlfn.IFS(H98&lt;=2,"bad",H98&lt;=2.5,"neutral",H98&gt;2.5,"good")</f>
        <v>good</v>
      </c>
      <c r="M98" t="str" cm="1">
        <f t="array" ref="M98">_xlfn.IFS(F98&lt;30,"short",F98&lt;90,"medium",F98&lt;180,"long",F98&gt;180,"very long")</f>
        <v>long</v>
      </c>
      <c r="N98" t="str">
        <f>LEFT(Table1[[#This Row],[Activity_Type]],3)</f>
        <v>Boa</v>
      </c>
      <c r="O98" t="str">
        <f>UPPER(Table1[[#This Row],[Column2]])</f>
        <v>MEHTA</v>
      </c>
      <c r="P98">
        <f>LEN(Table1[[#This Row],[Visitor_Name]])</f>
        <v>5</v>
      </c>
      <c r="S98">
        <f>ROUND(Table1[[#This Row],[Rating]],0)</f>
        <v>5</v>
      </c>
      <c r="T98" t="s">
        <v>68</v>
      </c>
      <c r="U98" t="s">
        <v>61</v>
      </c>
      <c r="V98" s="5" t="s">
        <v>13</v>
      </c>
      <c r="W98">
        <v>129</v>
      </c>
    </row>
    <row r="99" spans="1:23" x14ac:dyDescent="0.25">
      <c r="A99">
        <v>1098</v>
      </c>
      <c r="B99" t="s">
        <v>94</v>
      </c>
      <c r="C99" t="s">
        <v>81</v>
      </c>
      <c r="D99" t="s">
        <v>22</v>
      </c>
      <c r="E99" s="1">
        <v>45339</v>
      </c>
      <c r="F99">
        <v>47</v>
      </c>
      <c r="G99" t="s">
        <v>27</v>
      </c>
      <c r="H99">
        <v>4.9000000000000004</v>
      </c>
      <c r="I99">
        <v>110</v>
      </c>
      <c r="J99" t="s">
        <v>29</v>
      </c>
      <c r="L99" t="str" cm="1">
        <f t="array" ref="L99">_xlfn.IFS(H99&lt;=2,"bad",H99&lt;=2.5,"neutral",H99&gt;2.5,"good")</f>
        <v>good</v>
      </c>
      <c r="M99" t="str" cm="1">
        <f t="array" ref="M99">_xlfn.IFS(F99&lt;30,"short",F99&lt;90,"medium",F99&lt;180,"long",F99&gt;180,"very long")</f>
        <v>medium</v>
      </c>
      <c r="N99" t="str">
        <f>LEFT(Table1[[#This Row],[Activity_Type]],3)</f>
        <v>Cam</v>
      </c>
      <c r="O99" t="str">
        <f>UPPER(Table1[[#This Row],[Column2]])</f>
        <v>PATEL</v>
      </c>
      <c r="P99">
        <f>LEN(Table1[[#This Row],[Visitor_Name]])</f>
        <v>5</v>
      </c>
      <c r="S99">
        <f>ROUND(Table1[[#This Row],[Rating]],0)</f>
        <v>5</v>
      </c>
      <c r="T99" t="s">
        <v>69</v>
      </c>
      <c r="U99" t="s">
        <v>64</v>
      </c>
      <c r="V99" s="5" t="s">
        <v>11</v>
      </c>
      <c r="W99">
        <v>134</v>
      </c>
    </row>
    <row r="100" spans="1:23" x14ac:dyDescent="0.25">
      <c r="A100">
        <v>1099</v>
      </c>
      <c r="B100" t="s">
        <v>97</v>
      </c>
      <c r="C100" t="s">
        <v>83</v>
      </c>
      <c r="D100" t="s">
        <v>23</v>
      </c>
      <c r="E100" s="1">
        <v>45394</v>
      </c>
      <c r="F100">
        <v>196</v>
      </c>
      <c r="G100" t="s">
        <v>26</v>
      </c>
      <c r="H100">
        <v>4.5999999999999996</v>
      </c>
      <c r="I100">
        <v>112</v>
      </c>
      <c r="J100" t="s">
        <v>32</v>
      </c>
      <c r="L100" t="str" cm="1">
        <f t="array" ref="L100">_xlfn.IFS(H100&lt;=2,"bad",H100&lt;=2.5,"neutral",H100&gt;2.5,"good")</f>
        <v>good</v>
      </c>
      <c r="M100" t="str" cm="1">
        <f t="array" ref="M100">_xlfn.IFS(F100&lt;30,"short",F100&lt;90,"medium",F100&lt;180,"long",F100&gt;180,"very long")</f>
        <v>very long</v>
      </c>
      <c r="N100" t="str">
        <f>LEFT(Table1[[#This Row],[Activity_Type]],3)</f>
        <v>Boa</v>
      </c>
      <c r="O100" t="str">
        <f>UPPER(Table1[[#This Row],[Column2]])</f>
        <v>NAIR</v>
      </c>
      <c r="P100">
        <f>LEN(Table1[[#This Row],[Visitor_Name]])</f>
        <v>5</v>
      </c>
      <c r="S100">
        <f>ROUND(Table1[[#This Row],[Rating]],0)</f>
        <v>5</v>
      </c>
      <c r="T100" t="s">
        <v>70</v>
      </c>
      <c r="U100" t="s">
        <v>65</v>
      </c>
      <c r="V100" s="5" t="s">
        <v>15</v>
      </c>
      <c r="W100">
        <v>134</v>
      </c>
    </row>
    <row r="101" spans="1:23" x14ac:dyDescent="0.25">
      <c r="A101">
        <v>1100</v>
      </c>
      <c r="B101" t="s">
        <v>79</v>
      </c>
      <c r="C101" t="s">
        <v>87</v>
      </c>
      <c r="D101" t="s">
        <v>23</v>
      </c>
      <c r="E101" s="1">
        <v>45496</v>
      </c>
      <c r="F101">
        <v>127</v>
      </c>
      <c r="G101" t="s">
        <v>24</v>
      </c>
      <c r="H101">
        <v>4.3</v>
      </c>
      <c r="I101">
        <v>422</v>
      </c>
      <c r="J101" t="s">
        <v>33</v>
      </c>
      <c r="L101" t="str" cm="1">
        <f t="array" ref="L101">_xlfn.IFS(H101&lt;=2,"bad",H101&lt;=2.5,"neutral",H101&gt;2.5,"good")</f>
        <v>good</v>
      </c>
      <c r="M101" t="str" cm="1">
        <f t="array" ref="M101">_xlfn.IFS(F101&lt;30,"short",F101&lt;90,"medium",F101&lt;180,"long",F101&gt;180,"very long")</f>
        <v>long</v>
      </c>
      <c r="N101" t="str">
        <f>LEFT(Table1[[#This Row],[Activity_Type]],3)</f>
        <v>Boa</v>
      </c>
      <c r="O101" t="str">
        <f>UPPER(Table1[[#This Row],[Column2]])</f>
        <v>VERMA</v>
      </c>
      <c r="P101">
        <f>LEN(Table1[[#This Row],[Visitor_Name]])</f>
        <v>5</v>
      </c>
      <c r="S101">
        <f>ROUND(Table1[[#This Row],[Rating]],0)</f>
        <v>4</v>
      </c>
      <c r="T101" t="s">
        <v>72</v>
      </c>
      <c r="U101" t="s">
        <v>58</v>
      </c>
      <c r="V101" s="5" t="s">
        <v>14</v>
      </c>
      <c r="W101">
        <v>136</v>
      </c>
    </row>
    <row r="102" spans="1:23" x14ac:dyDescent="0.25">
      <c r="A102">
        <v>1101</v>
      </c>
      <c r="B102" t="s">
        <v>79</v>
      </c>
      <c r="C102" t="s">
        <v>96</v>
      </c>
      <c r="D102" t="s">
        <v>19</v>
      </c>
      <c r="E102" s="1">
        <v>45635</v>
      </c>
      <c r="F102">
        <v>203</v>
      </c>
      <c r="G102" t="s">
        <v>26</v>
      </c>
      <c r="H102">
        <v>4.0999999999999996</v>
      </c>
      <c r="I102">
        <v>321</v>
      </c>
      <c r="J102" t="s">
        <v>34</v>
      </c>
      <c r="L102" t="str" cm="1">
        <f t="array" ref="L102">_xlfn.IFS(H102&lt;=2,"bad",H102&lt;=2.5,"neutral",H102&gt;2.5,"good")</f>
        <v>good</v>
      </c>
      <c r="M102" t="str" cm="1">
        <f t="array" ref="M102">_xlfn.IFS(F102&lt;30,"short",F102&lt;90,"medium",F102&lt;180,"long",F102&gt;180,"very long")</f>
        <v>very long</v>
      </c>
      <c r="N102" t="str">
        <f>LEFT(Table1[[#This Row],[Activity_Type]],3)</f>
        <v>Saf</v>
      </c>
      <c r="O102" t="str">
        <f>UPPER(Table1[[#This Row],[Column2]])</f>
        <v>SHARMA</v>
      </c>
      <c r="P102">
        <f>LEN(Table1[[#This Row],[Visitor_Name]])</f>
        <v>5</v>
      </c>
      <c r="S102">
        <f>ROUND(Table1[[#This Row],[Rating]],0)</f>
        <v>4</v>
      </c>
      <c r="T102" t="s">
        <v>76</v>
      </c>
      <c r="U102" t="s">
        <v>58</v>
      </c>
      <c r="V102" s="5" t="s">
        <v>14</v>
      </c>
      <c r="W102">
        <v>136</v>
      </c>
    </row>
    <row r="103" spans="1:23" x14ac:dyDescent="0.25">
      <c r="A103">
        <v>1102</v>
      </c>
      <c r="B103" t="s">
        <v>94</v>
      </c>
      <c r="C103" t="s">
        <v>96</v>
      </c>
      <c r="D103" t="s">
        <v>23</v>
      </c>
      <c r="E103" s="1">
        <v>45549</v>
      </c>
      <c r="F103">
        <v>87</v>
      </c>
      <c r="G103" t="s">
        <v>25</v>
      </c>
      <c r="H103">
        <v>2.5</v>
      </c>
      <c r="I103">
        <v>169</v>
      </c>
      <c r="J103" t="s">
        <v>30</v>
      </c>
      <c r="L103" t="str" cm="1">
        <f t="array" ref="L103">_xlfn.IFS(H103&lt;=2,"bad",H103&lt;=2.5,"neutral",H103&gt;2.5,"good")</f>
        <v>neutral</v>
      </c>
      <c r="M103" t="str" cm="1">
        <f t="array" ref="M103">_xlfn.IFS(F103&lt;30,"short",F103&lt;90,"medium",F103&lt;180,"long",F103&gt;180,"very long")</f>
        <v>medium</v>
      </c>
      <c r="N103" t="str">
        <f>LEFT(Table1[[#This Row],[Activity_Type]],3)</f>
        <v>Boa</v>
      </c>
      <c r="O103" t="str">
        <f>UPPER(Table1[[#This Row],[Column2]])</f>
        <v>SHARMA</v>
      </c>
      <c r="P103">
        <f>LEN(Table1[[#This Row],[Visitor_Name]])</f>
        <v>5</v>
      </c>
      <c r="S103">
        <f>ROUND(Table1[[#This Row],[Rating]],0)</f>
        <v>3</v>
      </c>
      <c r="T103" t="s">
        <v>76</v>
      </c>
      <c r="U103" t="s">
        <v>64</v>
      </c>
      <c r="V103" s="5" t="s">
        <v>10</v>
      </c>
      <c r="W103">
        <v>143</v>
      </c>
    </row>
    <row r="104" spans="1:23" x14ac:dyDescent="0.25">
      <c r="A104">
        <v>1103</v>
      </c>
      <c r="B104" t="s">
        <v>79</v>
      </c>
      <c r="C104" t="s">
        <v>95</v>
      </c>
      <c r="D104" t="s">
        <v>23</v>
      </c>
      <c r="E104" s="1">
        <v>45511</v>
      </c>
      <c r="F104">
        <v>186</v>
      </c>
      <c r="G104" t="s">
        <v>27</v>
      </c>
      <c r="H104">
        <v>4.5</v>
      </c>
      <c r="I104">
        <v>201</v>
      </c>
      <c r="J104" t="s">
        <v>34</v>
      </c>
      <c r="L104" t="str" cm="1">
        <f t="array" ref="L104">_xlfn.IFS(H104&lt;=2,"bad",H104&lt;=2.5,"neutral",H104&gt;2.5,"good")</f>
        <v>good</v>
      </c>
      <c r="M104" t="str" cm="1">
        <f t="array" ref="M104">_xlfn.IFS(F104&lt;30,"short",F104&lt;90,"medium",F104&lt;180,"long",F104&gt;180,"very long")</f>
        <v>very long</v>
      </c>
      <c r="N104" t="str">
        <f>LEFT(Table1[[#This Row],[Activity_Type]],3)</f>
        <v>Boa</v>
      </c>
      <c r="O104" t="str">
        <f>UPPER(Table1[[#This Row],[Column2]])</f>
        <v>SINGH</v>
      </c>
      <c r="P104">
        <f>LEN(Table1[[#This Row],[Visitor_Name]])</f>
        <v>5</v>
      </c>
      <c r="S104">
        <f>ROUND(Table1[[#This Row],[Rating]],0)</f>
        <v>5</v>
      </c>
      <c r="T104" t="s">
        <v>75</v>
      </c>
      <c r="U104" t="s">
        <v>58</v>
      </c>
      <c r="V104" s="5" t="s">
        <v>14</v>
      </c>
      <c r="W104">
        <v>145</v>
      </c>
    </row>
    <row r="105" spans="1:23" x14ac:dyDescent="0.25">
      <c r="A105">
        <v>1104</v>
      </c>
      <c r="B105" t="s">
        <v>91</v>
      </c>
      <c r="C105" t="s">
        <v>95</v>
      </c>
      <c r="D105" t="s">
        <v>23</v>
      </c>
      <c r="E105" s="1">
        <v>45341</v>
      </c>
      <c r="F105">
        <v>230</v>
      </c>
      <c r="G105" t="s">
        <v>26</v>
      </c>
      <c r="H105">
        <v>4.8</v>
      </c>
      <c r="I105">
        <v>149</v>
      </c>
      <c r="J105" t="s">
        <v>37</v>
      </c>
      <c r="L105" t="str" cm="1">
        <f t="array" ref="L105">_xlfn.IFS(H105&lt;=2,"bad",H105&lt;=2.5,"neutral",H105&gt;2.5,"good")</f>
        <v>good</v>
      </c>
      <c r="M105" t="str" cm="1">
        <f t="array" ref="M105">_xlfn.IFS(F105&lt;30,"short",F105&lt;90,"medium",F105&lt;180,"long",F105&gt;180,"very long")</f>
        <v>very long</v>
      </c>
      <c r="N105" t="str">
        <f>LEFT(Table1[[#This Row],[Activity_Type]],3)</f>
        <v>Boa</v>
      </c>
      <c r="O105" t="str">
        <f>UPPER(Table1[[#This Row],[Column2]])</f>
        <v>SINGH</v>
      </c>
      <c r="P105">
        <f>LEN(Table1[[#This Row],[Visitor_Name]])</f>
        <v>5</v>
      </c>
      <c r="S105">
        <f>ROUND(Table1[[#This Row],[Rating]],0)</f>
        <v>5</v>
      </c>
      <c r="T105" t="s">
        <v>75</v>
      </c>
      <c r="U105" t="s">
        <v>61</v>
      </c>
      <c r="V105" s="5" t="s">
        <v>17</v>
      </c>
      <c r="W105">
        <v>146</v>
      </c>
    </row>
    <row r="106" spans="1:23" x14ac:dyDescent="0.25">
      <c r="A106">
        <v>1105</v>
      </c>
      <c r="B106" t="s">
        <v>79</v>
      </c>
      <c r="C106" t="s">
        <v>89</v>
      </c>
      <c r="D106" t="s">
        <v>22</v>
      </c>
      <c r="E106" s="1">
        <v>45400</v>
      </c>
      <c r="F106">
        <v>134</v>
      </c>
      <c r="G106" t="s">
        <v>26</v>
      </c>
      <c r="H106">
        <v>3.1</v>
      </c>
      <c r="I106">
        <v>311</v>
      </c>
      <c r="J106" t="s">
        <v>35</v>
      </c>
      <c r="L106" t="str" cm="1">
        <f t="array" ref="L106">_xlfn.IFS(H106&lt;=2,"bad",H106&lt;=2.5,"neutral",H106&gt;2.5,"good")</f>
        <v>good</v>
      </c>
      <c r="M106" t="str" cm="1">
        <f t="array" ref="M106">_xlfn.IFS(F106&lt;30,"short",F106&lt;90,"medium",F106&lt;180,"long",F106&gt;180,"very long")</f>
        <v>long</v>
      </c>
      <c r="N106" t="str">
        <f>LEFT(Table1[[#This Row],[Activity_Type]],3)</f>
        <v>Cam</v>
      </c>
      <c r="O106" t="str">
        <f>UPPER(Table1[[#This Row],[Column2]])</f>
        <v>MENON</v>
      </c>
      <c r="P106">
        <f>LEN(Table1[[#This Row],[Visitor_Name]])</f>
        <v>5</v>
      </c>
      <c r="S106">
        <f>ROUND(Table1[[#This Row],[Rating]],0)</f>
        <v>3</v>
      </c>
      <c r="T106" t="s">
        <v>73</v>
      </c>
      <c r="U106" t="s">
        <v>58</v>
      </c>
      <c r="V106" s="5" t="s">
        <v>13</v>
      </c>
      <c r="W106">
        <v>148</v>
      </c>
    </row>
    <row r="107" spans="1:23" x14ac:dyDescent="0.25">
      <c r="A107">
        <v>1106</v>
      </c>
      <c r="B107" t="s">
        <v>94</v>
      </c>
      <c r="C107" t="s">
        <v>98</v>
      </c>
      <c r="D107" t="s">
        <v>20</v>
      </c>
      <c r="E107" s="1">
        <v>45311</v>
      </c>
      <c r="F107">
        <v>126</v>
      </c>
      <c r="G107" t="s">
        <v>26</v>
      </c>
      <c r="H107">
        <v>4.8</v>
      </c>
      <c r="I107">
        <v>398</v>
      </c>
      <c r="J107" t="s">
        <v>31</v>
      </c>
      <c r="L107" t="str" cm="1">
        <f t="array" ref="L107">_xlfn.IFS(H107&lt;=2,"bad",H107&lt;=2.5,"neutral",H107&gt;2.5,"good")</f>
        <v>good</v>
      </c>
      <c r="M107" t="str" cm="1">
        <f t="array" ref="M107">_xlfn.IFS(F107&lt;30,"short",F107&lt;90,"medium",F107&lt;180,"long",F107&gt;180,"very long")</f>
        <v>long</v>
      </c>
      <c r="N107" t="str">
        <f>LEFT(Table1[[#This Row],[Activity_Type]],3)</f>
        <v>Hik</v>
      </c>
      <c r="O107" t="str">
        <f>UPPER(Table1[[#This Row],[Column2]])</f>
        <v>REDDY</v>
      </c>
      <c r="P107">
        <f>LEN(Table1[[#This Row],[Visitor_Name]])</f>
        <v>5</v>
      </c>
      <c r="S107">
        <f>ROUND(Table1[[#This Row],[Rating]],0)</f>
        <v>5</v>
      </c>
      <c r="T107" t="s">
        <v>77</v>
      </c>
      <c r="U107" t="s">
        <v>64</v>
      </c>
      <c r="V107" s="5" t="s">
        <v>15</v>
      </c>
      <c r="W107">
        <v>150</v>
      </c>
    </row>
    <row r="108" spans="1:23" x14ac:dyDescent="0.25">
      <c r="A108">
        <v>1107</v>
      </c>
      <c r="B108" t="s">
        <v>84</v>
      </c>
      <c r="C108" t="s">
        <v>87</v>
      </c>
      <c r="D108" t="s">
        <v>20</v>
      </c>
      <c r="E108" s="1">
        <v>45641</v>
      </c>
      <c r="F108">
        <v>97</v>
      </c>
      <c r="G108" t="s">
        <v>27</v>
      </c>
      <c r="H108">
        <v>4.9000000000000004</v>
      </c>
      <c r="I108">
        <v>483</v>
      </c>
      <c r="J108" t="s">
        <v>35</v>
      </c>
      <c r="L108" t="str" cm="1">
        <f t="array" ref="L108">_xlfn.IFS(H108&lt;=2,"bad",H108&lt;=2.5,"neutral",H108&gt;2.5,"good")</f>
        <v>good</v>
      </c>
      <c r="M108" t="str" cm="1">
        <f t="array" ref="M108">_xlfn.IFS(F108&lt;30,"short",F108&lt;90,"medium",F108&lt;180,"long",F108&gt;180,"very long")</f>
        <v>long</v>
      </c>
      <c r="N108" t="str">
        <f>LEFT(Table1[[#This Row],[Activity_Type]],3)</f>
        <v>Hik</v>
      </c>
      <c r="O108" t="str">
        <f>UPPER(Table1[[#This Row],[Column2]])</f>
        <v>VERMA</v>
      </c>
      <c r="P108">
        <f>LEN(Table1[[#This Row],[Visitor_Name]])</f>
        <v>5</v>
      </c>
      <c r="S108">
        <f>ROUND(Table1[[#This Row],[Rating]],0)</f>
        <v>5</v>
      </c>
      <c r="T108" t="s">
        <v>72</v>
      </c>
      <c r="U108" t="s">
        <v>63</v>
      </c>
      <c r="V108" s="5" t="s">
        <v>15</v>
      </c>
      <c r="W108">
        <v>156</v>
      </c>
    </row>
    <row r="109" spans="1:23" x14ac:dyDescent="0.25">
      <c r="A109">
        <v>1108</v>
      </c>
      <c r="B109" t="s">
        <v>79</v>
      </c>
      <c r="C109" t="s">
        <v>95</v>
      </c>
      <c r="D109" t="s">
        <v>23</v>
      </c>
      <c r="E109" s="1">
        <v>45424</v>
      </c>
      <c r="F109">
        <v>25</v>
      </c>
      <c r="G109" t="s">
        <v>27</v>
      </c>
      <c r="H109">
        <v>4.7</v>
      </c>
      <c r="I109">
        <v>401</v>
      </c>
      <c r="J109" t="s">
        <v>37</v>
      </c>
      <c r="L109" t="str" cm="1">
        <f t="array" ref="L109">_xlfn.IFS(H109&lt;=2,"bad",H109&lt;=2.5,"neutral",H109&gt;2.5,"good")</f>
        <v>good</v>
      </c>
      <c r="M109" t="str" cm="1">
        <f t="array" ref="M109">_xlfn.IFS(F109&lt;30,"short",F109&lt;90,"medium",F109&lt;180,"long",F109&gt;180,"very long")</f>
        <v>short</v>
      </c>
      <c r="N109" t="str">
        <f>LEFT(Table1[[#This Row],[Activity_Type]],3)</f>
        <v>Boa</v>
      </c>
      <c r="O109" t="str">
        <f>UPPER(Table1[[#This Row],[Column2]])</f>
        <v>SINGH</v>
      </c>
      <c r="P109">
        <f>LEN(Table1[[#This Row],[Visitor_Name]])</f>
        <v>5</v>
      </c>
      <c r="S109">
        <f>ROUND(Table1[[#This Row],[Rating]],0)</f>
        <v>5</v>
      </c>
      <c r="T109" t="s">
        <v>75</v>
      </c>
      <c r="U109" t="s">
        <v>58</v>
      </c>
      <c r="V109" s="5" t="s">
        <v>17</v>
      </c>
      <c r="W109">
        <v>158</v>
      </c>
    </row>
    <row r="110" spans="1:23" x14ac:dyDescent="0.25">
      <c r="A110">
        <v>1109</v>
      </c>
      <c r="B110" t="s">
        <v>86</v>
      </c>
      <c r="C110" t="s">
        <v>83</v>
      </c>
      <c r="D110" t="s">
        <v>21</v>
      </c>
      <c r="E110" s="1">
        <v>45298</v>
      </c>
      <c r="F110">
        <v>188</v>
      </c>
      <c r="G110" t="s">
        <v>26</v>
      </c>
      <c r="H110">
        <v>2.6</v>
      </c>
      <c r="I110">
        <v>498</v>
      </c>
      <c r="J110" t="s">
        <v>37</v>
      </c>
      <c r="L110" t="str" cm="1">
        <f t="array" ref="L110">_xlfn.IFS(H110&lt;=2,"bad",H110&lt;=2.5,"neutral",H110&gt;2.5,"good")</f>
        <v>good</v>
      </c>
      <c r="M110" t="str" cm="1">
        <f t="array" ref="M110">_xlfn.IFS(F110&lt;30,"short",F110&lt;90,"medium",F110&lt;180,"long",F110&gt;180,"very long")</f>
        <v>very long</v>
      </c>
      <c r="N110" t="str">
        <f>LEFT(Table1[[#This Row],[Activity_Type]],3)</f>
        <v>Bir</v>
      </c>
      <c r="O110" t="str">
        <f>UPPER(Table1[[#This Row],[Column2]])</f>
        <v>NAIR</v>
      </c>
      <c r="P110">
        <f>LEN(Table1[[#This Row],[Visitor_Name]])</f>
        <v>6</v>
      </c>
      <c r="S110">
        <f>ROUND(Table1[[#This Row],[Rating]],0)</f>
        <v>3</v>
      </c>
      <c r="T110" t="s">
        <v>70</v>
      </c>
      <c r="U110" t="s">
        <v>66</v>
      </c>
      <c r="V110" s="5" t="s">
        <v>15</v>
      </c>
      <c r="W110">
        <v>159</v>
      </c>
    </row>
    <row r="111" spans="1:23" x14ac:dyDescent="0.25">
      <c r="A111">
        <v>1110</v>
      </c>
      <c r="B111" t="s">
        <v>82</v>
      </c>
      <c r="C111" t="s">
        <v>96</v>
      </c>
      <c r="D111" t="s">
        <v>22</v>
      </c>
      <c r="E111" s="1">
        <v>45603</v>
      </c>
      <c r="F111">
        <v>75</v>
      </c>
      <c r="G111" t="s">
        <v>26</v>
      </c>
      <c r="H111">
        <v>4.8</v>
      </c>
      <c r="I111">
        <v>459</v>
      </c>
      <c r="J111" t="s">
        <v>32</v>
      </c>
      <c r="L111" t="str" cm="1">
        <f t="array" ref="L111">_xlfn.IFS(H111&lt;=2,"bad",H111&lt;=2.5,"neutral",H111&gt;2.5,"good")</f>
        <v>good</v>
      </c>
      <c r="M111" t="str" cm="1">
        <f t="array" ref="M111">_xlfn.IFS(F111&lt;30,"short",F111&lt;90,"medium",F111&lt;180,"long",F111&gt;180,"very long")</f>
        <v>medium</v>
      </c>
      <c r="N111" t="str">
        <f>LEFT(Table1[[#This Row],[Activity_Type]],3)</f>
        <v>Cam</v>
      </c>
      <c r="O111" t="str">
        <f>UPPER(Table1[[#This Row],[Column2]])</f>
        <v>SHARMA</v>
      </c>
      <c r="P111">
        <f>LEN(Table1[[#This Row],[Visitor_Name]])</f>
        <v>5</v>
      </c>
      <c r="S111">
        <f>ROUND(Table1[[#This Row],[Rating]],0)</f>
        <v>5</v>
      </c>
      <c r="T111" t="s">
        <v>76</v>
      </c>
      <c r="U111" t="s">
        <v>59</v>
      </c>
      <c r="V111" s="5" t="s">
        <v>10</v>
      </c>
      <c r="W111">
        <v>161</v>
      </c>
    </row>
    <row r="112" spans="1:23" x14ac:dyDescent="0.25">
      <c r="A112">
        <v>1111</v>
      </c>
      <c r="B112" t="s">
        <v>91</v>
      </c>
      <c r="C112" t="s">
        <v>83</v>
      </c>
      <c r="D112" t="s">
        <v>21</v>
      </c>
      <c r="E112" s="1">
        <v>45466</v>
      </c>
      <c r="F112">
        <v>63</v>
      </c>
      <c r="G112" t="s">
        <v>25</v>
      </c>
      <c r="H112">
        <v>3.7</v>
      </c>
      <c r="I112">
        <v>308</v>
      </c>
      <c r="J112" t="s">
        <v>31</v>
      </c>
      <c r="L112" t="str" cm="1">
        <f t="array" ref="L112">_xlfn.IFS(H112&lt;=2,"bad",H112&lt;=2.5,"neutral",H112&gt;2.5,"good")</f>
        <v>good</v>
      </c>
      <c r="M112" t="str" cm="1">
        <f t="array" ref="M112">_xlfn.IFS(F112&lt;30,"short",F112&lt;90,"medium",F112&lt;180,"long",F112&gt;180,"very long")</f>
        <v>medium</v>
      </c>
      <c r="N112" t="str">
        <f>LEFT(Table1[[#This Row],[Activity_Type]],3)</f>
        <v>Bir</v>
      </c>
      <c r="O112" t="str">
        <f>UPPER(Table1[[#This Row],[Column2]])</f>
        <v>NAIR</v>
      </c>
      <c r="P112">
        <f>LEN(Table1[[#This Row],[Visitor_Name]])</f>
        <v>5</v>
      </c>
      <c r="S112">
        <f>ROUND(Table1[[#This Row],[Rating]],0)</f>
        <v>4</v>
      </c>
      <c r="T112" t="s">
        <v>70</v>
      </c>
      <c r="U112" t="s">
        <v>61</v>
      </c>
      <c r="V112" s="5" t="s">
        <v>16</v>
      </c>
      <c r="W112">
        <v>161</v>
      </c>
    </row>
    <row r="113" spans="1:23" x14ac:dyDescent="0.25">
      <c r="A113">
        <v>1112</v>
      </c>
      <c r="B113" t="s">
        <v>90</v>
      </c>
      <c r="C113" t="s">
        <v>83</v>
      </c>
      <c r="D113" t="s">
        <v>18</v>
      </c>
      <c r="E113" s="1">
        <v>45490</v>
      </c>
      <c r="F113">
        <v>161</v>
      </c>
      <c r="G113" t="s">
        <v>25</v>
      </c>
      <c r="H113">
        <v>4.4000000000000004</v>
      </c>
      <c r="I113">
        <v>410</v>
      </c>
      <c r="J113" t="s">
        <v>33</v>
      </c>
      <c r="L113" t="str" cm="1">
        <f t="array" ref="L113">_xlfn.IFS(H113&lt;=2,"bad",H113&lt;=2.5,"neutral",H113&gt;2.5,"good")</f>
        <v>good</v>
      </c>
      <c r="M113" t="str" cm="1">
        <f t="array" ref="M113">_xlfn.IFS(F113&lt;30,"short",F113&lt;90,"medium",F113&lt;180,"long",F113&gt;180,"very long")</f>
        <v>long</v>
      </c>
      <c r="N113" t="str">
        <f>LEFT(Table1[[#This Row],[Activity_Type]],3)</f>
        <v>Pho</v>
      </c>
      <c r="O113" t="str">
        <f>UPPER(Table1[[#This Row],[Column2]])</f>
        <v>NAIR</v>
      </c>
      <c r="P113">
        <f>LEN(Table1[[#This Row],[Visitor_Name]])</f>
        <v>5</v>
      </c>
      <c r="S113">
        <f>ROUND(Table1[[#This Row],[Rating]],0)</f>
        <v>4</v>
      </c>
      <c r="T113" t="s">
        <v>70</v>
      </c>
      <c r="U113" t="s">
        <v>60</v>
      </c>
      <c r="V113" s="5" t="s">
        <v>17</v>
      </c>
      <c r="W113">
        <v>161</v>
      </c>
    </row>
    <row r="114" spans="1:23" x14ac:dyDescent="0.25">
      <c r="A114">
        <v>1113</v>
      </c>
      <c r="B114" t="s">
        <v>84</v>
      </c>
      <c r="C114" t="s">
        <v>85</v>
      </c>
      <c r="D114" t="s">
        <v>21</v>
      </c>
      <c r="E114" s="1">
        <v>45453</v>
      </c>
      <c r="F114">
        <v>181</v>
      </c>
      <c r="G114" t="s">
        <v>25</v>
      </c>
      <c r="H114">
        <v>4.5</v>
      </c>
      <c r="I114">
        <v>393</v>
      </c>
      <c r="J114" t="s">
        <v>33</v>
      </c>
      <c r="L114" t="str" cm="1">
        <f t="array" ref="L114">_xlfn.IFS(H114&lt;=2,"bad",H114&lt;=2.5,"neutral",H114&gt;2.5,"good")</f>
        <v>good</v>
      </c>
      <c r="M114" t="str" cm="1">
        <f t="array" ref="M114">_xlfn.IFS(F114&lt;30,"short",F114&lt;90,"medium",F114&lt;180,"long",F114&gt;180,"very long")</f>
        <v>very long</v>
      </c>
      <c r="N114" t="str">
        <f>LEFT(Table1[[#This Row],[Activity_Type]],3)</f>
        <v>Bir</v>
      </c>
      <c r="O114" t="str">
        <f>UPPER(Table1[[#This Row],[Column2]])</f>
        <v>DAS</v>
      </c>
      <c r="P114">
        <f>LEN(Table1[[#This Row],[Visitor_Name]])</f>
        <v>5</v>
      </c>
      <c r="S114">
        <f>ROUND(Table1[[#This Row],[Rating]],0)</f>
        <v>5</v>
      </c>
      <c r="T114" t="s">
        <v>71</v>
      </c>
      <c r="U114" t="s">
        <v>63</v>
      </c>
      <c r="V114" s="5" t="s">
        <v>10</v>
      </c>
      <c r="W114">
        <v>173</v>
      </c>
    </row>
    <row r="115" spans="1:23" x14ac:dyDescent="0.25">
      <c r="A115">
        <v>1114</v>
      </c>
      <c r="B115" t="s">
        <v>82</v>
      </c>
      <c r="C115" t="s">
        <v>80</v>
      </c>
      <c r="D115" t="s">
        <v>19</v>
      </c>
      <c r="E115" s="1">
        <v>45393</v>
      </c>
      <c r="F115">
        <v>136</v>
      </c>
      <c r="G115" t="s">
        <v>25</v>
      </c>
      <c r="H115">
        <v>4.0999999999999996</v>
      </c>
      <c r="I115">
        <v>271</v>
      </c>
      <c r="J115" t="s">
        <v>37</v>
      </c>
      <c r="L115" t="str" cm="1">
        <f t="array" ref="L115">_xlfn.IFS(H115&lt;=2,"bad",H115&lt;=2.5,"neutral",H115&gt;2.5,"good")</f>
        <v>good</v>
      </c>
      <c r="M115" t="str" cm="1">
        <f t="array" ref="M115">_xlfn.IFS(F115&lt;30,"short",F115&lt;90,"medium",F115&lt;180,"long",F115&gt;180,"very long")</f>
        <v>long</v>
      </c>
      <c r="N115" t="str">
        <f>LEFT(Table1[[#This Row],[Activity_Type]],3)</f>
        <v>Saf</v>
      </c>
      <c r="O115" t="str">
        <f>UPPER(Table1[[#This Row],[Column2]])</f>
        <v>MEHTA</v>
      </c>
      <c r="P115">
        <f>LEN(Table1[[#This Row],[Visitor_Name]])</f>
        <v>5</v>
      </c>
      <c r="S115">
        <f>ROUND(Table1[[#This Row],[Rating]],0)</f>
        <v>4</v>
      </c>
      <c r="T115" t="s">
        <v>68</v>
      </c>
      <c r="U115" t="s">
        <v>59</v>
      </c>
      <c r="V115" s="5" t="s">
        <v>10</v>
      </c>
      <c r="W115">
        <v>181</v>
      </c>
    </row>
    <row r="116" spans="1:23" x14ac:dyDescent="0.25">
      <c r="A116">
        <v>1115</v>
      </c>
      <c r="B116" t="s">
        <v>90</v>
      </c>
      <c r="C116" t="s">
        <v>87</v>
      </c>
      <c r="D116" t="s">
        <v>19</v>
      </c>
      <c r="E116" s="1">
        <v>45509</v>
      </c>
      <c r="F116">
        <v>136</v>
      </c>
      <c r="G116" t="s">
        <v>24</v>
      </c>
      <c r="H116">
        <v>2.8</v>
      </c>
      <c r="I116">
        <v>141</v>
      </c>
      <c r="J116" t="s">
        <v>35</v>
      </c>
      <c r="L116" t="str" cm="1">
        <f t="array" ref="L116">_xlfn.IFS(H116&lt;=2,"bad",H116&lt;=2.5,"neutral",H116&gt;2.5,"good")</f>
        <v>good</v>
      </c>
      <c r="M116" t="str" cm="1">
        <f t="array" ref="M116">_xlfn.IFS(F116&lt;30,"short",F116&lt;90,"medium",F116&lt;180,"long",F116&gt;180,"very long")</f>
        <v>long</v>
      </c>
      <c r="N116" t="str">
        <f>LEFT(Table1[[#This Row],[Activity_Type]],3)</f>
        <v>Saf</v>
      </c>
      <c r="O116" t="str">
        <f>UPPER(Table1[[#This Row],[Column2]])</f>
        <v>VERMA</v>
      </c>
      <c r="P116">
        <f>LEN(Table1[[#This Row],[Visitor_Name]])</f>
        <v>5</v>
      </c>
      <c r="S116">
        <f>ROUND(Table1[[#This Row],[Rating]],0)</f>
        <v>3</v>
      </c>
      <c r="T116" t="s">
        <v>72</v>
      </c>
      <c r="U116" t="s">
        <v>60</v>
      </c>
      <c r="V116" s="5" t="s">
        <v>11</v>
      </c>
      <c r="W116">
        <v>181</v>
      </c>
    </row>
    <row r="117" spans="1:23" x14ac:dyDescent="0.25">
      <c r="A117">
        <v>1116</v>
      </c>
      <c r="B117" t="s">
        <v>92</v>
      </c>
      <c r="C117" t="s">
        <v>80</v>
      </c>
      <c r="D117" t="s">
        <v>20</v>
      </c>
      <c r="E117" s="1">
        <v>45423</v>
      </c>
      <c r="F117">
        <v>161</v>
      </c>
      <c r="G117" t="s">
        <v>25</v>
      </c>
      <c r="H117">
        <v>4</v>
      </c>
      <c r="I117">
        <v>320</v>
      </c>
      <c r="J117" t="s">
        <v>37</v>
      </c>
      <c r="L117" t="str" cm="1">
        <f t="array" ref="L117">_xlfn.IFS(H117&lt;=2,"bad",H117&lt;=2.5,"neutral",H117&gt;2.5,"good")</f>
        <v>good</v>
      </c>
      <c r="M117" t="str" cm="1">
        <f t="array" ref="M117">_xlfn.IFS(F117&lt;30,"short",F117&lt;90,"medium",F117&lt;180,"long",F117&gt;180,"very long")</f>
        <v>long</v>
      </c>
      <c r="N117" t="str">
        <f>LEFT(Table1[[#This Row],[Activity_Type]],3)</f>
        <v>Hik</v>
      </c>
      <c r="O117" t="str">
        <f>UPPER(Table1[[#This Row],[Column2]])</f>
        <v>MEHTA</v>
      </c>
      <c r="P117">
        <f>LEN(Table1[[#This Row],[Visitor_Name]])</f>
        <v>5</v>
      </c>
      <c r="S117">
        <f>ROUND(Table1[[#This Row],[Rating]],0)</f>
        <v>4</v>
      </c>
      <c r="T117" t="s">
        <v>68</v>
      </c>
      <c r="U117" t="s">
        <v>62</v>
      </c>
      <c r="V117" s="5" t="s">
        <v>11</v>
      </c>
      <c r="W117">
        <v>181</v>
      </c>
    </row>
    <row r="118" spans="1:23" x14ac:dyDescent="0.25">
      <c r="A118">
        <v>1117</v>
      </c>
      <c r="B118" t="s">
        <v>90</v>
      </c>
      <c r="C118" t="s">
        <v>80</v>
      </c>
      <c r="D118" t="s">
        <v>19</v>
      </c>
      <c r="E118" s="1">
        <v>45635</v>
      </c>
      <c r="F118">
        <v>173</v>
      </c>
      <c r="G118" t="s">
        <v>27</v>
      </c>
      <c r="H118">
        <v>4.0999999999999996</v>
      </c>
      <c r="I118">
        <v>449</v>
      </c>
      <c r="J118" t="s">
        <v>30</v>
      </c>
      <c r="L118" t="str" cm="1">
        <f t="array" ref="L118">_xlfn.IFS(H118&lt;=2,"bad",H118&lt;=2.5,"neutral",H118&gt;2.5,"good")</f>
        <v>good</v>
      </c>
      <c r="M118" t="str" cm="1">
        <f t="array" ref="M118">_xlfn.IFS(F118&lt;30,"short",F118&lt;90,"medium",F118&lt;180,"long",F118&gt;180,"very long")</f>
        <v>long</v>
      </c>
      <c r="N118" t="str">
        <f>LEFT(Table1[[#This Row],[Activity_Type]],3)</f>
        <v>Saf</v>
      </c>
      <c r="O118" t="str">
        <f>UPPER(Table1[[#This Row],[Column2]])</f>
        <v>MEHTA</v>
      </c>
      <c r="P118">
        <f>LEN(Table1[[#This Row],[Visitor_Name]])</f>
        <v>5</v>
      </c>
      <c r="S118">
        <f>ROUND(Table1[[#This Row],[Rating]],0)</f>
        <v>4</v>
      </c>
      <c r="T118" t="s">
        <v>68</v>
      </c>
      <c r="U118" t="s">
        <v>60</v>
      </c>
      <c r="V118" s="5" t="s">
        <v>15</v>
      </c>
      <c r="W118">
        <v>182</v>
      </c>
    </row>
    <row r="119" spans="1:23" x14ac:dyDescent="0.25">
      <c r="A119">
        <v>1118</v>
      </c>
      <c r="B119" t="s">
        <v>90</v>
      </c>
      <c r="C119" t="s">
        <v>81</v>
      </c>
      <c r="D119" t="s">
        <v>20</v>
      </c>
      <c r="E119" s="1">
        <v>45410</v>
      </c>
      <c r="F119">
        <v>76</v>
      </c>
      <c r="G119" t="s">
        <v>24</v>
      </c>
      <c r="H119">
        <v>4.4000000000000004</v>
      </c>
      <c r="I119">
        <v>171</v>
      </c>
      <c r="J119" t="s">
        <v>30</v>
      </c>
      <c r="L119" t="str" cm="1">
        <f t="array" ref="L119">_xlfn.IFS(H119&lt;=2,"bad",H119&lt;=2.5,"neutral",H119&gt;2.5,"good")</f>
        <v>good</v>
      </c>
      <c r="M119" t="str" cm="1">
        <f t="array" ref="M119">_xlfn.IFS(F119&lt;30,"short",F119&lt;90,"medium",F119&lt;180,"long",F119&gt;180,"very long")</f>
        <v>medium</v>
      </c>
      <c r="N119" t="str">
        <f>LEFT(Table1[[#This Row],[Activity_Type]],3)</f>
        <v>Hik</v>
      </c>
      <c r="O119" t="str">
        <f>UPPER(Table1[[#This Row],[Column2]])</f>
        <v>PATEL</v>
      </c>
      <c r="P119">
        <f>LEN(Table1[[#This Row],[Visitor_Name]])</f>
        <v>5</v>
      </c>
      <c r="S119">
        <f>ROUND(Table1[[#This Row],[Rating]],0)</f>
        <v>4</v>
      </c>
      <c r="T119" t="s">
        <v>69</v>
      </c>
      <c r="U119" t="s">
        <v>60</v>
      </c>
      <c r="V119" s="5" t="s">
        <v>13</v>
      </c>
      <c r="W119">
        <v>185</v>
      </c>
    </row>
    <row r="120" spans="1:23" x14ac:dyDescent="0.25">
      <c r="A120">
        <v>1119</v>
      </c>
      <c r="B120" t="s">
        <v>94</v>
      </c>
      <c r="C120" t="s">
        <v>85</v>
      </c>
      <c r="D120" t="s">
        <v>18</v>
      </c>
      <c r="E120" s="1">
        <v>45432</v>
      </c>
      <c r="F120">
        <v>223</v>
      </c>
      <c r="G120" t="s">
        <v>26</v>
      </c>
      <c r="H120">
        <v>3.1</v>
      </c>
      <c r="I120">
        <v>224</v>
      </c>
      <c r="J120" t="s">
        <v>30</v>
      </c>
      <c r="L120" t="str" cm="1">
        <f t="array" ref="L120">_xlfn.IFS(H120&lt;=2,"bad",H120&lt;=2.5,"neutral",H120&gt;2.5,"good")</f>
        <v>good</v>
      </c>
      <c r="M120" t="str" cm="1">
        <f t="array" ref="M120">_xlfn.IFS(F120&lt;30,"short",F120&lt;90,"medium",F120&lt;180,"long",F120&gt;180,"very long")</f>
        <v>very long</v>
      </c>
      <c r="N120" t="str">
        <f>LEFT(Table1[[#This Row],[Activity_Type]],3)</f>
        <v>Pho</v>
      </c>
      <c r="O120" t="str">
        <f>UPPER(Table1[[#This Row],[Column2]])</f>
        <v>DAS</v>
      </c>
      <c r="P120">
        <f>LEN(Table1[[#This Row],[Visitor_Name]])</f>
        <v>5</v>
      </c>
      <c r="S120">
        <f>ROUND(Table1[[#This Row],[Rating]],0)</f>
        <v>3</v>
      </c>
      <c r="T120" t="s">
        <v>71</v>
      </c>
      <c r="U120" t="s">
        <v>64</v>
      </c>
      <c r="V120" s="5" t="s">
        <v>10</v>
      </c>
      <c r="W120">
        <v>186</v>
      </c>
    </row>
    <row r="121" spans="1:23" x14ac:dyDescent="0.25">
      <c r="A121">
        <v>1120</v>
      </c>
      <c r="B121" t="s">
        <v>88</v>
      </c>
      <c r="C121" t="s">
        <v>96</v>
      </c>
      <c r="D121" t="s">
        <v>19</v>
      </c>
      <c r="E121" s="1">
        <v>45305</v>
      </c>
      <c r="F121">
        <v>78</v>
      </c>
      <c r="G121" t="s">
        <v>27</v>
      </c>
      <c r="H121">
        <v>3.7</v>
      </c>
      <c r="I121">
        <v>194</v>
      </c>
      <c r="J121" t="s">
        <v>32</v>
      </c>
      <c r="L121" t="str" cm="1">
        <f t="array" ref="L121">_xlfn.IFS(H121&lt;=2,"bad",H121&lt;=2.5,"neutral",H121&gt;2.5,"good")</f>
        <v>good</v>
      </c>
      <c r="M121" t="str" cm="1">
        <f t="array" ref="M121">_xlfn.IFS(F121&lt;30,"short",F121&lt;90,"medium",F121&lt;180,"long",F121&gt;180,"very long")</f>
        <v>medium</v>
      </c>
      <c r="N121" t="str">
        <f>LEFT(Table1[[#This Row],[Activity_Type]],3)</f>
        <v>Saf</v>
      </c>
      <c r="O121" t="str">
        <f>UPPER(Table1[[#This Row],[Column2]])</f>
        <v>SHARMA</v>
      </c>
      <c r="P121">
        <f>LEN(Table1[[#This Row],[Visitor_Name]])</f>
        <v>6</v>
      </c>
      <c r="S121">
        <f>ROUND(Table1[[#This Row],[Rating]],0)</f>
        <v>4</v>
      </c>
      <c r="T121" t="s">
        <v>76</v>
      </c>
      <c r="U121" t="s">
        <v>67</v>
      </c>
      <c r="V121" s="5" t="s">
        <v>16</v>
      </c>
      <c r="W121">
        <v>187</v>
      </c>
    </row>
    <row r="122" spans="1:23" x14ac:dyDescent="0.25">
      <c r="A122">
        <v>1121</v>
      </c>
      <c r="B122" t="s">
        <v>88</v>
      </c>
      <c r="C122" t="s">
        <v>98</v>
      </c>
      <c r="D122" t="s">
        <v>21</v>
      </c>
      <c r="E122" s="1">
        <v>45427</v>
      </c>
      <c r="F122">
        <v>150</v>
      </c>
      <c r="G122" t="s">
        <v>26</v>
      </c>
      <c r="H122">
        <v>3</v>
      </c>
      <c r="I122">
        <v>368</v>
      </c>
      <c r="J122" t="s">
        <v>31</v>
      </c>
      <c r="L122" t="str" cm="1">
        <f t="array" ref="L122">_xlfn.IFS(H122&lt;=2,"bad",H122&lt;=2.5,"neutral",H122&gt;2.5,"good")</f>
        <v>good</v>
      </c>
      <c r="M122" t="str" cm="1">
        <f t="array" ref="M122">_xlfn.IFS(F122&lt;30,"short",F122&lt;90,"medium",F122&lt;180,"long",F122&gt;180,"very long")</f>
        <v>long</v>
      </c>
      <c r="N122" t="str">
        <f>LEFT(Table1[[#This Row],[Activity_Type]],3)</f>
        <v>Bir</v>
      </c>
      <c r="O122" t="str">
        <f>UPPER(Table1[[#This Row],[Column2]])</f>
        <v>REDDY</v>
      </c>
      <c r="P122">
        <f>LEN(Table1[[#This Row],[Visitor_Name]])</f>
        <v>6</v>
      </c>
      <c r="S122">
        <f>ROUND(Table1[[#This Row],[Rating]],0)</f>
        <v>3</v>
      </c>
      <c r="T122" t="s">
        <v>77</v>
      </c>
      <c r="U122" t="s">
        <v>67</v>
      </c>
      <c r="V122" s="5" t="s">
        <v>11</v>
      </c>
      <c r="W122">
        <v>188</v>
      </c>
    </row>
    <row r="123" spans="1:23" x14ac:dyDescent="0.25">
      <c r="A123">
        <v>1122</v>
      </c>
      <c r="B123" t="s">
        <v>92</v>
      </c>
      <c r="C123" t="s">
        <v>93</v>
      </c>
      <c r="D123" t="s">
        <v>20</v>
      </c>
      <c r="E123" s="1">
        <v>45332</v>
      </c>
      <c r="F123">
        <v>146</v>
      </c>
      <c r="G123" t="s">
        <v>26</v>
      </c>
      <c r="H123">
        <v>3.6</v>
      </c>
      <c r="I123">
        <v>153</v>
      </c>
      <c r="J123" t="s">
        <v>28</v>
      </c>
      <c r="L123" t="str" cm="1">
        <f t="array" ref="L123">_xlfn.IFS(H123&lt;=2,"bad",H123&lt;=2.5,"neutral",H123&gt;2.5,"good")</f>
        <v>good</v>
      </c>
      <c r="M123" t="str" cm="1">
        <f t="array" ref="M123">_xlfn.IFS(F123&lt;30,"short",F123&lt;90,"medium",F123&lt;180,"long",F123&gt;180,"very long")</f>
        <v>long</v>
      </c>
      <c r="N123" t="str">
        <f>LEFT(Table1[[#This Row],[Activity_Type]],3)</f>
        <v>Hik</v>
      </c>
      <c r="O123" t="str">
        <f>UPPER(Table1[[#This Row],[Column2]])</f>
        <v>IYER</v>
      </c>
      <c r="P123">
        <f>LEN(Table1[[#This Row],[Visitor_Name]])</f>
        <v>5</v>
      </c>
      <c r="S123">
        <f>ROUND(Table1[[#This Row],[Rating]],0)</f>
        <v>4</v>
      </c>
      <c r="T123" t="s">
        <v>74</v>
      </c>
      <c r="U123" t="s">
        <v>62</v>
      </c>
      <c r="V123" s="5" t="s">
        <v>13</v>
      </c>
      <c r="W123">
        <v>191</v>
      </c>
    </row>
    <row r="124" spans="1:23" x14ac:dyDescent="0.25">
      <c r="A124">
        <v>1123</v>
      </c>
      <c r="B124" t="s">
        <v>82</v>
      </c>
      <c r="C124" t="s">
        <v>96</v>
      </c>
      <c r="D124" t="s">
        <v>21</v>
      </c>
      <c r="E124" s="1">
        <v>45546</v>
      </c>
      <c r="F124">
        <v>187</v>
      </c>
      <c r="G124" t="s">
        <v>27</v>
      </c>
      <c r="H124">
        <v>2.9</v>
      </c>
      <c r="I124">
        <v>261</v>
      </c>
      <c r="J124" t="s">
        <v>36</v>
      </c>
      <c r="L124" t="str" cm="1">
        <f t="array" ref="L124">_xlfn.IFS(H124&lt;=2,"bad",H124&lt;=2.5,"neutral",H124&gt;2.5,"good")</f>
        <v>good</v>
      </c>
      <c r="M124" t="str" cm="1">
        <f t="array" ref="M124">_xlfn.IFS(F124&lt;30,"short",F124&lt;90,"medium",F124&lt;180,"long",F124&gt;180,"very long")</f>
        <v>very long</v>
      </c>
      <c r="N124" t="str">
        <f>LEFT(Table1[[#This Row],[Activity_Type]],3)</f>
        <v>Bir</v>
      </c>
      <c r="O124" t="str">
        <f>UPPER(Table1[[#This Row],[Column2]])</f>
        <v>SHARMA</v>
      </c>
      <c r="P124">
        <f>LEN(Table1[[#This Row],[Visitor_Name]])</f>
        <v>5</v>
      </c>
      <c r="S124">
        <f>ROUND(Table1[[#This Row],[Rating]],0)</f>
        <v>3</v>
      </c>
      <c r="T124" t="s">
        <v>76</v>
      </c>
      <c r="U124" t="s">
        <v>59</v>
      </c>
      <c r="V124" s="5" t="s">
        <v>16</v>
      </c>
      <c r="W124">
        <v>194</v>
      </c>
    </row>
    <row r="125" spans="1:23" x14ac:dyDescent="0.25">
      <c r="A125">
        <v>1124</v>
      </c>
      <c r="B125" t="s">
        <v>84</v>
      </c>
      <c r="C125" t="s">
        <v>81</v>
      </c>
      <c r="D125" t="s">
        <v>21</v>
      </c>
      <c r="E125" s="1">
        <v>45366</v>
      </c>
      <c r="F125">
        <v>54</v>
      </c>
      <c r="G125" t="s">
        <v>24</v>
      </c>
      <c r="H125">
        <v>4.4000000000000004</v>
      </c>
      <c r="I125">
        <v>167</v>
      </c>
      <c r="J125" t="s">
        <v>37</v>
      </c>
      <c r="L125" t="str" cm="1">
        <f t="array" ref="L125">_xlfn.IFS(H125&lt;=2,"bad",H125&lt;=2.5,"neutral",H125&gt;2.5,"good")</f>
        <v>good</v>
      </c>
      <c r="M125" t="str" cm="1">
        <f t="array" ref="M125">_xlfn.IFS(F125&lt;30,"short",F125&lt;90,"medium",F125&lt;180,"long",F125&gt;180,"very long")</f>
        <v>medium</v>
      </c>
      <c r="N125" t="str">
        <f>LEFT(Table1[[#This Row],[Activity_Type]],3)</f>
        <v>Bir</v>
      </c>
      <c r="O125" t="str">
        <f>UPPER(Table1[[#This Row],[Column2]])</f>
        <v>PATEL</v>
      </c>
      <c r="P125">
        <f>LEN(Table1[[#This Row],[Visitor_Name]])</f>
        <v>5</v>
      </c>
      <c r="S125">
        <f>ROUND(Table1[[#This Row],[Rating]],0)</f>
        <v>4</v>
      </c>
      <c r="T125" t="s">
        <v>69</v>
      </c>
      <c r="U125" t="s">
        <v>63</v>
      </c>
      <c r="V125" s="5" t="s">
        <v>16</v>
      </c>
      <c r="W125">
        <v>196</v>
      </c>
    </row>
    <row r="126" spans="1:23" x14ac:dyDescent="0.25">
      <c r="A126">
        <v>1125</v>
      </c>
      <c r="B126" t="s">
        <v>79</v>
      </c>
      <c r="C126" t="s">
        <v>98</v>
      </c>
      <c r="D126" t="s">
        <v>23</v>
      </c>
      <c r="E126" s="1">
        <v>45423</v>
      </c>
      <c r="F126">
        <v>39</v>
      </c>
      <c r="G126" t="s">
        <v>24</v>
      </c>
      <c r="H126">
        <v>2.5</v>
      </c>
      <c r="I126">
        <v>498</v>
      </c>
      <c r="J126" t="s">
        <v>36</v>
      </c>
      <c r="L126" t="str" cm="1">
        <f t="array" ref="L126">_xlfn.IFS(H126&lt;=2,"bad",H126&lt;=2.5,"neutral",H126&gt;2.5,"good")</f>
        <v>neutral</v>
      </c>
      <c r="M126" t="str" cm="1">
        <f t="array" ref="M126">_xlfn.IFS(F126&lt;30,"short",F126&lt;90,"medium",F126&lt;180,"long",F126&gt;180,"very long")</f>
        <v>medium</v>
      </c>
      <c r="N126" t="str">
        <f>LEFT(Table1[[#This Row],[Activity_Type]],3)</f>
        <v>Boa</v>
      </c>
      <c r="O126" t="str">
        <f>UPPER(Table1[[#This Row],[Column2]])</f>
        <v>REDDY</v>
      </c>
      <c r="P126">
        <f>LEN(Table1[[#This Row],[Visitor_Name]])</f>
        <v>5</v>
      </c>
      <c r="S126">
        <f>ROUND(Table1[[#This Row],[Rating]],0)</f>
        <v>3</v>
      </c>
      <c r="T126" t="s">
        <v>77</v>
      </c>
      <c r="U126" t="s">
        <v>58</v>
      </c>
      <c r="V126" s="5" t="s">
        <v>10</v>
      </c>
      <c r="W126">
        <v>203</v>
      </c>
    </row>
    <row r="127" spans="1:23" x14ac:dyDescent="0.25">
      <c r="A127">
        <v>1126</v>
      </c>
      <c r="B127" t="s">
        <v>94</v>
      </c>
      <c r="C127" t="s">
        <v>80</v>
      </c>
      <c r="D127" t="s">
        <v>21</v>
      </c>
      <c r="E127" s="1">
        <v>45384</v>
      </c>
      <c r="F127">
        <v>230</v>
      </c>
      <c r="G127" t="s">
        <v>24</v>
      </c>
      <c r="H127">
        <v>3.5</v>
      </c>
      <c r="I127">
        <v>169</v>
      </c>
      <c r="J127" t="s">
        <v>30</v>
      </c>
      <c r="L127" t="str" cm="1">
        <f t="array" ref="L127">_xlfn.IFS(H127&lt;=2,"bad",H127&lt;=2.5,"neutral",H127&gt;2.5,"good")</f>
        <v>good</v>
      </c>
      <c r="M127" t="str" cm="1">
        <f t="array" ref="M127">_xlfn.IFS(F127&lt;30,"short",F127&lt;90,"medium",F127&lt;180,"long",F127&gt;180,"very long")</f>
        <v>very long</v>
      </c>
      <c r="N127" t="str">
        <f>LEFT(Table1[[#This Row],[Activity_Type]],3)</f>
        <v>Bir</v>
      </c>
      <c r="O127" t="str">
        <f>UPPER(Table1[[#This Row],[Column2]])</f>
        <v>MEHTA</v>
      </c>
      <c r="P127">
        <f>LEN(Table1[[#This Row],[Visitor_Name]])</f>
        <v>5</v>
      </c>
      <c r="S127">
        <f>ROUND(Table1[[#This Row],[Rating]],0)</f>
        <v>4</v>
      </c>
      <c r="T127" t="s">
        <v>68</v>
      </c>
      <c r="U127" t="s">
        <v>64</v>
      </c>
      <c r="V127" s="5" t="s">
        <v>11</v>
      </c>
      <c r="W127">
        <v>205</v>
      </c>
    </row>
    <row r="128" spans="1:23" x14ac:dyDescent="0.25">
      <c r="A128">
        <v>1127</v>
      </c>
      <c r="B128" t="s">
        <v>86</v>
      </c>
      <c r="C128" t="s">
        <v>83</v>
      </c>
      <c r="D128" t="s">
        <v>18</v>
      </c>
      <c r="E128" s="1">
        <v>45562</v>
      </c>
      <c r="F128">
        <v>51</v>
      </c>
      <c r="G128" t="s">
        <v>25</v>
      </c>
      <c r="H128">
        <v>4.3</v>
      </c>
      <c r="I128">
        <v>170</v>
      </c>
      <c r="J128" t="s">
        <v>32</v>
      </c>
      <c r="L128" t="str" cm="1">
        <f t="array" ref="L128">_xlfn.IFS(H128&lt;=2,"bad",H128&lt;=2.5,"neutral",H128&gt;2.5,"good")</f>
        <v>good</v>
      </c>
      <c r="M128" t="str" cm="1">
        <f t="array" ref="M128">_xlfn.IFS(F128&lt;30,"short",F128&lt;90,"medium",F128&lt;180,"long",F128&gt;180,"very long")</f>
        <v>medium</v>
      </c>
      <c r="N128" t="str">
        <f>LEFT(Table1[[#This Row],[Activity_Type]],3)</f>
        <v>Pho</v>
      </c>
      <c r="O128" t="str">
        <f>UPPER(Table1[[#This Row],[Column2]])</f>
        <v>NAIR</v>
      </c>
      <c r="P128">
        <f>LEN(Table1[[#This Row],[Visitor_Name]])</f>
        <v>6</v>
      </c>
      <c r="S128">
        <f>ROUND(Table1[[#This Row],[Rating]],0)</f>
        <v>4</v>
      </c>
      <c r="T128" t="s">
        <v>70</v>
      </c>
      <c r="U128" t="s">
        <v>66</v>
      </c>
      <c r="V128" s="5" t="s">
        <v>17</v>
      </c>
      <c r="W128">
        <v>217</v>
      </c>
    </row>
    <row r="129" spans="1:23" x14ac:dyDescent="0.25">
      <c r="A129">
        <v>1128</v>
      </c>
      <c r="B129" t="s">
        <v>88</v>
      </c>
      <c r="C129" t="s">
        <v>85</v>
      </c>
      <c r="D129" t="s">
        <v>18</v>
      </c>
      <c r="E129" s="1">
        <v>45531</v>
      </c>
      <c r="F129">
        <v>181</v>
      </c>
      <c r="G129" t="s">
        <v>27</v>
      </c>
      <c r="H129">
        <v>3.7</v>
      </c>
      <c r="I129">
        <v>329</v>
      </c>
      <c r="J129" t="s">
        <v>30</v>
      </c>
      <c r="L129" t="str" cm="1">
        <f t="array" ref="L129">_xlfn.IFS(H129&lt;=2,"bad",H129&lt;=2.5,"neutral",H129&gt;2.5,"good")</f>
        <v>good</v>
      </c>
      <c r="M129" t="str" cm="1">
        <f t="array" ref="M129">_xlfn.IFS(F129&lt;30,"short",F129&lt;90,"medium",F129&lt;180,"long",F129&gt;180,"very long")</f>
        <v>very long</v>
      </c>
      <c r="N129" t="str">
        <f>LEFT(Table1[[#This Row],[Activity_Type]],3)</f>
        <v>Pho</v>
      </c>
      <c r="O129" t="str">
        <f>UPPER(Table1[[#This Row],[Column2]])</f>
        <v>DAS</v>
      </c>
      <c r="P129">
        <f>LEN(Table1[[#This Row],[Visitor_Name]])</f>
        <v>6</v>
      </c>
      <c r="S129">
        <f>ROUND(Table1[[#This Row],[Rating]],0)</f>
        <v>4</v>
      </c>
      <c r="T129" t="s">
        <v>71</v>
      </c>
      <c r="U129" t="s">
        <v>67</v>
      </c>
      <c r="V129" s="5" t="s">
        <v>13</v>
      </c>
      <c r="W129">
        <v>220</v>
      </c>
    </row>
    <row r="130" spans="1:23" x14ac:dyDescent="0.25">
      <c r="A130">
        <v>1129</v>
      </c>
      <c r="B130" t="s">
        <v>92</v>
      </c>
      <c r="C130" t="s">
        <v>87</v>
      </c>
      <c r="D130" t="s">
        <v>18</v>
      </c>
      <c r="E130" s="1">
        <v>45614</v>
      </c>
      <c r="F130">
        <v>68</v>
      </c>
      <c r="G130" t="s">
        <v>25</v>
      </c>
      <c r="H130">
        <v>3.1</v>
      </c>
      <c r="I130">
        <v>196</v>
      </c>
      <c r="J130" t="s">
        <v>37</v>
      </c>
      <c r="L130" t="str" cm="1">
        <f t="array" ref="L130">_xlfn.IFS(H130&lt;=2,"bad",H130&lt;=2.5,"neutral",H130&gt;2.5,"good")</f>
        <v>good</v>
      </c>
      <c r="M130" t="str" cm="1">
        <f t="array" ref="M130">_xlfn.IFS(F130&lt;30,"short",F130&lt;90,"medium",F130&lt;180,"long",F130&gt;180,"very long")</f>
        <v>medium</v>
      </c>
      <c r="N130" t="str">
        <f>LEFT(Table1[[#This Row],[Activity_Type]],3)</f>
        <v>Pho</v>
      </c>
      <c r="O130" t="str">
        <f>UPPER(Table1[[#This Row],[Column2]])</f>
        <v>VERMA</v>
      </c>
      <c r="P130">
        <f>LEN(Table1[[#This Row],[Visitor_Name]])</f>
        <v>5</v>
      </c>
      <c r="S130">
        <f>ROUND(Table1[[#This Row],[Rating]],0)</f>
        <v>3</v>
      </c>
      <c r="T130" t="s">
        <v>72</v>
      </c>
      <c r="U130" t="s">
        <v>62</v>
      </c>
      <c r="V130" s="5" t="s">
        <v>16</v>
      </c>
      <c r="W130">
        <v>222</v>
      </c>
    </row>
    <row r="131" spans="1:23" x14ac:dyDescent="0.25">
      <c r="A131">
        <v>1130</v>
      </c>
      <c r="B131" t="s">
        <v>91</v>
      </c>
      <c r="C131" t="s">
        <v>83</v>
      </c>
      <c r="D131" t="s">
        <v>19</v>
      </c>
      <c r="E131" s="1">
        <v>45644</v>
      </c>
      <c r="F131">
        <v>220</v>
      </c>
      <c r="G131" t="s">
        <v>25</v>
      </c>
      <c r="H131">
        <v>3.6</v>
      </c>
      <c r="I131">
        <v>328</v>
      </c>
      <c r="J131" t="s">
        <v>36</v>
      </c>
      <c r="L131" t="str" cm="1">
        <f t="array" ref="L131">_xlfn.IFS(H131&lt;=2,"bad",H131&lt;=2.5,"neutral",H131&gt;2.5,"good")</f>
        <v>good</v>
      </c>
      <c r="M131" t="str" cm="1">
        <f t="array" ref="M131">_xlfn.IFS(F131&lt;30,"short",F131&lt;90,"medium",F131&lt;180,"long",F131&gt;180,"very long")</f>
        <v>very long</v>
      </c>
      <c r="N131" t="str">
        <f>LEFT(Table1[[#This Row],[Activity_Type]],3)</f>
        <v>Saf</v>
      </c>
      <c r="O131" t="str">
        <f>UPPER(Table1[[#This Row],[Column2]])</f>
        <v>NAIR</v>
      </c>
      <c r="P131">
        <f>LEN(Table1[[#This Row],[Visitor_Name]])</f>
        <v>5</v>
      </c>
      <c r="S131">
        <f>ROUND(Table1[[#This Row],[Rating]],0)</f>
        <v>4</v>
      </c>
      <c r="T131" t="s">
        <v>70</v>
      </c>
      <c r="U131" t="s">
        <v>61</v>
      </c>
      <c r="V131" s="5" t="s">
        <v>12</v>
      </c>
      <c r="W131">
        <v>223</v>
      </c>
    </row>
    <row r="132" spans="1:23" x14ac:dyDescent="0.25">
      <c r="A132">
        <v>1131</v>
      </c>
      <c r="B132" t="s">
        <v>79</v>
      </c>
      <c r="C132" t="s">
        <v>83</v>
      </c>
      <c r="D132" t="s">
        <v>22</v>
      </c>
      <c r="E132" s="1">
        <v>45524</v>
      </c>
      <c r="F132">
        <v>143</v>
      </c>
      <c r="G132" t="s">
        <v>24</v>
      </c>
      <c r="H132">
        <v>4.8</v>
      </c>
      <c r="I132">
        <v>119</v>
      </c>
      <c r="J132" t="s">
        <v>31</v>
      </c>
      <c r="L132" t="str" cm="1">
        <f t="array" ref="L132">_xlfn.IFS(H132&lt;=2,"bad",H132&lt;=2.5,"neutral",H132&gt;2.5,"good")</f>
        <v>good</v>
      </c>
      <c r="M132" t="str" cm="1">
        <f t="array" ref="M132">_xlfn.IFS(F132&lt;30,"short",F132&lt;90,"medium",F132&lt;180,"long",F132&gt;180,"very long")</f>
        <v>long</v>
      </c>
      <c r="N132" t="str">
        <f>LEFT(Table1[[#This Row],[Activity_Type]],3)</f>
        <v>Cam</v>
      </c>
      <c r="O132" t="str">
        <f>UPPER(Table1[[#This Row],[Column2]])</f>
        <v>NAIR</v>
      </c>
      <c r="P132">
        <f>LEN(Table1[[#This Row],[Visitor_Name]])</f>
        <v>5</v>
      </c>
      <c r="S132">
        <f>ROUND(Table1[[#This Row],[Rating]],0)</f>
        <v>5</v>
      </c>
      <c r="T132" t="s">
        <v>70</v>
      </c>
      <c r="U132" t="s">
        <v>58</v>
      </c>
      <c r="V132" s="5" t="s">
        <v>15</v>
      </c>
      <c r="W132">
        <v>226</v>
      </c>
    </row>
    <row r="133" spans="1:23" x14ac:dyDescent="0.25">
      <c r="A133">
        <v>1132</v>
      </c>
      <c r="B133" t="s">
        <v>94</v>
      </c>
      <c r="C133" t="s">
        <v>98</v>
      </c>
      <c r="D133" t="s">
        <v>22</v>
      </c>
      <c r="E133" s="1">
        <v>45550</v>
      </c>
      <c r="F133">
        <v>240</v>
      </c>
      <c r="G133" t="s">
        <v>25</v>
      </c>
      <c r="H133">
        <v>4.0999999999999996</v>
      </c>
      <c r="I133">
        <v>348</v>
      </c>
      <c r="J133" t="s">
        <v>36</v>
      </c>
      <c r="L133" t="str" cm="1">
        <f t="array" ref="L133">_xlfn.IFS(H133&lt;=2,"bad",H133&lt;=2.5,"neutral",H133&gt;2.5,"good")</f>
        <v>good</v>
      </c>
      <c r="M133" t="str" cm="1">
        <f t="array" ref="M133">_xlfn.IFS(F133&lt;30,"short",F133&lt;90,"medium",F133&lt;180,"long",F133&gt;180,"very long")</f>
        <v>very long</v>
      </c>
      <c r="N133" t="str">
        <f>LEFT(Table1[[#This Row],[Activity_Type]],3)</f>
        <v>Cam</v>
      </c>
      <c r="O133" t="str">
        <f>UPPER(Table1[[#This Row],[Column2]])</f>
        <v>REDDY</v>
      </c>
      <c r="P133">
        <f>LEN(Table1[[#This Row],[Visitor_Name]])</f>
        <v>5</v>
      </c>
      <c r="S133">
        <f>ROUND(Table1[[#This Row],[Rating]],0)</f>
        <v>4</v>
      </c>
      <c r="T133" t="s">
        <v>77</v>
      </c>
      <c r="U133" t="s">
        <v>64</v>
      </c>
      <c r="V133" s="5" t="s">
        <v>12</v>
      </c>
      <c r="W133">
        <v>227</v>
      </c>
    </row>
    <row r="134" spans="1:23" x14ac:dyDescent="0.25">
      <c r="A134">
        <v>1133</v>
      </c>
      <c r="B134" t="s">
        <v>86</v>
      </c>
      <c r="C134" t="s">
        <v>98</v>
      </c>
      <c r="D134" t="s">
        <v>19</v>
      </c>
      <c r="E134" s="1">
        <v>45585</v>
      </c>
      <c r="F134">
        <v>57</v>
      </c>
      <c r="G134" t="s">
        <v>26</v>
      </c>
      <c r="H134">
        <v>3.4</v>
      </c>
      <c r="I134">
        <v>166</v>
      </c>
      <c r="J134" t="s">
        <v>29</v>
      </c>
      <c r="L134" t="str" cm="1">
        <f t="array" ref="L134">_xlfn.IFS(H134&lt;=2,"bad",H134&lt;=2.5,"neutral",H134&gt;2.5,"good")</f>
        <v>good</v>
      </c>
      <c r="M134" t="str" cm="1">
        <f t="array" ref="M134">_xlfn.IFS(F134&lt;30,"short",F134&lt;90,"medium",F134&lt;180,"long",F134&gt;180,"very long")</f>
        <v>medium</v>
      </c>
      <c r="N134" t="str">
        <f>LEFT(Table1[[#This Row],[Activity_Type]],3)</f>
        <v>Saf</v>
      </c>
      <c r="O134" t="str">
        <f>UPPER(Table1[[#This Row],[Column2]])</f>
        <v>REDDY</v>
      </c>
      <c r="P134">
        <f>LEN(Table1[[#This Row],[Visitor_Name]])</f>
        <v>6</v>
      </c>
      <c r="S134">
        <f>ROUND(Table1[[#This Row],[Rating]],0)</f>
        <v>3</v>
      </c>
      <c r="T134" t="s">
        <v>77</v>
      </c>
      <c r="U134" t="s">
        <v>66</v>
      </c>
      <c r="V134" s="5" t="s">
        <v>16</v>
      </c>
      <c r="W134">
        <v>230</v>
      </c>
    </row>
    <row r="135" spans="1:23" x14ac:dyDescent="0.25">
      <c r="A135">
        <v>1134</v>
      </c>
      <c r="B135" t="s">
        <v>90</v>
      </c>
      <c r="C135" t="s">
        <v>80</v>
      </c>
      <c r="D135" t="s">
        <v>19</v>
      </c>
      <c r="E135" s="1">
        <v>45602</v>
      </c>
      <c r="F135">
        <v>222</v>
      </c>
      <c r="G135" t="s">
        <v>27</v>
      </c>
      <c r="H135">
        <v>2.5</v>
      </c>
      <c r="I135">
        <v>471</v>
      </c>
      <c r="J135" t="s">
        <v>28</v>
      </c>
      <c r="L135" t="str" cm="1">
        <f t="array" ref="L135">_xlfn.IFS(H135&lt;=2,"bad",H135&lt;=2.5,"neutral",H135&gt;2.5,"good")</f>
        <v>neutral</v>
      </c>
      <c r="M135" t="str" cm="1">
        <f t="array" ref="M135">_xlfn.IFS(F135&lt;30,"short",F135&lt;90,"medium",F135&lt;180,"long",F135&gt;180,"very long")</f>
        <v>very long</v>
      </c>
      <c r="N135" t="str">
        <f>LEFT(Table1[[#This Row],[Activity_Type]],3)</f>
        <v>Saf</v>
      </c>
      <c r="O135" t="str">
        <f>UPPER(Table1[[#This Row],[Column2]])</f>
        <v>MEHTA</v>
      </c>
      <c r="P135">
        <f>LEN(Table1[[#This Row],[Visitor_Name]])</f>
        <v>5</v>
      </c>
      <c r="S135">
        <f>ROUND(Table1[[#This Row],[Rating]],0)</f>
        <v>3</v>
      </c>
      <c r="T135" t="s">
        <v>68</v>
      </c>
      <c r="U135" t="s">
        <v>60</v>
      </c>
      <c r="V135" s="5" t="s">
        <v>12</v>
      </c>
      <c r="W135">
        <v>230</v>
      </c>
    </row>
    <row r="136" spans="1:23" x14ac:dyDescent="0.25">
      <c r="A136">
        <v>1135</v>
      </c>
      <c r="B136" t="s">
        <v>97</v>
      </c>
      <c r="C136" t="s">
        <v>87</v>
      </c>
      <c r="D136" t="s">
        <v>21</v>
      </c>
      <c r="E136" s="1">
        <v>45524</v>
      </c>
      <c r="F136">
        <v>26</v>
      </c>
      <c r="G136" t="s">
        <v>27</v>
      </c>
      <c r="H136">
        <v>3.3</v>
      </c>
      <c r="I136">
        <v>298</v>
      </c>
      <c r="J136" t="s">
        <v>30</v>
      </c>
      <c r="L136" t="str" cm="1">
        <f t="array" ref="L136">_xlfn.IFS(H136&lt;=2,"bad",H136&lt;=2.5,"neutral",H136&gt;2.5,"good")</f>
        <v>good</v>
      </c>
      <c r="M136" t="str" cm="1">
        <f t="array" ref="M136">_xlfn.IFS(F136&lt;30,"short",F136&lt;90,"medium",F136&lt;180,"long",F136&gt;180,"very long")</f>
        <v>short</v>
      </c>
      <c r="N136" t="str">
        <f>LEFT(Table1[[#This Row],[Activity_Type]],3)</f>
        <v>Bir</v>
      </c>
      <c r="O136" t="str">
        <f>UPPER(Table1[[#This Row],[Column2]])</f>
        <v>VERMA</v>
      </c>
      <c r="P136">
        <f>LEN(Table1[[#This Row],[Visitor_Name]])</f>
        <v>5</v>
      </c>
      <c r="S136">
        <f>ROUND(Table1[[#This Row],[Rating]],0)</f>
        <v>3</v>
      </c>
      <c r="T136" t="s">
        <v>72</v>
      </c>
      <c r="U136" t="s">
        <v>65</v>
      </c>
      <c r="V136" s="5" t="s">
        <v>15</v>
      </c>
      <c r="W136">
        <v>232</v>
      </c>
    </row>
    <row r="137" spans="1:23" x14ac:dyDescent="0.25">
      <c r="A137">
        <v>1136</v>
      </c>
      <c r="B137" t="s">
        <v>82</v>
      </c>
      <c r="C137" t="s">
        <v>93</v>
      </c>
      <c r="D137" t="s">
        <v>19</v>
      </c>
      <c r="E137" s="1">
        <v>45476</v>
      </c>
      <c r="F137">
        <v>205</v>
      </c>
      <c r="G137" t="s">
        <v>27</v>
      </c>
      <c r="H137">
        <v>2.6</v>
      </c>
      <c r="I137">
        <v>496</v>
      </c>
      <c r="J137" t="s">
        <v>32</v>
      </c>
      <c r="L137" t="str" cm="1">
        <f t="array" ref="L137">_xlfn.IFS(H137&lt;=2,"bad",H137&lt;=2.5,"neutral",H137&gt;2.5,"good")</f>
        <v>good</v>
      </c>
      <c r="M137" t="str" cm="1">
        <f t="array" ref="M137">_xlfn.IFS(F137&lt;30,"short",F137&lt;90,"medium",F137&lt;180,"long",F137&gt;180,"very long")</f>
        <v>very long</v>
      </c>
      <c r="N137" t="str">
        <f>LEFT(Table1[[#This Row],[Activity_Type]],3)</f>
        <v>Saf</v>
      </c>
      <c r="O137" t="str">
        <f>UPPER(Table1[[#This Row],[Column2]])</f>
        <v>IYER</v>
      </c>
      <c r="P137">
        <f>LEN(Table1[[#This Row],[Visitor_Name]])</f>
        <v>5</v>
      </c>
      <c r="S137">
        <f>ROUND(Table1[[#This Row],[Rating]],0)</f>
        <v>3</v>
      </c>
      <c r="T137" t="s">
        <v>74</v>
      </c>
      <c r="U137" t="s">
        <v>59</v>
      </c>
      <c r="V137" s="5" t="s">
        <v>14</v>
      </c>
      <c r="W137">
        <v>235</v>
      </c>
    </row>
    <row r="138" spans="1:23" x14ac:dyDescent="0.25">
      <c r="A138">
        <v>1137</v>
      </c>
      <c r="B138" t="s">
        <v>88</v>
      </c>
      <c r="C138" t="s">
        <v>95</v>
      </c>
      <c r="D138" t="s">
        <v>19</v>
      </c>
      <c r="E138" s="1">
        <v>45416</v>
      </c>
      <c r="F138">
        <v>61</v>
      </c>
      <c r="G138" t="s">
        <v>24</v>
      </c>
      <c r="H138">
        <v>2.8</v>
      </c>
      <c r="I138">
        <v>148</v>
      </c>
      <c r="J138" t="s">
        <v>31</v>
      </c>
      <c r="L138" t="str" cm="1">
        <f t="array" ref="L138">_xlfn.IFS(H138&lt;=2,"bad",H138&lt;=2.5,"neutral",H138&gt;2.5,"good")</f>
        <v>good</v>
      </c>
      <c r="M138" t="str" cm="1">
        <f t="array" ref="M138">_xlfn.IFS(F138&lt;30,"short",F138&lt;90,"medium",F138&lt;180,"long",F138&gt;180,"very long")</f>
        <v>medium</v>
      </c>
      <c r="N138" t="str">
        <f>LEFT(Table1[[#This Row],[Activity_Type]],3)</f>
        <v>Saf</v>
      </c>
      <c r="O138" t="str">
        <f>UPPER(Table1[[#This Row],[Column2]])</f>
        <v>SINGH</v>
      </c>
      <c r="P138">
        <f>LEN(Table1[[#This Row],[Visitor_Name]])</f>
        <v>6</v>
      </c>
      <c r="S138">
        <f>ROUND(Table1[[#This Row],[Rating]],0)</f>
        <v>3</v>
      </c>
      <c r="T138" t="s">
        <v>75</v>
      </c>
      <c r="U138" t="s">
        <v>67</v>
      </c>
      <c r="V138" s="5" t="s">
        <v>14</v>
      </c>
      <c r="W138">
        <v>240</v>
      </c>
    </row>
    <row r="139" spans="1:23" x14ac:dyDescent="0.25">
      <c r="A139">
        <v>1138</v>
      </c>
      <c r="B139" t="s">
        <v>92</v>
      </c>
      <c r="C139" t="s">
        <v>96</v>
      </c>
      <c r="D139" t="s">
        <v>21</v>
      </c>
      <c r="E139" s="1">
        <v>45489</v>
      </c>
      <c r="F139">
        <v>228</v>
      </c>
      <c r="G139" t="s">
        <v>24</v>
      </c>
      <c r="H139">
        <v>3.6</v>
      </c>
      <c r="I139">
        <v>190</v>
      </c>
      <c r="J139" t="s">
        <v>28</v>
      </c>
      <c r="L139" t="str" cm="1">
        <f t="array" ref="L139">_xlfn.IFS(H139&lt;=2,"bad",H139&lt;=2.5,"neutral",H139&gt;2.5,"good")</f>
        <v>good</v>
      </c>
      <c r="M139" t="str" cm="1">
        <f t="array" ref="M139">_xlfn.IFS(F139&lt;30,"short",F139&lt;90,"medium",F139&lt;180,"long",F139&gt;180,"very long")</f>
        <v>very long</v>
      </c>
      <c r="N139" t="str">
        <f>LEFT(Table1[[#This Row],[Activity_Type]],3)</f>
        <v>Bir</v>
      </c>
      <c r="O139" t="str">
        <f>UPPER(Table1[[#This Row],[Column2]])</f>
        <v>SHARMA</v>
      </c>
      <c r="P139">
        <f>LEN(Table1[[#This Row],[Visitor_Name]])</f>
        <v>5</v>
      </c>
      <c r="S139">
        <f>ROUND(Table1[[#This Row],[Rating]],0)</f>
        <v>4</v>
      </c>
      <c r="T139" t="s">
        <v>76</v>
      </c>
      <c r="U139" t="s">
        <v>62</v>
      </c>
      <c r="V139" s="5" t="s">
        <v>10</v>
      </c>
      <c r="W139">
        <v>24</v>
      </c>
    </row>
    <row r="140" spans="1:23" x14ac:dyDescent="0.25">
      <c r="A140">
        <v>1139</v>
      </c>
      <c r="B140" t="s">
        <v>92</v>
      </c>
      <c r="C140" t="s">
        <v>83</v>
      </c>
      <c r="D140" t="s">
        <v>21</v>
      </c>
      <c r="E140" s="1">
        <v>45449</v>
      </c>
      <c r="F140">
        <v>229</v>
      </c>
      <c r="G140" t="s">
        <v>25</v>
      </c>
      <c r="H140">
        <v>4.0999999999999996</v>
      </c>
      <c r="I140">
        <v>372</v>
      </c>
      <c r="J140" t="s">
        <v>28</v>
      </c>
      <c r="L140" t="str" cm="1">
        <f t="array" ref="L140">_xlfn.IFS(H140&lt;=2,"bad",H140&lt;=2.5,"neutral",H140&gt;2.5,"good")</f>
        <v>good</v>
      </c>
      <c r="M140" t="str" cm="1">
        <f t="array" ref="M140">_xlfn.IFS(F140&lt;30,"short",F140&lt;90,"medium",F140&lt;180,"long",F140&gt;180,"very long")</f>
        <v>very long</v>
      </c>
      <c r="N140" t="str">
        <f>LEFT(Table1[[#This Row],[Activity_Type]],3)</f>
        <v>Bir</v>
      </c>
      <c r="O140" t="str">
        <f>UPPER(Table1[[#This Row],[Column2]])</f>
        <v>NAIR</v>
      </c>
      <c r="P140">
        <f>LEN(Table1[[#This Row],[Visitor_Name]])</f>
        <v>5</v>
      </c>
      <c r="S140">
        <f>ROUND(Table1[[#This Row],[Rating]],0)</f>
        <v>4</v>
      </c>
      <c r="T140" t="s">
        <v>70</v>
      </c>
      <c r="U140" t="s">
        <v>62</v>
      </c>
      <c r="V140" s="5" t="s">
        <v>17</v>
      </c>
      <c r="W140">
        <v>24</v>
      </c>
    </row>
    <row r="141" spans="1:23" x14ac:dyDescent="0.25">
      <c r="A141">
        <v>1140</v>
      </c>
      <c r="B141" t="s">
        <v>84</v>
      </c>
      <c r="C141" t="s">
        <v>96</v>
      </c>
      <c r="D141" t="s">
        <v>22</v>
      </c>
      <c r="E141" s="1">
        <v>45336</v>
      </c>
      <c r="F141">
        <v>141</v>
      </c>
      <c r="G141" t="s">
        <v>27</v>
      </c>
      <c r="H141">
        <v>2.7</v>
      </c>
      <c r="I141">
        <v>268</v>
      </c>
      <c r="J141" t="s">
        <v>30</v>
      </c>
      <c r="L141" t="str" cm="1">
        <f t="array" ref="L141">_xlfn.IFS(H141&lt;=2,"bad",H141&lt;=2.5,"neutral",H141&gt;2.5,"good")</f>
        <v>good</v>
      </c>
      <c r="M141" t="str" cm="1">
        <f t="array" ref="M141">_xlfn.IFS(F141&lt;30,"short",F141&lt;90,"medium",F141&lt;180,"long",F141&gt;180,"very long")</f>
        <v>long</v>
      </c>
      <c r="N141" t="str">
        <f>LEFT(Table1[[#This Row],[Activity_Type]],3)</f>
        <v>Cam</v>
      </c>
      <c r="O141" t="str">
        <f>UPPER(Table1[[#This Row],[Column2]])</f>
        <v>SHARMA</v>
      </c>
      <c r="P141">
        <f>LEN(Table1[[#This Row],[Visitor_Name]])</f>
        <v>5</v>
      </c>
      <c r="S141">
        <f>ROUND(Table1[[#This Row],[Rating]],0)</f>
        <v>3</v>
      </c>
      <c r="T141" t="s">
        <v>76</v>
      </c>
      <c r="U141" t="s">
        <v>63</v>
      </c>
      <c r="V141" s="5" t="s">
        <v>10</v>
      </c>
      <c r="W141">
        <v>26</v>
      </c>
    </row>
    <row r="142" spans="1:23" x14ac:dyDescent="0.25">
      <c r="A142">
        <v>1141</v>
      </c>
      <c r="B142" t="s">
        <v>97</v>
      </c>
      <c r="C142" t="s">
        <v>83</v>
      </c>
      <c r="D142" t="s">
        <v>22</v>
      </c>
      <c r="E142" s="1">
        <v>45520</v>
      </c>
      <c r="F142">
        <v>112</v>
      </c>
      <c r="G142" t="s">
        <v>25</v>
      </c>
      <c r="H142">
        <v>3.3</v>
      </c>
      <c r="I142">
        <v>496</v>
      </c>
      <c r="J142" t="s">
        <v>34</v>
      </c>
      <c r="L142" t="str" cm="1">
        <f t="array" ref="L142">_xlfn.IFS(H142&lt;=2,"bad",H142&lt;=2.5,"neutral",H142&gt;2.5,"good")</f>
        <v>good</v>
      </c>
      <c r="M142" t="str" cm="1">
        <f t="array" ref="M142">_xlfn.IFS(F142&lt;30,"short",F142&lt;90,"medium",F142&lt;180,"long",F142&gt;180,"very long")</f>
        <v>long</v>
      </c>
      <c r="N142" t="str">
        <f>LEFT(Table1[[#This Row],[Activity_Type]],3)</f>
        <v>Cam</v>
      </c>
      <c r="O142" t="str">
        <f>UPPER(Table1[[#This Row],[Column2]])</f>
        <v>NAIR</v>
      </c>
      <c r="P142">
        <f>LEN(Table1[[#This Row],[Visitor_Name]])</f>
        <v>5</v>
      </c>
      <c r="S142">
        <f>ROUND(Table1[[#This Row],[Rating]],0)</f>
        <v>3</v>
      </c>
      <c r="T142" t="s">
        <v>70</v>
      </c>
      <c r="U142" t="s">
        <v>65</v>
      </c>
      <c r="V142" s="5" t="s">
        <v>12</v>
      </c>
      <c r="W142">
        <v>30</v>
      </c>
    </row>
    <row r="143" spans="1:23" x14ac:dyDescent="0.25">
      <c r="A143">
        <v>1142</v>
      </c>
      <c r="B143" t="s">
        <v>94</v>
      </c>
      <c r="C143" t="s">
        <v>95</v>
      </c>
      <c r="D143" t="s">
        <v>20</v>
      </c>
      <c r="E143" s="1">
        <v>45629</v>
      </c>
      <c r="F143">
        <v>66</v>
      </c>
      <c r="G143" t="s">
        <v>24</v>
      </c>
      <c r="H143">
        <v>3.1</v>
      </c>
      <c r="I143">
        <v>455</v>
      </c>
      <c r="J143" t="s">
        <v>35</v>
      </c>
      <c r="L143" t="str" cm="1">
        <f t="array" ref="L143">_xlfn.IFS(H143&lt;=2,"bad",H143&lt;=2.5,"neutral",H143&gt;2.5,"good")</f>
        <v>good</v>
      </c>
      <c r="M143" t="str" cm="1">
        <f t="array" ref="M143">_xlfn.IFS(F143&lt;30,"short",F143&lt;90,"medium",F143&lt;180,"long",F143&gt;180,"very long")</f>
        <v>medium</v>
      </c>
      <c r="N143" t="str">
        <f>LEFT(Table1[[#This Row],[Activity_Type]],3)</f>
        <v>Hik</v>
      </c>
      <c r="O143" t="str">
        <f>UPPER(Table1[[#This Row],[Column2]])</f>
        <v>SINGH</v>
      </c>
      <c r="P143">
        <f>LEN(Table1[[#This Row],[Visitor_Name]])</f>
        <v>5</v>
      </c>
      <c r="S143">
        <f>ROUND(Table1[[#This Row],[Rating]],0)</f>
        <v>3</v>
      </c>
      <c r="T143" t="s">
        <v>75</v>
      </c>
      <c r="U143" t="s">
        <v>64</v>
      </c>
      <c r="V143" s="5" t="s">
        <v>10</v>
      </c>
      <c r="W143">
        <v>33</v>
      </c>
    </row>
    <row r="144" spans="1:23" x14ac:dyDescent="0.25">
      <c r="A144">
        <v>1143</v>
      </c>
      <c r="B144" t="s">
        <v>79</v>
      </c>
      <c r="C144" t="s">
        <v>98</v>
      </c>
      <c r="D144" t="s">
        <v>19</v>
      </c>
      <c r="E144" s="1">
        <v>45351</v>
      </c>
      <c r="F144">
        <v>166</v>
      </c>
      <c r="G144" t="s">
        <v>24</v>
      </c>
      <c r="H144">
        <v>2.8</v>
      </c>
      <c r="I144">
        <v>316</v>
      </c>
      <c r="J144" t="s">
        <v>35</v>
      </c>
      <c r="L144" t="str" cm="1">
        <f t="array" ref="L144">_xlfn.IFS(H144&lt;=2,"bad",H144&lt;=2.5,"neutral",H144&gt;2.5,"good")</f>
        <v>good</v>
      </c>
      <c r="M144" t="str" cm="1">
        <f t="array" ref="M144">_xlfn.IFS(F144&lt;30,"short",F144&lt;90,"medium",F144&lt;180,"long",F144&gt;180,"very long")</f>
        <v>long</v>
      </c>
      <c r="N144" t="str">
        <f>LEFT(Table1[[#This Row],[Activity_Type]],3)</f>
        <v>Saf</v>
      </c>
      <c r="O144" t="str">
        <f>UPPER(Table1[[#This Row],[Column2]])</f>
        <v>REDDY</v>
      </c>
      <c r="P144">
        <f>LEN(Table1[[#This Row],[Visitor_Name]])</f>
        <v>5</v>
      </c>
      <c r="S144">
        <f>ROUND(Table1[[#This Row],[Rating]],0)</f>
        <v>3</v>
      </c>
      <c r="T144" t="s">
        <v>77</v>
      </c>
      <c r="U144" t="s">
        <v>58</v>
      </c>
      <c r="V144" s="5" t="s">
        <v>14</v>
      </c>
      <c r="W144">
        <v>36</v>
      </c>
    </row>
    <row r="145" spans="1:23" x14ac:dyDescent="0.25">
      <c r="A145">
        <v>1144</v>
      </c>
      <c r="B145" t="s">
        <v>90</v>
      </c>
      <c r="C145" t="s">
        <v>81</v>
      </c>
      <c r="D145" t="s">
        <v>18</v>
      </c>
      <c r="E145" s="1">
        <v>45335</v>
      </c>
      <c r="F145">
        <v>56</v>
      </c>
      <c r="G145" t="s">
        <v>25</v>
      </c>
      <c r="H145">
        <v>3.4</v>
      </c>
      <c r="I145">
        <v>190</v>
      </c>
      <c r="J145" t="s">
        <v>36</v>
      </c>
      <c r="L145" t="str" cm="1">
        <f t="array" ref="L145">_xlfn.IFS(H145&lt;=2,"bad",H145&lt;=2.5,"neutral",H145&gt;2.5,"good")</f>
        <v>good</v>
      </c>
      <c r="M145" t="str" cm="1">
        <f t="array" ref="M145">_xlfn.IFS(F145&lt;30,"short",F145&lt;90,"medium",F145&lt;180,"long",F145&gt;180,"very long")</f>
        <v>medium</v>
      </c>
      <c r="N145" t="str">
        <f>LEFT(Table1[[#This Row],[Activity_Type]],3)</f>
        <v>Pho</v>
      </c>
      <c r="O145" t="str">
        <f>UPPER(Table1[[#This Row],[Column2]])</f>
        <v>PATEL</v>
      </c>
      <c r="P145">
        <f>LEN(Table1[[#This Row],[Visitor_Name]])</f>
        <v>5</v>
      </c>
      <c r="S145">
        <f>ROUND(Table1[[#This Row],[Rating]],0)</f>
        <v>3</v>
      </c>
      <c r="T145" t="s">
        <v>69</v>
      </c>
      <c r="U145" t="s">
        <v>60</v>
      </c>
      <c r="V145" s="5" t="s">
        <v>11</v>
      </c>
      <c r="W145">
        <v>40</v>
      </c>
    </row>
    <row r="146" spans="1:23" x14ac:dyDescent="0.25">
      <c r="A146">
        <v>1145</v>
      </c>
      <c r="B146" t="s">
        <v>84</v>
      </c>
      <c r="C146" t="s">
        <v>83</v>
      </c>
      <c r="D146" t="s">
        <v>19</v>
      </c>
      <c r="E146" s="1">
        <v>45453</v>
      </c>
      <c r="F146">
        <v>162</v>
      </c>
      <c r="G146" t="s">
        <v>24</v>
      </c>
      <c r="H146">
        <v>2.6</v>
      </c>
      <c r="I146">
        <v>375</v>
      </c>
      <c r="J146" t="s">
        <v>36</v>
      </c>
      <c r="L146" t="str" cm="1">
        <f t="array" ref="L146">_xlfn.IFS(H146&lt;=2,"bad",H146&lt;=2.5,"neutral",H146&gt;2.5,"good")</f>
        <v>good</v>
      </c>
      <c r="M146" t="str" cm="1">
        <f t="array" ref="M146">_xlfn.IFS(F146&lt;30,"short",F146&lt;90,"medium",F146&lt;180,"long",F146&gt;180,"very long")</f>
        <v>long</v>
      </c>
      <c r="N146" t="str">
        <f>LEFT(Table1[[#This Row],[Activity_Type]],3)</f>
        <v>Saf</v>
      </c>
      <c r="O146" t="str">
        <f>UPPER(Table1[[#This Row],[Column2]])</f>
        <v>NAIR</v>
      </c>
      <c r="P146">
        <f>LEN(Table1[[#This Row],[Visitor_Name]])</f>
        <v>5</v>
      </c>
      <c r="S146">
        <f>ROUND(Table1[[#This Row],[Rating]],0)</f>
        <v>3</v>
      </c>
      <c r="T146" t="s">
        <v>70</v>
      </c>
      <c r="U146" t="s">
        <v>63</v>
      </c>
      <c r="V146" s="5" t="s">
        <v>13</v>
      </c>
      <c r="W146">
        <v>46</v>
      </c>
    </row>
    <row r="147" spans="1:23" x14ac:dyDescent="0.25">
      <c r="A147">
        <v>1146</v>
      </c>
      <c r="B147" t="s">
        <v>94</v>
      </c>
      <c r="C147" t="s">
        <v>89</v>
      </c>
      <c r="D147" t="s">
        <v>19</v>
      </c>
      <c r="E147" s="1">
        <v>45356</v>
      </c>
      <c r="F147">
        <v>139</v>
      </c>
      <c r="G147" t="s">
        <v>27</v>
      </c>
      <c r="H147">
        <v>4.2</v>
      </c>
      <c r="I147">
        <v>168</v>
      </c>
      <c r="J147" t="s">
        <v>33</v>
      </c>
      <c r="L147" t="str" cm="1">
        <f t="array" ref="L147">_xlfn.IFS(H147&lt;=2,"bad",H147&lt;=2.5,"neutral",H147&gt;2.5,"good")</f>
        <v>good</v>
      </c>
      <c r="M147" t="str" cm="1">
        <f t="array" ref="M147">_xlfn.IFS(F147&lt;30,"short",F147&lt;90,"medium",F147&lt;180,"long",F147&gt;180,"very long")</f>
        <v>long</v>
      </c>
      <c r="N147" t="str">
        <f>LEFT(Table1[[#This Row],[Activity_Type]],3)</f>
        <v>Saf</v>
      </c>
      <c r="O147" t="str">
        <f>UPPER(Table1[[#This Row],[Column2]])</f>
        <v>MENON</v>
      </c>
      <c r="P147">
        <f>LEN(Table1[[#This Row],[Visitor_Name]])</f>
        <v>5</v>
      </c>
      <c r="S147">
        <f>ROUND(Table1[[#This Row],[Rating]],0)</f>
        <v>4</v>
      </c>
      <c r="T147" t="s">
        <v>73</v>
      </c>
      <c r="U147" t="s">
        <v>64</v>
      </c>
      <c r="V147" s="5" t="s">
        <v>12</v>
      </c>
      <c r="W147">
        <v>48</v>
      </c>
    </row>
    <row r="148" spans="1:23" x14ac:dyDescent="0.25">
      <c r="A148">
        <v>1147</v>
      </c>
      <c r="B148" t="s">
        <v>97</v>
      </c>
      <c r="C148" t="s">
        <v>95</v>
      </c>
      <c r="D148" t="s">
        <v>22</v>
      </c>
      <c r="E148" s="1">
        <v>45350</v>
      </c>
      <c r="F148">
        <v>170</v>
      </c>
      <c r="G148" t="s">
        <v>25</v>
      </c>
      <c r="H148">
        <v>3.8</v>
      </c>
      <c r="I148">
        <v>393</v>
      </c>
      <c r="J148" t="s">
        <v>35</v>
      </c>
      <c r="L148" t="str" cm="1">
        <f t="array" ref="L148">_xlfn.IFS(H148&lt;=2,"bad",H148&lt;=2.5,"neutral",H148&gt;2.5,"good")</f>
        <v>good</v>
      </c>
      <c r="M148" t="str" cm="1">
        <f t="array" ref="M148">_xlfn.IFS(F148&lt;30,"short",F148&lt;90,"medium",F148&lt;180,"long",F148&gt;180,"very long")</f>
        <v>long</v>
      </c>
      <c r="N148" t="str">
        <f>LEFT(Table1[[#This Row],[Activity_Type]],3)</f>
        <v>Cam</v>
      </c>
      <c r="O148" t="str">
        <f>UPPER(Table1[[#This Row],[Column2]])</f>
        <v>SINGH</v>
      </c>
      <c r="P148">
        <f>LEN(Table1[[#This Row],[Visitor_Name]])</f>
        <v>5</v>
      </c>
      <c r="S148">
        <f>ROUND(Table1[[#This Row],[Rating]],0)</f>
        <v>4</v>
      </c>
      <c r="T148" t="s">
        <v>75</v>
      </c>
      <c r="U148" t="s">
        <v>65</v>
      </c>
      <c r="V148" s="5" t="s">
        <v>11</v>
      </c>
      <c r="W148">
        <v>54</v>
      </c>
    </row>
    <row r="149" spans="1:23" x14ac:dyDescent="0.25">
      <c r="A149">
        <v>1148</v>
      </c>
      <c r="B149" t="s">
        <v>97</v>
      </c>
      <c r="C149" t="s">
        <v>96</v>
      </c>
      <c r="D149" t="s">
        <v>20</v>
      </c>
      <c r="E149" s="1">
        <v>45372</v>
      </c>
      <c r="F149">
        <v>93</v>
      </c>
      <c r="G149" t="s">
        <v>24</v>
      </c>
      <c r="H149">
        <v>3.8</v>
      </c>
      <c r="I149">
        <v>161</v>
      </c>
      <c r="J149" t="s">
        <v>29</v>
      </c>
      <c r="L149" t="str" cm="1">
        <f t="array" ref="L149">_xlfn.IFS(H149&lt;=2,"bad",H149&lt;=2.5,"neutral",H149&gt;2.5,"good")</f>
        <v>good</v>
      </c>
      <c r="M149" t="str" cm="1">
        <f t="array" ref="M149">_xlfn.IFS(F149&lt;30,"short",F149&lt;90,"medium",F149&lt;180,"long",F149&gt;180,"very long")</f>
        <v>long</v>
      </c>
      <c r="N149" t="str">
        <f>LEFT(Table1[[#This Row],[Activity_Type]],3)</f>
        <v>Hik</v>
      </c>
      <c r="O149" t="str">
        <f>UPPER(Table1[[#This Row],[Column2]])</f>
        <v>SHARMA</v>
      </c>
      <c r="P149">
        <f>LEN(Table1[[#This Row],[Visitor_Name]])</f>
        <v>5</v>
      </c>
      <c r="S149">
        <f>ROUND(Table1[[#This Row],[Rating]],0)</f>
        <v>4</v>
      </c>
      <c r="T149" t="s">
        <v>76</v>
      </c>
      <c r="U149" t="s">
        <v>65</v>
      </c>
      <c r="V149" s="5" t="s">
        <v>14</v>
      </c>
      <c r="W149">
        <v>56</v>
      </c>
    </row>
    <row r="150" spans="1:23" x14ac:dyDescent="0.25">
      <c r="A150">
        <v>1149</v>
      </c>
      <c r="B150" t="s">
        <v>82</v>
      </c>
      <c r="C150" t="s">
        <v>81</v>
      </c>
      <c r="D150" t="s">
        <v>21</v>
      </c>
      <c r="E150" s="1">
        <v>45566</v>
      </c>
      <c r="F150">
        <v>226</v>
      </c>
      <c r="G150" t="s">
        <v>26</v>
      </c>
      <c r="H150">
        <v>4.3</v>
      </c>
      <c r="I150">
        <v>164</v>
      </c>
      <c r="J150" t="s">
        <v>32</v>
      </c>
      <c r="L150" t="str" cm="1">
        <f t="array" ref="L150">_xlfn.IFS(H150&lt;=2,"bad",H150&lt;=2.5,"neutral",H150&gt;2.5,"good")</f>
        <v>good</v>
      </c>
      <c r="M150" t="str" cm="1">
        <f t="array" ref="M150">_xlfn.IFS(F150&lt;30,"short",F150&lt;90,"medium",F150&lt;180,"long",F150&gt;180,"very long")</f>
        <v>very long</v>
      </c>
      <c r="N150" t="str">
        <f>LEFT(Table1[[#This Row],[Activity_Type]],3)</f>
        <v>Bir</v>
      </c>
      <c r="O150" t="str">
        <f>UPPER(Table1[[#This Row],[Column2]])</f>
        <v>PATEL</v>
      </c>
      <c r="P150">
        <f>LEN(Table1[[#This Row],[Visitor_Name]])</f>
        <v>5</v>
      </c>
      <c r="S150">
        <f>ROUND(Table1[[#This Row],[Rating]],0)</f>
        <v>4</v>
      </c>
      <c r="T150" t="s">
        <v>69</v>
      </c>
      <c r="U150" t="s">
        <v>59</v>
      </c>
      <c r="V150" s="5" t="s">
        <v>17</v>
      </c>
      <c r="W150">
        <v>57</v>
      </c>
    </row>
    <row r="151" spans="1:23" x14ac:dyDescent="0.25">
      <c r="A151">
        <v>1150</v>
      </c>
      <c r="B151" t="s">
        <v>86</v>
      </c>
      <c r="C151" t="s">
        <v>98</v>
      </c>
      <c r="D151" t="s">
        <v>21</v>
      </c>
      <c r="E151" s="1">
        <v>45633</v>
      </c>
      <c r="F151">
        <v>219</v>
      </c>
      <c r="G151" t="s">
        <v>26</v>
      </c>
      <c r="H151">
        <v>3.3</v>
      </c>
      <c r="I151">
        <v>478</v>
      </c>
      <c r="J151" t="s">
        <v>35</v>
      </c>
      <c r="L151" t="str" cm="1">
        <f t="array" ref="L151">_xlfn.IFS(H151&lt;=2,"bad",H151&lt;=2.5,"neutral",H151&gt;2.5,"good")</f>
        <v>good</v>
      </c>
      <c r="M151" t="str" cm="1">
        <f t="array" ref="M151">_xlfn.IFS(F151&lt;30,"short",F151&lt;90,"medium",F151&lt;180,"long",F151&gt;180,"very long")</f>
        <v>very long</v>
      </c>
      <c r="N151" t="str">
        <f>LEFT(Table1[[#This Row],[Activity_Type]],3)</f>
        <v>Bir</v>
      </c>
      <c r="O151" t="str">
        <f>UPPER(Table1[[#This Row],[Column2]])</f>
        <v>REDDY</v>
      </c>
      <c r="P151">
        <f>LEN(Table1[[#This Row],[Visitor_Name]])</f>
        <v>6</v>
      </c>
      <c r="S151">
        <f>ROUND(Table1[[#This Row],[Rating]],0)</f>
        <v>3</v>
      </c>
      <c r="T151" t="s">
        <v>77</v>
      </c>
      <c r="U151" t="s">
        <v>66</v>
      </c>
      <c r="V151" s="5" t="s">
        <v>13</v>
      </c>
      <c r="W151">
        <v>57</v>
      </c>
    </row>
    <row r="152" spans="1:23" x14ac:dyDescent="0.25">
      <c r="A152">
        <v>1151</v>
      </c>
      <c r="B152" t="s">
        <v>86</v>
      </c>
      <c r="C152" t="s">
        <v>96</v>
      </c>
      <c r="D152" t="s">
        <v>21</v>
      </c>
      <c r="E152" s="1">
        <v>45310</v>
      </c>
      <c r="F152">
        <v>216</v>
      </c>
      <c r="G152" t="s">
        <v>27</v>
      </c>
      <c r="H152">
        <v>3.2</v>
      </c>
      <c r="I152">
        <v>470</v>
      </c>
      <c r="J152" t="s">
        <v>37</v>
      </c>
      <c r="L152" t="str" cm="1">
        <f t="array" ref="L152">_xlfn.IFS(H152&lt;=2,"bad",H152&lt;=2.5,"neutral",H152&gt;2.5,"good")</f>
        <v>good</v>
      </c>
      <c r="M152" t="str" cm="1">
        <f t="array" ref="M152">_xlfn.IFS(F152&lt;30,"short",F152&lt;90,"medium",F152&lt;180,"long",F152&gt;180,"very long")</f>
        <v>very long</v>
      </c>
      <c r="N152" t="str">
        <f>LEFT(Table1[[#This Row],[Activity_Type]],3)</f>
        <v>Bir</v>
      </c>
      <c r="O152" t="str">
        <f>UPPER(Table1[[#This Row],[Column2]])</f>
        <v>SHARMA</v>
      </c>
      <c r="P152">
        <f>LEN(Table1[[#This Row],[Visitor_Name]])</f>
        <v>6</v>
      </c>
      <c r="S152">
        <f>ROUND(Table1[[#This Row],[Rating]],0)</f>
        <v>3</v>
      </c>
      <c r="T152" t="s">
        <v>76</v>
      </c>
      <c r="U152" t="s">
        <v>66</v>
      </c>
      <c r="V152" s="5" t="s">
        <v>11</v>
      </c>
      <c r="W152">
        <v>64</v>
      </c>
    </row>
    <row r="153" spans="1:23" x14ac:dyDescent="0.25">
      <c r="A153">
        <v>1152</v>
      </c>
      <c r="B153" t="s">
        <v>79</v>
      </c>
      <c r="C153" t="s">
        <v>85</v>
      </c>
      <c r="D153" t="s">
        <v>20</v>
      </c>
      <c r="E153" s="1">
        <v>45324</v>
      </c>
      <c r="F153">
        <v>67</v>
      </c>
      <c r="G153" t="s">
        <v>24</v>
      </c>
      <c r="H153">
        <v>2.8</v>
      </c>
      <c r="I153">
        <v>272</v>
      </c>
      <c r="J153" t="s">
        <v>30</v>
      </c>
      <c r="L153" t="str" cm="1">
        <f t="array" ref="L153">_xlfn.IFS(H153&lt;=2,"bad",H153&lt;=2.5,"neutral",H153&gt;2.5,"good")</f>
        <v>good</v>
      </c>
      <c r="M153" t="str" cm="1">
        <f t="array" ref="M153">_xlfn.IFS(F153&lt;30,"short",F153&lt;90,"medium",F153&lt;180,"long",F153&gt;180,"very long")</f>
        <v>medium</v>
      </c>
      <c r="N153" t="str">
        <f>LEFT(Table1[[#This Row],[Activity_Type]],3)</f>
        <v>Hik</v>
      </c>
      <c r="O153" t="str">
        <f>UPPER(Table1[[#This Row],[Column2]])</f>
        <v>DAS</v>
      </c>
      <c r="P153">
        <f>LEN(Table1[[#This Row],[Visitor_Name]])</f>
        <v>5</v>
      </c>
      <c r="S153">
        <f>ROUND(Table1[[#This Row],[Rating]],0)</f>
        <v>3</v>
      </c>
      <c r="T153" t="s">
        <v>71</v>
      </c>
      <c r="U153" t="s">
        <v>58</v>
      </c>
      <c r="V153" s="5" t="s">
        <v>13</v>
      </c>
      <c r="W153">
        <v>66</v>
      </c>
    </row>
    <row r="154" spans="1:23" x14ac:dyDescent="0.25">
      <c r="A154">
        <v>1153</v>
      </c>
      <c r="B154" t="s">
        <v>92</v>
      </c>
      <c r="C154" t="s">
        <v>83</v>
      </c>
      <c r="D154" t="s">
        <v>22</v>
      </c>
      <c r="E154" s="1">
        <v>45371</v>
      </c>
      <c r="F154">
        <v>202</v>
      </c>
      <c r="G154" t="s">
        <v>27</v>
      </c>
      <c r="H154">
        <v>3.2</v>
      </c>
      <c r="I154">
        <v>443</v>
      </c>
      <c r="J154" t="s">
        <v>37</v>
      </c>
      <c r="L154" t="str" cm="1">
        <f t="array" ref="L154">_xlfn.IFS(H154&lt;=2,"bad",H154&lt;=2.5,"neutral",H154&gt;2.5,"good")</f>
        <v>good</v>
      </c>
      <c r="M154" t="str" cm="1">
        <f t="array" ref="M154">_xlfn.IFS(F154&lt;30,"short",F154&lt;90,"medium",F154&lt;180,"long",F154&gt;180,"very long")</f>
        <v>very long</v>
      </c>
      <c r="N154" t="str">
        <f>LEFT(Table1[[#This Row],[Activity_Type]],3)</f>
        <v>Cam</v>
      </c>
      <c r="O154" t="str">
        <f>UPPER(Table1[[#This Row],[Column2]])</f>
        <v>NAIR</v>
      </c>
      <c r="P154">
        <f>LEN(Table1[[#This Row],[Visitor_Name]])</f>
        <v>5</v>
      </c>
      <c r="S154">
        <f>ROUND(Table1[[#This Row],[Rating]],0)</f>
        <v>3</v>
      </c>
      <c r="T154" t="s">
        <v>70</v>
      </c>
      <c r="U154" t="s">
        <v>62</v>
      </c>
      <c r="V154" s="5" t="s">
        <v>12</v>
      </c>
      <c r="W154">
        <v>67</v>
      </c>
    </row>
    <row r="155" spans="1:23" x14ac:dyDescent="0.25">
      <c r="A155">
        <v>1154</v>
      </c>
      <c r="B155" t="s">
        <v>90</v>
      </c>
      <c r="C155" t="s">
        <v>98</v>
      </c>
      <c r="D155" t="s">
        <v>21</v>
      </c>
      <c r="E155" s="1">
        <v>45579</v>
      </c>
      <c r="F155">
        <v>82</v>
      </c>
      <c r="G155" t="s">
        <v>25</v>
      </c>
      <c r="H155">
        <v>3</v>
      </c>
      <c r="I155">
        <v>334</v>
      </c>
      <c r="J155" t="s">
        <v>31</v>
      </c>
      <c r="L155" t="str" cm="1">
        <f t="array" ref="L155">_xlfn.IFS(H155&lt;=2,"bad",H155&lt;=2.5,"neutral",H155&gt;2.5,"good")</f>
        <v>good</v>
      </c>
      <c r="M155" t="str" cm="1">
        <f t="array" ref="M155">_xlfn.IFS(F155&lt;30,"short",F155&lt;90,"medium",F155&lt;180,"long",F155&gt;180,"very long")</f>
        <v>medium</v>
      </c>
      <c r="N155" t="str">
        <f>LEFT(Table1[[#This Row],[Activity_Type]],3)</f>
        <v>Bir</v>
      </c>
      <c r="O155" t="str">
        <f>UPPER(Table1[[#This Row],[Column2]])</f>
        <v>REDDY</v>
      </c>
      <c r="P155">
        <f>LEN(Table1[[#This Row],[Visitor_Name]])</f>
        <v>5</v>
      </c>
      <c r="S155">
        <f>ROUND(Table1[[#This Row],[Rating]],0)</f>
        <v>3</v>
      </c>
      <c r="T155" t="s">
        <v>77</v>
      </c>
      <c r="U155" t="s">
        <v>60</v>
      </c>
      <c r="V155" s="5" t="s">
        <v>11</v>
      </c>
      <c r="W155">
        <v>72</v>
      </c>
    </row>
    <row r="156" spans="1:23" x14ac:dyDescent="0.25">
      <c r="A156">
        <v>1155</v>
      </c>
      <c r="B156" t="s">
        <v>94</v>
      </c>
      <c r="C156" t="s">
        <v>95</v>
      </c>
      <c r="D156" t="s">
        <v>22</v>
      </c>
      <c r="E156" s="1">
        <v>45550</v>
      </c>
      <c r="F156">
        <v>213</v>
      </c>
      <c r="G156" t="s">
        <v>25</v>
      </c>
      <c r="H156">
        <v>4.7</v>
      </c>
      <c r="I156">
        <v>378</v>
      </c>
      <c r="J156" t="s">
        <v>33</v>
      </c>
      <c r="L156" t="str" cm="1">
        <f t="array" ref="L156">_xlfn.IFS(H156&lt;=2,"bad",H156&lt;=2.5,"neutral",H156&gt;2.5,"good")</f>
        <v>good</v>
      </c>
      <c r="M156" t="str" cm="1">
        <f t="array" ref="M156">_xlfn.IFS(F156&lt;30,"short",F156&lt;90,"medium",F156&lt;180,"long",F156&gt;180,"very long")</f>
        <v>very long</v>
      </c>
      <c r="N156" t="str">
        <f>LEFT(Table1[[#This Row],[Activity_Type]],3)</f>
        <v>Cam</v>
      </c>
      <c r="O156" t="str">
        <f>UPPER(Table1[[#This Row],[Column2]])</f>
        <v>SINGH</v>
      </c>
      <c r="P156">
        <f>LEN(Table1[[#This Row],[Visitor_Name]])</f>
        <v>5</v>
      </c>
      <c r="S156">
        <f>ROUND(Table1[[#This Row],[Rating]],0)</f>
        <v>5</v>
      </c>
      <c r="T156" t="s">
        <v>75</v>
      </c>
      <c r="U156" t="s">
        <v>64</v>
      </c>
      <c r="V156" s="5" t="s">
        <v>12</v>
      </c>
      <c r="W156">
        <v>81</v>
      </c>
    </row>
    <row r="157" spans="1:23" x14ac:dyDescent="0.25">
      <c r="A157">
        <v>1156</v>
      </c>
      <c r="B157" t="s">
        <v>88</v>
      </c>
      <c r="C157" t="s">
        <v>89</v>
      </c>
      <c r="D157" t="s">
        <v>22</v>
      </c>
      <c r="E157" s="1">
        <v>45532</v>
      </c>
      <c r="F157">
        <v>24</v>
      </c>
      <c r="G157" t="s">
        <v>25</v>
      </c>
      <c r="H157">
        <v>4.3</v>
      </c>
      <c r="I157">
        <v>247</v>
      </c>
      <c r="J157" t="s">
        <v>36</v>
      </c>
      <c r="L157" t="str" cm="1">
        <f t="array" ref="L157">_xlfn.IFS(H157&lt;=2,"bad",H157&lt;=2.5,"neutral",H157&gt;2.5,"good")</f>
        <v>good</v>
      </c>
      <c r="M157" t="str" cm="1">
        <f t="array" ref="M157">_xlfn.IFS(F157&lt;30,"short",F157&lt;90,"medium",F157&lt;180,"long",F157&gt;180,"very long")</f>
        <v>short</v>
      </c>
      <c r="N157" t="str">
        <f>LEFT(Table1[[#This Row],[Activity_Type]],3)</f>
        <v>Cam</v>
      </c>
      <c r="O157" t="str">
        <f>UPPER(Table1[[#This Row],[Column2]])</f>
        <v>MENON</v>
      </c>
      <c r="P157">
        <f>LEN(Table1[[#This Row],[Visitor_Name]])</f>
        <v>6</v>
      </c>
      <c r="S157">
        <f>ROUND(Table1[[#This Row],[Rating]],0)</f>
        <v>4</v>
      </c>
      <c r="T157" t="s">
        <v>73</v>
      </c>
      <c r="U157" t="s">
        <v>67</v>
      </c>
      <c r="V157" s="5" t="s">
        <v>15</v>
      </c>
      <c r="W157">
        <v>82</v>
      </c>
    </row>
    <row r="158" spans="1:23" x14ac:dyDescent="0.25">
      <c r="A158">
        <v>1157</v>
      </c>
      <c r="B158" t="s">
        <v>91</v>
      </c>
      <c r="C158" t="s">
        <v>85</v>
      </c>
      <c r="D158" t="s">
        <v>20</v>
      </c>
      <c r="E158" s="1">
        <v>45500</v>
      </c>
      <c r="F158">
        <v>30</v>
      </c>
      <c r="G158" t="s">
        <v>25</v>
      </c>
      <c r="H158">
        <v>2.7</v>
      </c>
      <c r="I158">
        <v>319</v>
      </c>
      <c r="J158" t="s">
        <v>30</v>
      </c>
      <c r="L158" t="str" cm="1">
        <f t="array" ref="L158">_xlfn.IFS(H158&lt;=2,"bad",H158&lt;=2.5,"neutral",H158&gt;2.5,"good")</f>
        <v>good</v>
      </c>
      <c r="M158" t="str" cm="1">
        <f t="array" ref="M158">_xlfn.IFS(F158&lt;30,"short",F158&lt;90,"medium",F158&lt;180,"long",F158&gt;180,"very long")</f>
        <v>medium</v>
      </c>
      <c r="N158" t="str">
        <f>LEFT(Table1[[#This Row],[Activity_Type]],3)</f>
        <v>Hik</v>
      </c>
      <c r="O158" t="str">
        <f>UPPER(Table1[[#This Row],[Column2]])</f>
        <v>DAS</v>
      </c>
      <c r="P158">
        <f>LEN(Table1[[#This Row],[Visitor_Name]])</f>
        <v>5</v>
      </c>
      <c r="S158">
        <f>ROUND(Table1[[#This Row],[Rating]],0)</f>
        <v>3</v>
      </c>
      <c r="T158" t="s">
        <v>71</v>
      </c>
      <c r="U158" t="s">
        <v>61</v>
      </c>
      <c r="V158" s="5" t="s">
        <v>11</v>
      </c>
      <c r="W158">
        <v>93</v>
      </c>
    </row>
    <row r="159" spans="1:23" x14ac:dyDescent="0.25">
      <c r="A159">
        <v>1158</v>
      </c>
      <c r="B159" t="s">
        <v>91</v>
      </c>
      <c r="C159" t="s">
        <v>89</v>
      </c>
      <c r="D159" t="s">
        <v>19</v>
      </c>
      <c r="E159" s="1">
        <v>45324</v>
      </c>
      <c r="F159">
        <v>148</v>
      </c>
      <c r="G159" t="s">
        <v>27</v>
      </c>
      <c r="H159">
        <v>4.8</v>
      </c>
      <c r="I159">
        <v>212</v>
      </c>
      <c r="J159" t="s">
        <v>34</v>
      </c>
      <c r="L159" t="str" cm="1">
        <f t="array" ref="L159">_xlfn.IFS(H159&lt;=2,"bad",H159&lt;=2.5,"neutral",H159&gt;2.5,"good")</f>
        <v>good</v>
      </c>
      <c r="M159" t="str" cm="1">
        <f t="array" ref="M159">_xlfn.IFS(F159&lt;30,"short",F159&lt;90,"medium",F159&lt;180,"long",F159&gt;180,"very long")</f>
        <v>long</v>
      </c>
      <c r="N159" t="str">
        <f>LEFT(Table1[[#This Row],[Activity_Type]],3)</f>
        <v>Saf</v>
      </c>
      <c r="O159" t="str">
        <f>UPPER(Table1[[#This Row],[Column2]])</f>
        <v>MENON</v>
      </c>
      <c r="P159">
        <f>LEN(Table1[[#This Row],[Visitor_Name]])</f>
        <v>5</v>
      </c>
      <c r="S159">
        <f>ROUND(Table1[[#This Row],[Rating]],0)</f>
        <v>5</v>
      </c>
      <c r="T159" t="s">
        <v>73</v>
      </c>
      <c r="U159" t="s">
        <v>61</v>
      </c>
      <c r="V159" s="5" t="s">
        <v>16</v>
      </c>
      <c r="W159">
        <v>94</v>
      </c>
    </row>
    <row r="160" spans="1:23" x14ac:dyDescent="0.25">
      <c r="A160">
        <v>1159</v>
      </c>
      <c r="B160" t="s">
        <v>97</v>
      </c>
      <c r="C160" t="s">
        <v>81</v>
      </c>
      <c r="D160" t="s">
        <v>23</v>
      </c>
      <c r="E160" s="1">
        <v>45589</v>
      </c>
      <c r="F160">
        <v>81</v>
      </c>
      <c r="G160" t="s">
        <v>25</v>
      </c>
      <c r="H160">
        <v>4</v>
      </c>
      <c r="I160">
        <v>358</v>
      </c>
      <c r="J160" t="s">
        <v>31</v>
      </c>
      <c r="L160" t="str" cm="1">
        <f t="array" ref="L160">_xlfn.IFS(H160&lt;=2,"bad",H160&lt;=2.5,"neutral",H160&gt;2.5,"good")</f>
        <v>good</v>
      </c>
      <c r="M160" t="str" cm="1">
        <f t="array" ref="M160">_xlfn.IFS(F160&lt;30,"short",F160&lt;90,"medium",F160&lt;180,"long",F160&gt;180,"very long")</f>
        <v>medium</v>
      </c>
      <c r="N160" t="str">
        <f>LEFT(Table1[[#This Row],[Activity_Type]],3)</f>
        <v>Boa</v>
      </c>
      <c r="O160" t="str">
        <f>UPPER(Table1[[#This Row],[Column2]])</f>
        <v>PATEL</v>
      </c>
      <c r="P160">
        <f>LEN(Table1[[#This Row],[Visitor_Name]])</f>
        <v>5</v>
      </c>
      <c r="S160">
        <f>ROUND(Table1[[#This Row],[Rating]],0)</f>
        <v>4</v>
      </c>
      <c r="T160" t="s">
        <v>69</v>
      </c>
      <c r="U160" t="s">
        <v>65</v>
      </c>
      <c r="V160" s="5" t="s">
        <v>17</v>
      </c>
      <c r="W160">
        <v>100</v>
      </c>
    </row>
    <row r="161" spans="1:23" x14ac:dyDescent="0.25">
      <c r="A161">
        <v>1160</v>
      </c>
      <c r="B161" t="s">
        <v>92</v>
      </c>
      <c r="C161" t="s">
        <v>98</v>
      </c>
      <c r="D161" t="s">
        <v>23</v>
      </c>
      <c r="E161" s="1">
        <v>45627</v>
      </c>
      <c r="F161">
        <v>40</v>
      </c>
      <c r="G161" t="s">
        <v>26</v>
      </c>
      <c r="H161">
        <v>4.8</v>
      </c>
      <c r="I161">
        <v>228</v>
      </c>
      <c r="J161" t="s">
        <v>29</v>
      </c>
      <c r="L161" t="str" cm="1">
        <f t="array" ref="L161">_xlfn.IFS(H161&lt;=2,"bad",H161&lt;=2.5,"neutral",H161&gt;2.5,"good")</f>
        <v>good</v>
      </c>
      <c r="M161" t="str" cm="1">
        <f t="array" ref="M161">_xlfn.IFS(F161&lt;30,"short",F161&lt;90,"medium",F161&lt;180,"long",F161&gt;180,"very long")</f>
        <v>medium</v>
      </c>
      <c r="N161" t="str">
        <f>LEFT(Table1[[#This Row],[Activity_Type]],3)</f>
        <v>Boa</v>
      </c>
      <c r="O161" t="str">
        <f>UPPER(Table1[[#This Row],[Column2]])</f>
        <v>REDDY</v>
      </c>
      <c r="P161">
        <f>LEN(Table1[[#This Row],[Visitor_Name]])</f>
        <v>5</v>
      </c>
      <c r="S161">
        <f>ROUND(Table1[[#This Row],[Rating]],0)</f>
        <v>5</v>
      </c>
      <c r="T161" t="s">
        <v>77</v>
      </c>
      <c r="U161" t="s">
        <v>62</v>
      </c>
      <c r="V161" s="5" t="s">
        <v>10</v>
      </c>
      <c r="W161">
        <v>102</v>
      </c>
    </row>
    <row r="162" spans="1:23" x14ac:dyDescent="0.25">
      <c r="A162">
        <v>1161</v>
      </c>
      <c r="B162" t="s">
        <v>91</v>
      </c>
      <c r="C162" t="s">
        <v>98</v>
      </c>
      <c r="D162" t="s">
        <v>23</v>
      </c>
      <c r="E162" s="1">
        <v>45576</v>
      </c>
      <c r="F162">
        <v>233</v>
      </c>
      <c r="G162" t="s">
        <v>27</v>
      </c>
      <c r="H162">
        <v>4.5999999999999996</v>
      </c>
      <c r="I162">
        <v>430</v>
      </c>
      <c r="J162" t="s">
        <v>34</v>
      </c>
      <c r="L162" t="str" cm="1">
        <f t="array" ref="L162">_xlfn.IFS(H162&lt;=2,"bad",H162&lt;=2.5,"neutral",H162&gt;2.5,"good")</f>
        <v>good</v>
      </c>
      <c r="M162" t="str" cm="1">
        <f t="array" ref="M162">_xlfn.IFS(F162&lt;30,"short",F162&lt;90,"medium",F162&lt;180,"long",F162&gt;180,"very long")</f>
        <v>very long</v>
      </c>
      <c r="N162" t="str">
        <f>LEFT(Table1[[#This Row],[Activity_Type]],3)</f>
        <v>Boa</v>
      </c>
      <c r="O162" t="str">
        <f>UPPER(Table1[[#This Row],[Column2]])</f>
        <v>REDDY</v>
      </c>
      <c r="P162">
        <f>LEN(Table1[[#This Row],[Visitor_Name]])</f>
        <v>5</v>
      </c>
      <c r="S162">
        <f>ROUND(Table1[[#This Row],[Rating]],0)</f>
        <v>5</v>
      </c>
      <c r="T162" t="s">
        <v>77</v>
      </c>
      <c r="U162" t="s">
        <v>61</v>
      </c>
      <c r="V162" s="5" t="s">
        <v>13</v>
      </c>
      <c r="W162">
        <v>103</v>
      </c>
    </row>
    <row r="163" spans="1:23" x14ac:dyDescent="0.25">
      <c r="A163">
        <v>1162</v>
      </c>
      <c r="B163" t="s">
        <v>86</v>
      </c>
      <c r="C163" t="s">
        <v>89</v>
      </c>
      <c r="D163" t="s">
        <v>20</v>
      </c>
      <c r="E163" s="1">
        <v>45563</v>
      </c>
      <c r="F163">
        <v>118</v>
      </c>
      <c r="G163" t="s">
        <v>26</v>
      </c>
      <c r="H163">
        <v>3.9</v>
      </c>
      <c r="I163">
        <v>484</v>
      </c>
      <c r="J163" t="s">
        <v>32</v>
      </c>
      <c r="L163" t="str" cm="1">
        <f t="array" ref="L163">_xlfn.IFS(H163&lt;=2,"bad",H163&lt;=2.5,"neutral",H163&gt;2.5,"good")</f>
        <v>good</v>
      </c>
      <c r="M163" t="str" cm="1">
        <f t="array" ref="M163">_xlfn.IFS(F163&lt;30,"short",F163&lt;90,"medium",F163&lt;180,"long",F163&gt;180,"very long")</f>
        <v>long</v>
      </c>
      <c r="N163" t="str">
        <f>LEFT(Table1[[#This Row],[Activity_Type]],3)</f>
        <v>Hik</v>
      </c>
      <c r="O163" t="str">
        <f>UPPER(Table1[[#This Row],[Column2]])</f>
        <v>MENON</v>
      </c>
      <c r="P163">
        <f>LEN(Table1[[#This Row],[Visitor_Name]])</f>
        <v>6</v>
      </c>
      <c r="S163">
        <f>ROUND(Table1[[#This Row],[Rating]],0)</f>
        <v>4</v>
      </c>
      <c r="T163" t="s">
        <v>73</v>
      </c>
      <c r="U163" t="s">
        <v>66</v>
      </c>
      <c r="V163" s="5" t="s">
        <v>14</v>
      </c>
      <c r="W163">
        <v>112</v>
      </c>
    </row>
    <row r="164" spans="1:23" x14ac:dyDescent="0.25">
      <c r="A164">
        <v>1163</v>
      </c>
      <c r="B164" t="s">
        <v>86</v>
      </c>
      <c r="C164" t="s">
        <v>89</v>
      </c>
      <c r="D164" t="s">
        <v>23</v>
      </c>
      <c r="E164" s="1">
        <v>45465</v>
      </c>
      <c r="F164">
        <v>215</v>
      </c>
      <c r="G164" t="s">
        <v>25</v>
      </c>
      <c r="H164">
        <v>3.9</v>
      </c>
      <c r="I164">
        <v>236</v>
      </c>
      <c r="J164" t="s">
        <v>29</v>
      </c>
      <c r="L164" t="str" cm="1">
        <f t="array" ref="L164">_xlfn.IFS(H164&lt;=2,"bad",H164&lt;=2.5,"neutral",H164&gt;2.5,"good")</f>
        <v>good</v>
      </c>
      <c r="M164" t="str" cm="1">
        <f t="array" ref="M164">_xlfn.IFS(F164&lt;30,"short",F164&lt;90,"medium",F164&lt;180,"long",F164&gt;180,"very long")</f>
        <v>very long</v>
      </c>
      <c r="N164" t="str">
        <f>LEFT(Table1[[#This Row],[Activity_Type]],3)</f>
        <v>Boa</v>
      </c>
      <c r="O164" t="str">
        <f>UPPER(Table1[[#This Row],[Column2]])</f>
        <v>MENON</v>
      </c>
      <c r="P164">
        <f>LEN(Table1[[#This Row],[Visitor_Name]])</f>
        <v>6</v>
      </c>
      <c r="S164">
        <f>ROUND(Table1[[#This Row],[Rating]],0)</f>
        <v>4</v>
      </c>
      <c r="T164" t="s">
        <v>73</v>
      </c>
      <c r="U164" t="s">
        <v>66</v>
      </c>
      <c r="V164" s="5" t="s">
        <v>16</v>
      </c>
      <c r="W164">
        <v>116</v>
      </c>
    </row>
    <row r="165" spans="1:23" x14ac:dyDescent="0.25">
      <c r="A165">
        <v>1164</v>
      </c>
      <c r="B165" t="s">
        <v>79</v>
      </c>
      <c r="C165" t="s">
        <v>80</v>
      </c>
      <c r="D165" t="s">
        <v>19</v>
      </c>
      <c r="E165" s="1">
        <v>45568</v>
      </c>
      <c r="F165">
        <v>153</v>
      </c>
      <c r="G165" t="s">
        <v>27</v>
      </c>
      <c r="H165">
        <v>4</v>
      </c>
      <c r="I165">
        <v>277</v>
      </c>
      <c r="J165" t="s">
        <v>37</v>
      </c>
      <c r="L165" t="str" cm="1">
        <f t="array" ref="L165">_xlfn.IFS(H165&lt;=2,"bad",H165&lt;=2.5,"neutral",H165&gt;2.5,"good")</f>
        <v>good</v>
      </c>
      <c r="M165" t="str" cm="1">
        <f t="array" ref="M165">_xlfn.IFS(F165&lt;30,"short",F165&lt;90,"medium",F165&lt;180,"long",F165&gt;180,"very long")</f>
        <v>long</v>
      </c>
      <c r="N165" t="str">
        <f>LEFT(Table1[[#This Row],[Activity_Type]],3)</f>
        <v>Saf</v>
      </c>
      <c r="O165" t="str">
        <f>UPPER(Table1[[#This Row],[Column2]])</f>
        <v>MEHTA</v>
      </c>
      <c r="P165">
        <f>LEN(Table1[[#This Row],[Visitor_Name]])</f>
        <v>5</v>
      </c>
      <c r="S165">
        <f>ROUND(Table1[[#This Row],[Rating]],0)</f>
        <v>4</v>
      </c>
      <c r="T165" t="s">
        <v>68</v>
      </c>
      <c r="U165" t="s">
        <v>58</v>
      </c>
      <c r="V165" s="5" t="s">
        <v>13</v>
      </c>
      <c r="W165">
        <v>118</v>
      </c>
    </row>
    <row r="166" spans="1:23" x14ac:dyDescent="0.25">
      <c r="A166">
        <v>1165</v>
      </c>
      <c r="B166" t="s">
        <v>97</v>
      </c>
      <c r="C166" t="s">
        <v>87</v>
      </c>
      <c r="D166" t="s">
        <v>22</v>
      </c>
      <c r="E166" s="1">
        <v>45445</v>
      </c>
      <c r="F166">
        <v>94</v>
      </c>
      <c r="G166" t="s">
        <v>25</v>
      </c>
      <c r="H166">
        <v>4.5</v>
      </c>
      <c r="I166">
        <v>315</v>
      </c>
      <c r="J166" t="s">
        <v>30</v>
      </c>
      <c r="L166" t="str" cm="1">
        <f t="array" ref="L166">_xlfn.IFS(H166&lt;=2,"bad",H166&lt;=2.5,"neutral",H166&gt;2.5,"good")</f>
        <v>good</v>
      </c>
      <c r="M166" t="str" cm="1">
        <f t="array" ref="M166">_xlfn.IFS(F166&lt;30,"short",F166&lt;90,"medium",F166&lt;180,"long",F166&gt;180,"very long")</f>
        <v>long</v>
      </c>
      <c r="N166" t="str">
        <f>LEFT(Table1[[#This Row],[Activity_Type]],3)</f>
        <v>Cam</v>
      </c>
      <c r="O166" t="str">
        <f>UPPER(Table1[[#This Row],[Column2]])</f>
        <v>VERMA</v>
      </c>
      <c r="P166">
        <f>LEN(Table1[[#This Row],[Visitor_Name]])</f>
        <v>5</v>
      </c>
      <c r="S166">
        <f>ROUND(Table1[[#This Row],[Rating]],0)</f>
        <v>5</v>
      </c>
      <c r="T166" t="s">
        <v>72</v>
      </c>
      <c r="U166" t="s">
        <v>65</v>
      </c>
      <c r="V166" s="5" t="s">
        <v>16</v>
      </c>
      <c r="W166">
        <v>119</v>
      </c>
    </row>
    <row r="167" spans="1:23" x14ac:dyDescent="0.25">
      <c r="A167">
        <v>1166</v>
      </c>
      <c r="B167" t="s">
        <v>90</v>
      </c>
      <c r="C167" t="s">
        <v>95</v>
      </c>
      <c r="D167" t="s">
        <v>19</v>
      </c>
      <c r="E167" s="1">
        <v>45303</v>
      </c>
      <c r="F167">
        <v>121</v>
      </c>
      <c r="G167" t="s">
        <v>27</v>
      </c>
      <c r="H167">
        <v>2.8</v>
      </c>
      <c r="I167">
        <v>351</v>
      </c>
      <c r="J167" t="s">
        <v>34</v>
      </c>
      <c r="L167" t="str" cm="1">
        <f t="array" ref="L167">_xlfn.IFS(H167&lt;=2,"bad",H167&lt;=2.5,"neutral",H167&gt;2.5,"good")</f>
        <v>good</v>
      </c>
      <c r="M167" t="str" cm="1">
        <f t="array" ref="M167">_xlfn.IFS(F167&lt;30,"short",F167&lt;90,"medium",F167&lt;180,"long",F167&gt;180,"very long")</f>
        <v>long</v>
      </c>
      <c r="N167" t="str">
        <f>LEFT(Table1[[#This Row],[Activity_Type]],3)</f>
        <v>Saf</v>
      </c>
      <c r="O167" t="str">
        <f>UPPER(Table1[[#This Row],[Column2]])</f>
        <v>SINGH</v>
      </c>
      <c r="P167">
        <f>LEN(Table1[[#This Row],[Visitor_Name]])</f>
        <v>5</v>
      </c>
      <c r="S167">
        <f>ROUND(Table1[[#This Row],[Rating]],0)</f>
        <v>3</v>
      </c>
      <c r="T167" t="s">
        <v>75</v>
      </c>
      <c r="U167" t="s">
        <v>60</v>
      </c>
      <c r="V167" s="5" t="s">
        <v>10</v>
      </c>
      <c r="W167">
        <v>121</v>
      </c>
    </row>
    <row r="168" spans="1:23" x14ac:dyDescent="0.25">
      <c r="A168">
        <v>1167</v>
      </c>
      <c r="B168" t="s">
        <v>82</v>
      </c>
      <c r="C168" t="s">
        <v>85</v>
      </c>
      <c r="D168" t="s">
        <v>21</v>
      </c>
      <c r="E168" s="1">
        <v>45418</v>
      </c>
      <c r="F168">
        <v>72</v>
      </c>
      <c r="G168" t="s">
        <v>27</v>
      </c>
      <c r="H168">
        <v>3.3</v>
      </c>
      <c r="I168">
        <v>441</v>
      </c>
      <c r="J168" t="s">
        <v>35</v>
      </c>
      <c r="L168" t="str" cm="1">
        <f t="array" ref="L168">_xlfn.IFS(H168&lt;=2,"bad",H168&lt;=2.5,"neutral",H168&gt;2.5,"good")</f>
        <v>good</v>
      </c>
      <c r="M168" t="str" cm="1">
        <f t="array" ref="M168">_xlfn.IFS(F168&lt;30,"short",F168&lt;90,"medium",F168&lt;180,"long",F168&gt;180,"very long")</f>
        <v>medium</v>
      </c>
      <c r="N168" t="str">
        <f>LEFT(Table1[[#This Row],[Activity_Type]],3)</f>
        <v>Bir</v>
      </c>
      <c r="O168" t="str">
        <f>UPPER(Table1[[#This Row],[Column2]])</f>
        <v>DAS</v>
      </c>
      <c r="P168">
        <f>LEN(Table1[[#This Row],[Visitor_Name]])</f>
        <v>5</v>
      </c>
      <c r="S168">
        <f>ROUND(Table1[[#This Row],[Rating]],0)</f>
        <v>3</v>
      </c>
      <c r="T168" t="s">
        <v>71</v>
      </c>
      <c r="U168" t="s">
        <v>59</v>
      </c>
      <c r="V168" s="5" t="s">
        <v>16</v>
      </c>
      <c r="W168">
        <v>121</v>
      </c>
    </row>
    <row r="169" spans="1:23" x14ac:dyDescent="0.25">
      <c r="A169">
        <v>1168</v>
      </c>
      <c r="B169" t="s">
        <v>97</v>
      </c>
      <c r="C169" t="s">
        <v>93</v>
      </c>
      <c r="D169" t="s">
        <v>18</v>
      </c>
      <c r="E169" s="1">
        <v>45493</v>
      </c>
      <c r="F169">
        <v>177</v>
      </c>
      <c r="G169" t="s">
        <v>26</v>
      </c>
      <c r="H169">
        <v>3.7</v>
      </c>
      <c r="I169">
        <v>401</v>
      </c>
      <c r="J169" t="s">
        <v>29</v>
      </c>
      <c r="L169" t="str" cm="1">
        <f t="array" ref="L169">_xlfn.IFS(H169&lt;=2,"bad",H169&lt;=2.5,"neutral",H169&gt;2.5,"good")</f>
        <v>good</v>
      </c>
      <c r="M169" t="str" cm="1">
        <f t="array" ref="M169">_xlfn.IFS(F169&lt;30,"short",F169&lt;90,"medium",F169&lt;180,"long",F169&gt;180,"very long")</f>
        <v>long</v>
      </c>
      <c r="N169" t="str">
        <f>LEFT(Table1[[#This Row],[Activity_Type]],3)</f>
        <v>Pho</v>
      </c>
      <c r="O169" t="str">
        <f>UPPER(Table1[[#This Row],[Column2]])</f>
        <v>IYER</v>
      </c>
      <c r="P169">
        <f>LEN(Table1[[#This Row],[Visitor_Name]])</f>
        <v>5</v>
      </c>
      <c r="S169">
        <f>ROUND(Table1[[#This Row],[Rating]],0)</f>
        <v>4</v>
      </c>
      <c r="T169" t="s">
        <v>74</v>
      </c>
      <c r="U169" t="s">
        <v>65</v>
      </c>
      <c r="V169" s="5" t="s">
        <v>10</v>
      </c>
      <c r="W169">
        <v>124</v>
      </c>
    </row>
    <row r="170" spans="1:23" x14ac:dyDescent="0.25">
      <c r="A170">
        <v>1169</v>
      </c>
      <c r="B170" t="s">
        <v>90</v>
      </c>
      <c r="C170" t="s">
        <v>96</v>
      </c>
      <c r="D170" t="s">
        <v>21</v>
      </c>
      <c r="E170" s="1">
        <v>45304</v>
      </c>
      <c r="F170">
        <v>46</v>
      </c>
      <c r="G170" t="s">
        <v>25</v>
      </c>
      <c r="H170">
        <v>4.3</v>
      </c>
      <c r="I170">
        <v>448</v>
      </c>
      <c r="J170" t="s">
        <v>32</v>
      </c>
      <c r="L170" t="str" cm="1">
        <f t="array" ref="L170">_xlfn.IFS(H170&lt;=2,"bad",H170&lt;=2.5,"neutral",H170&gt;2.5,"good")</f>
        <v>good</v>
      </c>
      <c r="M170" t="str" cm="1">
        <f t="array" ref="M170">_xlfn.IFS(F170&lt;30,"short",F170&lt;90,"medium",F170&lt;180,"long",F170&gt;180,"very long")</f>
        <v>medium</v>
      </c>
      <c r="N170" t="str">
        <f>LEFT(Table1[[#This Row],[Activity_Type]],3)</f>
        <v>Bir</v>
      </c>
      <c r="O170" t="str">
        <f>UPPER(Table1[[#This Row],[Column2]])</f>
        <v>SHARMA</v>
      </c>
      <c r="P170">
        <f>LEN(Table1[[#This Row],[Visitor_Name]])</f>
        <v>5</v>
      </c>
      <c r="S170">
        <f>ROUND(Table1[[#This Row],[Rating]],0)</f>
        <v>4</v>
      </c>
      <c r="T170" t="s">
        <v>76</v>
      </c>
      <c r="U170" t="s">
        <v>60</v>
      </c>
      <c r="V170" s="5" t="s">
        <v>14</v>
      </c>
      <c r="W170">
        <v>126</v>
      </c>
    </row>
    <row r="171" spans="1:23" x14ac:dyDescent="0.25">
      <c r="A171">
        <v>1170</v>
      </c>
      <c r="B171" t="s">
        <v>84</v>
      </c>
      <c r="C171" t="s">
        <v>83</v>
      </c>
      <c r="D171" t="s">
        <v>23</v>
      </c>
      <c r="E171" s="1">
        <v>45448</v>
      </c>
      <c r="F171">
        <v>185</v>
      </c>
      <c r="G171" t="s">
        <v>27</v>
      </c>
      <c r="H171">
        <v>3.6</v>
      </c>
      <c r="I171">
        <v>462</v>
      </c>
      <c r="J171" t="s">
        <v>29</v>
      </c>
      <c r="L171" t="str" cm="1">
        <f t="array" ref="L171">_xlfn.IFS(H171&lt;=2,"bad",H171&lt;=2.5,"neutral",H171&gt;2.5,"good")</f>
        <v>good</v>
      </c>
      <c r="M171" t="str" cm="1">
        <f t="array" ref="M171">_xlfn.IFS(F171&lt;30,"short",F171&lt;90,"medium",F171&lt;180,"long",F171&gt;180,"very long")</f>
        <v>very long</v>
      </c>
      <c r="N171" t="str">
        <f>LEFT(Table1[[#This Row],[Activity_Type]],3)</f>
        <v>Boa</v>
      </c>
      <c r="O171" t="str">
        <f>UPPER(Table1[[#This Row],[Column2]])</f>
        <v>NAIR</v>
      </c>
      <c r="P171">
        <f>LEN(Table1[[#This Row],[Visitor_Name]])</f>
        <v>5</v>
      </c>
      <c r="S171">
        <f>ROUND(Table1[[#This Row],[Rating]],0)</f>
        <v>4</v>
      </c>
      <c r="T171" t="s">
        <v>70</v>
      </c>
      <c r="U171" t="s">
        <v>63</v>
      </c>
      <c r="V171" s="5" t="s">
        <v>17</v>
      </c>
      <c r="W171">
        <v>130</v>
      </c>
    </row>
    <row r="172" spans="1:23" x14ac:dyDescent="0.25">
      <c r="A172">
        <v>1171</v>
      </c>
      <c r="B172" t="s">
        <v>92</v>
      </c>
      <c r="C172" t="s">
        <v>80</v>
      </c>
      <c r="D172" t="s">
        <v>22</v>
      </c>
      <c r="E172" s="1">
        <v>45581</v>
      </c>
      <c r="F172">
        <v>222</v>
      </c>
      <c r="G172" t="s">
        <v>25</v>
      </c>
      <c r="H172">
        <v>4.3</v>
      </c>
      <c r="I172">
        <v>114</v>
      </c>
      <c r="J172" t="s">
        <v>34</v>
      </c>
      <c r="L172" t="str" cm="1">
        <f t="array" ref="L172">_xlfn.IFS(H172&lt;=2,"bad",H172&lt;=2.5,"neutral",H172&gt;2.5,"good")</f>
        <v>good</v>
      </c>
      <c r="M172" t="str" cm="1">
        <f t="array" ref="M172">_xlfn.IFS(F172&lt;30,"short",F172&lt;90,"medium",F172&lt;180,"long",F172&gt;180,"very long")</f>
        <v>very long</v>
      </c>
      <c r="N172" t="str">
        <f>LEFT(Table1[[#This Row],[Activity_Type]],3)</f>
        <v>Cam</v>
      </c>
      <c r="O172" t="str">
        <f>UPPER(Table1[[#This Row],[Column2]])</f>
        <v>MEHTA</v>
      </c>
      <c r="P172">
        <f>LEN(Table1[[#This Row],[Visitor_Name]])</f>
        <v>5</v>
      </c>
      <c r="S172">
        <f>ROUND(Table1[[#This Row],[Rating]],0)</f>
        <v>4</v>
      </c>
      <c r="T172" t="s">
        <v>68</v>
      </c>
      <c r="U172" t="s">
        <v>62</v>
      </c>
      <c r="V172" s="5" t="s">
        <v>16</v>
      </c>
      <c r="W172">
        <v>131</v>
      </c>
    </row>
    <row r="173" spans="1:23" x14ac:dyDescent="0.25">
      <c r="A173">
        <v>1172</v>
      </c>
      <c r="B173" t="s">
        <v>92</v>
      </c>
      <c r="C173" t="s">
        <v>98</v>
      </c>
      <c r="D173" t="s">
        <v>19</v>
      </c>
      <c r="E173" s="1">
        <v>45525</v>
      </c>
      <c r="F173">
        <v>26</v>
      </c>
      <c r="G173" t="s">
        <v>25</v>
      </c>
      <c r="H173">
        <v>4.5</v>
      </c>
      <c r="I173">
        <v>296</v>
      </c>
      <c r="J173" t="s">
        <v>30</v>
      </c>
      <c r="L173" t="str" cm="1">
        <f t="array" ref="L173">_xlfn.IFS(H173&lt;=2,"bad",H173&lt;=2.5,"neutral",H173&gt;2.5,"good")</f>
        <v>good</v>
      </c>
      <c r="M173" t="str" cm="1">
        <f t="array" ref="M173">_xlfn.IFS(F173&lt;30,"short",F173&lt;90,"medium",F173&lt;180,"long",F173&gt;180,"very long")</f>
        <v>short</v>
      </c>
      <c r="N173" t="str">
        <f>LEFT(Table1[[#This Row],[Activity_Type]],3)</f>
        <v>Saf</v>
      </c>
      <c r="O173" t="str">
        <f>UPPER(Table1[[#This Row],[Column2]])</f>
        <v>REDDY</v>
      </c>
      <c r="P173">
        <f>LEN(Table1[[#This Row],[Visitor_Name]])</f>
        <v>5</v>
      </c>
      <c r="S173">
        <f>ROUND(Table1[[#This Row],[Rating]],0)</f>
        <v>5</v>
      </c>
      <c r="T173" t="s">
        <v>77</v>
      </c>
      <c r="U173" t="s">
        <v>62</v>
      </c>
      <c r="V173" s="5" t="s">
        <v>14</v>
      </c>
      <c r="W173">
        <v>133</v>
      </c>
    </row>
    <row r="174" spans="1:23" x14ac:dyDescent="0.25">
      <c r="A174">
        <v>1173</v>
      </c>
      <c r="B174" t="s">
        <v>84</v>
      </c>
      <c r="C174" t="s">
        <v>80</v>
      </c>
      <c r="D174" t="s">
        <v>19</v>
      </c>
      <c r="E174" s="1">
        <v>45351</v>
      </c>
      <c r="F174">
        <v>166</v>
      </c>
      <c r="G174" t="s">
        <v>24</v>
      </c>
      <c r="H174">
        <v>4.2</v>
      </c>
      <c r="I174">
        <v>392</v>
      </c>
      <c r="J174" t="s">
        <v>36</v>
      </c>
      <c r="L174" t="str" cm="1">
        <f t="array" ref="L174">_xlfn.IFS(H174&lt;=2,"bad",H174&lt;=2.5,"neutral",H174&gt;2.5,"good")</f>
        <v>good</v>
      </c>
      <c r="M174" t="str" cm="1">
        <f t="array" ref="M174">_xlfn.IFS(F174&lt;30,"short",F174&lt;90,"medium",F174&lt;180,"long",F174&gt;180,"very long")</f>
        <v>long</v>
      </c>
      <c r="N174" t="str">
        <f>LEFT(Table1[[#This Row],[Activity_Type]],3)</f>
        <v>Saf</v>
      </c>
      <c r="O174" t="str">
        <f>UPPER(Table1[[#This Row],[Column2]])</f>
        <v>MEHTA</v>
      </c>
      <c r="P174">
        <f>LEN(Table1[[#This Row],[Visitor_Name]])</f>
        <v>5</v>
      </c>
      <c r="S174">
        <f>ROUND(Table1[[#This Row],[Rating]],0)</f>
        <v>4</v>
      </c>
      <c r="T174" t="s">
        <v>68</v>
      </c>
      <c r="U174" t="s">
        <v>63</v>
      </c>
      <c r="V174" s="5" t="s">
        <v>13</v>
      </c>
      <c r="W174">
        <v>136</v>
      </c>
    </row>
    <row r="175" spans="1:23" x14ac:dyDescent="0.25">
      <c r="A175">
        <v>1174</v>
      </c>
      <c r="B175" t="s">
        <v>92</v>
      </c>
      <c r="C175" t="s">
        <v>93</v>
      </c>
      <c r="D175" t="s">
        <v>21</v>
      </c>
      <c r="E175" s="1">
        <v>45329</v>
      </c>
      <c r="F175">
        <v>100</v>
      </c>
      <c r="G175" t="s">
        <v>27</v>
      </c>
      <c r="H175">
        <v>3.5</v>
      </c>
      <c r="I175">
        <v>264</v>
      </c>
      <c r="J175" t="s">
        <v>37</v>
      </c>
      <c r="L175" t="str" cm="1">
        <f t="array" ref="L175">_xlfn.IFS(H175&lt;=2,"bad",H175&lt;=2.5,"neutral",H175&gt;2.5,"good")</f>
        <v>good</v>
      </c>
      <c r="M175" t="str" cm="1">
        <f t="array" ref="M175">_xlfn.IFS(F175&lt;30,"short",F175&lt;90,"medium",F175&lt;180,"long",F175&gt;180,"very long")</f>
        <v>long</v>
      </c>
      <c r="N175" t="str">
        <f>LEFT(Table1[[#This Row],[Activity_Type]],3)</f>
        <v>Bir</v>
      </c>
      <c r="O175" t="str">
        <f>UPPER(Table1[[#This Row],[Column2]])</f>
        <v>IYER</v>
      </c>
      <c r="P175">
        <f>LEN(Table1[[#This Row],[Visitor_Name]])</f>
        <v>5</v>
      </c>
      <c r="S175">
        <f>ROUND(Table1[[#This Row],[Rating]],0)</f>
        <v>4</v>
      </c>
      <c r="T175" t="s">
        <v>74</v>
      </c>
      <c r="U175" t="s">
        <v>62</v>
      </c>
      <c r="V175" s="5" t="s">
        <v>12</v>
      </c>
      <c r="W175">
        <v>136</v>
      </c>
    </row>
    <row r="176" spans="1:23" x14ac:dyDescent="0.25">
      <c r="A176">
        <v>1175</v>
      </c>
      <c r="B176" t="s">
        <v>84</v>
      </c>
      <c r="C176" t="s">
        <v>89</v>
      </c>
      <c r="D176" t="s">
        <v>18</v>
      </c>
      <c r="E176" s="1">
        <v>45425</v>
      </c>
      <c r="F176">
        <v>64</v>
      </c>
      <c r="G176" t="s">
        <v>24</v>
      </c>
      <c r="H176">
        <v>4.8</v>
      </c>
      <c r="I176">
        <v>441</v>
      </c>
      <c r="J176" t="s">
        <v>32</v>
      </c>
      <c r="L176" t="str" cm="1">
        <f t="array" ref="L176">_xlfn.IFS(H176&lt;=2,"bad",H176&lt;=2.5,"neutral",H176&gt;2.5,"good")</f>
        <v>good</v>
      </c>
      <c r="M176" t="str" cm="1">
        <f t="array" ref="M176">_xlfn.IFS(F176&lt;30,"short",F176&lt;90,"medium",F176&lt;180,"long",F176&gt;180,"very long")</f>
        <v>medium</v>
      </c>
      <c r="N176" t="str">
        <f>LEFT(Table1[[#This Row],[Activity_Type]],3)</f>
        <v>Pho</v>
      </c>
      <c r="O176" t="str">
        <f>UPPER(Table1[[#This Row],[Column2]])</f>
        <v>MENON</v>
      </c>
      <c r="P176">
        <f>LEN(Table1[[#This Row],[Visitor_Name]])</f>
        <v>5</v>
      </c>
      <c r="S176">
        <f>ROUND(Table1[[#This Row],[Rating]],0)</f>
        <v>5</v>
      </c>
      <c r="T176" t="s">
        <v>73</v>
      </c>
      <c r="U176" t="s">
        <v>63</v>
      </c>
      <c r="V176" s="5" t="s">
        <v>14</v>
      </c>
      <c r="W176">
        <v>139</v>
      </c>
    </row>
    <row r="177" spans="1:23" x14ac:dyDescent="0.25">
      <c r="A177">
        <v>1176</v>
      </c>
      <c r="B177" t="s">
        <v>91</v>
      </c>
      <c r="C177" t="s">
        <v>95</v>
      </c>
      <c r="D177" t="s">
        <v>22</v>
      </c>
      <c r="E177" s="1">
        <v>45318</v>
      </c>
      <c r="F177">
        <v>54</v>
      </c>
      <c r="G177" t="s">
        <v>24</v>
      </c>
      <c r="H177">
        <v>4.3</v>
      </c>
      <c r="I177">
        <v>447</v>
      </c>
      <c r="J177" t="s">
        <v>37</v>
      </c>
      <c r="L177" t="str" cm="1">
        <f t="array" ref="L177">_xlfn.IFS(H177&lt;=2,"bad",H177&lt;=2.5,"neutral",H177&gt;2.5,"good")</f>
        <v>good</v>
      </c>
      <c r="M177" t="str" cm="1">
        <f t="array" ref="M177">_xlfn.IFS(F177&lt;30,"short",F177&lt;90,"medium",F177&lt;180,"long",F177&gt;180,"very long")</f>
        <v>medium</v>
      </c>
      <c r="N177" t="str">
        <f>LEFT(Table1[[#This Row],[Activity_Type]],3)</f>
        <v>Cam</v>
      </c>
      <c r="O177" t="str">
        <f>UPPER(Table1[[#This Row],[Column2]])</f>
        <v>SINGH</v>
      </c>
      <c r="P177">
        <f>LEN(Table1[[#This Row],[Visitor_Name]])</f>
        <v>5</v>
      </c>
      <c r="S177">
        <f>ROUND(Table1[[#This Row],[Rating]],0)</f>
        <v>4</v>
      </c>
      <c r="T177" t="s">
        <v>75</v>
      </c>
      <c r="U177" t="s">
        <v>61</v>
      </c>
      <c r="V177" s="5" t="s">
        <v>10</v>
      </c>
      <c r="W177">
        <v>140</v>
      </c>
    </row>
    <row r="178" spans="1:23" x14ac:dyDescent="0.25">
      <c r="A178">
        <v>1177</v>
      </c>
      <c r="B178" t="s">
        <v>79</v>
      </c>
      <c r="C178" t="s">
        <v>96</v>
      </c>
      <c r="D178" t="s">
        <v>20</v>
      </c>
      <c r="E178" s="1">
        <v>45340</v>
      </c>
      <c r="F178">
        <v>223</v>
      </c>
      <c r="G178" t="s">
        <v>25</v>
      </c>
      <c r="H178">
        <v>3.9</v>
      </c>
      <c r="I178">
        <v>209</v>
      </c>
      <c r="J178" t="s">
        <v>32</v>
      </c>
      <c r="L178" t="str" cm="1">
        <f t="array" ref="L178">_xlfn.IFS(H178&lt;=2,"bad",H178&lt;=2.5,"neutral",H178&gt;2.5,"good")</f>
        <v>good</v>
      </c>
      <c r="M178" t="str" cm="1">
        <f t="array" ref="M178">_xlfn.IFS(F178&lt;30,"short",F178&lt;90,"medium",F178&lt;180,"long",F178&gt;180,"very long")</f>
        <v>very long</v>
      </c>
      <c r="N178" t="str">
        <f>LEFT(Table1[[#This Row],[Activity_Type]],3)</f>
        <v>Hik</v>
      </c>
      <c r="O178" t="str">
        <f>UPPER(Table1[[#This Row],[Column2]])</f>
        <v>SHARMA</v>
      </c>
      <c r="P178">
        <f>LEN(Table1[[#This Row],[Visitor_Name]])</f>
        <v>5</v>
      </c>
      <c r="S178">
        <f>ROUND(Table1[[#This Row],[Rating]],0)</f>
        <v>4</v>
      </c>
      <c r="T178" t="s">
        <v>76</v>
      </c>
      <c r="U178" t="s">
        <v>58</v>
      </c>
      <c r="V178" s="5" t="s">
        <v>12</v>
      </c>
      <c r="W178">
        <v>141</v>
      </c>
    </row>
    <row r="179" spans="1:23" x14ac:dyDescent="0.25">
      <c r="A179">
        <v>1178</v>
      </c>
      <c r="B179" t="s">
        <v>84</v>
      </c>
      <c r="C179" t="s">
        <v>89</v>
      </c>
      <c r="D179" t="s">
        <v>23</v>
      </c>
      <c r="E179" s="1">
        <v>45370</v>
      </c>
      <c r="F179">
        <v>103</v>
      </c>
      <c r="G179" t="s">
        <v>25</v>
      </c>
      <c r="H179">
        <v>2.8</v>
      </c>
      <c r="I179">
        <v>474</v>
      </c>
      <c r="J179" t="s">
        <v>33</v>
      </c>
      <c r="L179" t="str" cm="1">
        <f t="array" ref="L179">_xlfn.IFS(H179&lt;=2,"bad",H179&lt;=2.5,"neutral",H179&gt;2.5,"good")</f>
        <v>good</v>
      </c>
      <c r="M179" t="str" cm="1">
        <f t="array" ref="M179">_xlfn.IFS(F179&lt;30,"short",F179&lt;90,"medium",F179&lt;180,"long",F179&gt;180,"very long")</f>
        <v>long</v>
      </c>
      <c r="N179" t="str">
        <f>LEFT(Table1[[#This Row],[Activity_Type]],3)</f>
        <v>Boa</v>
      </c>
      <c r="O179" t="str">
        <f>UPPER(Table1[[#This Row],[Column2]])</f>
        <v>MENON</v>
      </c>
      <c r="P179">
        <f>LEN(Table1[[#This Row],[Visitor_Name]])</f>
        <v>5</v>
      </c>
      <c r="S179">
        <f>ROUND(Table1[[#This Row],[Rating]],0)</f>
        <v>3</v>
      </c>
      <c r="T179" t="s">
        <v>73</v>
      </c>
      <c r="U179" t="s">
        <v>63</v>
      </c>
      <c r="V179" s="5" t="s">
        <v>16</v>
      </c>
      <c r="W179">
        <v>148</v>
      </c>
    </row>
    <row r="180" spans="1:23" x14ac:dyDescent="0.25">
      <c r="A180">
        <v>1179</v>
      </c>
      <c r="B180" t="s">
        <v>84</v>
      </c>
      <c r="C180" t="s">
        <v>87</v>
      </c>
      <c r="D180" t="s">
        <v>23</v>
      </c>
      <c r="E180" s="1">
        <v>45419</v>
      </c>
      <c r="F180">
        <v>168</v>
      </c>
      <c r="G180" t="s">
        <v>26</v>
      </c>
      <c r="H180">
        <v>3.8</v>
      </c>
      <c r="I180">
        <v>191</v>
      </c>
      <c r="J180" t="s">
        <v>32</v>
      </c>
      <c r="L180" t="str" cm="1">
        <f t="array" ref="L180">_xlfn.IFS(H180&lt;=2,"bad",H180&lt;=2.5,"neutral",H180&gt;2.5,"good")</f>
        <v>good</v>
      </c>
      <c r="M180" t="str" cm="1">
        <f t="array" ref="M180">_xlfn.IFS(F180&lt;30,"short",F180&lt;90,"medium",F180&lt;180,"long",F180&gt;180,"very long")</f>
        <v>long</v>
      </c>
      <c r="N180" t="str">
        <f>LEFT(Table1[[#This Row],[Activity_Type]],3)</f>
        <v>Boa</v>
      </c>
      <c r="O180" t="str">
        <f>UPPER(Table1[[#This Row],[Column2]])</f>
        <v>VERMA</v>
      </c>
      <c r="P180">
        <f>LEN(Table1[[#This Row],[Visitor_Name]])</f>
        <v>5</v>
      </c>
      <c r="S180">
        <f>ROUND(Table1[[#This Row],[Rating]],0)</f>
        <v>4</v>
      </c>
      <c r="T180" t="s">
        <v>72</v>
      </c>
      <c r="U180" t="s">
        <v>63</v>
      </c>
      <c r="V180" s="5" t="s">
        <v>14</v>
      </c>
      <c r="W180">
        <v>153</v>
      </c>
    </row>
    <row r="181" spans="1:23" x14ac:dyDescent="0.25">
      <c r="A181">
        <v>1180</v>
      </c>
      <c r="B181" t="s">
        <v>94</v>
      </c>
      <c r="C181" t="s">
        <v>81</v>
      </c>
      <c r="D181" t="s">
        <v>19</v>
      </c>
      <c r="E181" s="1">
        <v>45578</v>
      </c>
      <c r="F181">
        <v>121</v>
      </c>
      <c r="G181" t="s">
        <v>26</v>
      </c>
      <c r="H181">
        <v>3.4</v>
      </c>
      <c r="I181">
        <v>433</v>
      </c>
      <c r="J181" t="s">
        <v>34</v>
      </c>
      <c r="L181" t="str" cm="1">
        <f t="array" ref="L181">_xlfn.IFS(H181&lt;=2,"bad",H181&lt;=2.5,"neutral",H181&gt;2.5,"good")</f>
        <v>good</v>
      </c>
      <c r="M181" t="str" cm="1">
        <f t="array" ref="M181">_xlfn.IFS(F181&lt;30,"short",F181&lt;90,"medium",F181&lt;180,"long",F181&gt;180,"very long")</f>
        <v>long</v>
      </c>
      <c r="N181" t="str">
        <f>LEFT(Table1[[#This Row],[Activity_Type]],3)</f>
        <v>Saf</v>
      </c>
      <c r="O181" t="str">
        <f>UPPER(Table1[[#This Row],[Column2]])</f>
        <v>PATEL</v>
      </c>
      <c r="P181">
        <f>LEN(Table1[[#This Row],[Visitor_Name]])</f>
        <v>5</v>
      </c>
      <c r="S181">
        <f>ROUND(Table1[[#This Row],[Rating]],0)</f>
        <v>3</v>
      </c>
      <c r="T181" t="s">
        <v>69</v>
      </c>
      <c r="U181" t="s">
        <v>64</v>
      </c>
      <c r="V181" s="5" t="s">
        <v>13</v>
      </c>
      <c r="W181">
        <v>162</v>
      </c>
    </row>
    <row r="182" spans="1:23" x14ac:dyDescent="0.25">
      <c r="A182">
        <v>1181</v>
      </c>
      <c r="B182" t="s">
        <v>86</v>
      </c>
      <c r="C182" t="s">
        <v>95</v>
      </c>
      <c r="D182" t="s">
        <v>23</v>
      </c>
      <c r="E182" s="1">
        <v>45601</v>
      </c>
      <c r="F182">
        <v>124</v>
      </c>
      <c r="G182" t="s">
        <v>27</v>
      </c>
      <c r="H182">
        <v>2.9</v>
      </c>
      <c r="I182">
        <v>389</v>
      </c>
      <c r="J182" t="s">
        <v>30</v>
      </c>
      <c r="L182" t="str" cm="1">
        <f t="array" ref="L182">_xlfn.IFS(H182&lt;=2,"bad",H182&lt;=2.5,"neutral",H182&gt;2.5,"good")</f>
        <v>good</v>
      </c>
      <c r="M182" t="str" cm="1">
        <f t="array" ref="M182">_xlfn.IFS(F182&lt;30,"short",F182&lt;90,"medium",F182&lt;180,"long",F182&gt;180,"very long")</f>
        <v>long</v>
      </c>
      <c r="N182" t="str">
        <f>LEFT(Table1[[#This Row],[Activity_Type]],3)</f>
        <v>Boa</v>
      </c>
      <c r="O182" t="str">
        <f>UPPER(Table1[[#This Row],[Column2]])</f>
        <v>SINGH</v>
      </c>
      <c r="P182">
        <f>LEN(Table1[[#This Row],[Visitor_Name]])</f>
        <v>6</v>
      </c>
      <c r="S182">
        <f>ROUND(Table1[[#This Row],[Rating]],0)</f>
        <v>3</v>
      </c>
      <c r="T182" t="s">
        <v>75</v>
      </c>
      <c r="U182" t="s">
        <v>66</v>
      </c>
      <c r="V182" s="5" t="s">
        <v>14</v>
      </c>
      <c r="W182">
        <v>166</v>
      </c>
    </row>
    <row r="183" spans="1:23" x14ac:dyDescent="0.25">
      <c r="A183">
        <v>1182</v>
      </c>
      <c r="B183" t="s">
        <v>90</v>
      </c>
      <c r="C183" t="s">
        <v>96</v>
      </c>
      <c r="D183" t="s">
        <v>20</v>
      </c>
      <c r="E183" s="1">
        <v>45607</v>
      </c>
      <c r="F183">
        <v>181</v>
      </c>
      <c r="G183" t="s">
        <v>24</v>
      </c>
      <c r="H183">
        <v>3.6</v>
      </c>
      <c r="I183">
        <v>302</v>
      </c>
      <c r="J183" t="s">
        <v>28</v>
      </c>
      <c r="L183" t="str" cm="1">
        <f t="array" ref="L183">_xlfn.IFS(H183&lt;=2,"bad",H183&lt;=2.5,"neutral",H183&gt;2.5,"good")</f>
        <v>good</v>
      </c>
      <c r="M183" t="str" cm="1">
        <f t="array" ref="M183">_xlfn.IFS(F183&lt;30,"short",F183&lt;90,"medium",F183&lt;180,"long",F183&gt;180,"very long")</f>
        <v>very long</v>
      </c>
      <c r="N183" t="str">
        <f>LEFT(Table1[[#This Row],[Activity_Type]],3)</f>
        <v>Hik</v>
      </c>
      <c r="O183" t="str">
        <f>UPPER(Table1[[#This Row],[Column2]])</f>
        <v>SHARMA</v>
      </c>
      <c r="P183">
        <f>LEN(Table1[[#This Row],[Visitor_Name]])</f>
        <v>5</v>
      </c>
      <c r="S183">
        <f>ROUND(Table1[[#This Row],[Rating]],0)</f>
        <v>4</v>
      </c>
      <c r="T183" t="s">
        <v>76</v>
      </c>
      <c r="U183" t="s">
        <v>60</v>
      </c>
      <c r="V183" s="5" t="s">
        <v>15</v>
      </c>
      <c r="W183">
        <v>166</v>
      </c>
    </row>
    <row r="184" spans="1:23" x14ac:dyDescent="0.25">
      <c r="A184">
        <v>1183</v>
      </c>
      <c r="B184" t="s">
        <v>97</v>
      </c>
      <c r="C184" t="s">
        <v>83</v>
      </c>
      <c r="D184" t="s">
        <v>22</v>
      </c>
      <c r="E184" s="1">
        <v>45340</v>
      </c>
      <c r="F184">
        <v>57</v>
      </c>
      <c r="G184" t="s">
        <v>26</v>
      </c>
      <c r="H184">
        <v>4.2</v>
      </c>
      <c r="I184">
        <v>291</v>
      </c>
      <c r="J184" t="s">
        <v>35</v>
      </c>
      <c r="L184" t="str" cm="1">
        <f t="array" ref="L184">_xlfn.IFS(H184&lt;=2,"bad",H184&lt;=2.5,"neutral",H184&gt;2.5,"good")</f>
        <v>good</v>
      </c>
      <c r="M184" t="str" cm="1">
        <f t="array" ref="M184">_xlfn.IFS(F184&lt;30,"short",F184&lt;90,"medium",F184&lt;180,"long",F184&gt;180,"very long")</f>
        <v>medium</v>
      </c>
      <c r="N184" t="str">
        <f>LEFT(Table1[[#This Row],[Activity_Type]],3)</f>
        <v>Cam</v>
      </c>
      <c r="O184" t="str">
        <f>UPPER(Table1[[#This Row],[Column2]])</f>
        <v>NAIR</v>
      </c>
      <c r="P184">
        <f>LEN(Table1[[#This Row],[Visitor_Name]])</f>
        <v>5</v>
      </c>
      <c r="S184">
        <f>ROUND(Table1[[#This Row],[Rating]],0)</f>
        <v>4</v>
      </c>
      <c r="T184" t="s">
        <v>70</v>
      </c>
      <c r="U184" t="s">
        <v>65</v>
      </c>
      <c r="V184" s="5" t="s">
        <v>12</v>
      </c>
      <c r="W184">
        <v>168</v>
      </c>
    </row>
    <row r="185" spans="1:23" x14ac:dyDescent="0.25">
      <c r="A185">
        <v>1184</v>
      </c>
      <c r="B185" t="s">
        <v>97</v>
      </c>
      <c r="C185" t="s">
        <v>85</v>
      </c>
      <c r="D185" t="s">
        <v>18</v>
      </c>
      <c r="E185" s="1">
        <v>45454</v>
      </c>
      <c r="F185">
        <v>57</v>
      </c>
      <c r="G185" t="s">
        <v>26</v>
      </c>
      <c r="H185">
        <v>2.6</v>
      </c>
      <c r="I185">
        <v>407</v>
      </c>
      <c r="J185" t="s">
        <v>37</v>
      </c>
      <c r="L185" t="str" cm="1">
        <f t="array" ref="L185">_xlfn.IFS(H185&lt;=2,"bad",H185&lt;=2.5,"neutral",H185&gt;2.5,"good")</f>
        <v>good</v>
      </c>
      <c r="M185" t="str" cm="1">
        <f t="array" ref="M185">_xlfn.IFS(F185&lt;30,"short",F185&lt;90,"medium",F185&lt;180,"long",F185&gt;180,"very long")</f>
        <v>medium</v>
      </c>
      <c r="N185" t="str">
        <f>LEFT(Table1[[#This Row],[Activity_Type]],3)</f>
        <v>Pho</v>
      </c>
      <c r="O185" t="str">
        <f>UPPER(Table1[[#This Row],[Column2]])</f>
        <v>DAS</v>
      </c>
      <c r="P185">
        <f>LEN(Table1[[#This Row],[Visitor_Name]])</f>
        <v>5</v>
      </c>
      <c r="S185">
        <f>ROUND(Table1[[#This Row],[Rating]],0)</f>
        <v>3</v>
      </c>
      <c r="T185" t="s">
        <v>71</v>
      </c>
      <c r="U185" t="s">
        <v>65</v>
      </c>
      <c r="V185" s="5" t="s">
        <v>15</v>
      </c>
      <c r="W185">
        <v>170</v>
      </c>
    </row>
    <row r="186" spans="1:23" x14ac:dyDescent="0.25">
      <c r="A186">
        <v>1185</v>
      </c>
      <c r="B186" t="s">
        <v>91</v>
      </c>
      <c r="C186" t="s">
        <v>87</v>
      </c>
      <c r="D186" t="s">
        <v>22</v>
      </c>
      <c r="E186" s="1">
        <v>45327</v>
      </c>
      <c r="F186">
        <v>126</v>
      </c>
      <c r="G186" t="s">
        <v>27</v>
      </c>
      <c r="H186">
        <v>3.9</v>
      </c>
      <c r="I186">
        <v>429</v>
      </c>
      <c r="J186" t="s">
        <v>37</v>
      </c>
      <c r="L186" t="str" cm="1">
        <f t="array" ref="L186">_xlfn.IFS(H186&lt;=2,"bad",H186&lt;=2.5,"neutral",H186&gt;2.5,"good")</f>
        <v>good</v>
      </c>
      <c r="M186" t="str" cm="1">
        <f t="array" ref="M186">_xlfn.IFS(F186&lt;30,"short",F186&lt;90,"medium",F186&lt;180,"long",F186&gt;180,"very long")</f>
        <v>long</v>
      </c>
      <c r="N186" t="str">
        <f>LEFT(Table1[[#This Row],[Activity_Type]],3)</f>
        <v>Cam</v>
      </c>
      <c r="O186" t="str">
        <f>UPPER(Table1[[#This Row],[Column2]])</f>
        <v>VERMA</v>
      </c>
      <c r="P186">
        <f>LEN(Table1[[#This Row],[Visitor_Name]])</f>
        <v>5</v>
      </c>
      <c r="S186">
        <f>ROUND(Table1[[#This Row],[Rating]],0)</f>
        <v>4</v>
      </c>
      <c r="T186" t="s">
        <v>72</v>
      </c>
      <c r="U186" t="s">
        <v>61</v>
      </c>
      <c r="V186" s="5" t="s">
        <v>11</v>
      </c>
      <c r="W186">
        <v>173</v>
      </c>
    </row>
    <row r="187" spans="1:23" x14ac:dyDescent="0.25">
      <c r="A187">
        <v>1186</v>
      </c>
      <c r="B187" t="s">
        <v>82</v>
      </c>
      <c r="C187" t="s">
        <v>89</v>
      </c>
      <c r="D187" t="s">
        <v>22</v>
      </c>
      <c r="E187" s="1">
        <v>45654</v>
      </c>
      <c r="F187">
        <v>208</v>
      </c>
      <c r="G187" t="s">
        <v>24</v>
      </c>
      <c r="H187">
        <v>4</v>
      </c>
      <c r="I187">
        <v>267</v>
      </c>
      <c r="J187" t="s">
        <v>33</v>
      </c>
      <c r="L187" t="str" cm="1">
        <f t="array" ref="L187">_xlfn.IFS(H187&lt;=2,"bad",H187&lt;=2.5,"neutral",H187&gt;2.5,"good")</f>
        <v>good</v>
      </c>
      <c r="M187" t="str" cm="1">
        <f t="array" ref="M187">_xlfn.IFS(F187&lt;30,"short",F187&lt;90,"medium",F187&lt;180,"long",F187&gt;180,"very long")</f>
        <v>very long</v>
      </c>
      <c r="N187" t="str">
        <f>LEFT(Table1[[#This Row],[Activity_Type]],3)</f>
        <v>Cam</v>
      </c>
      <c r="O187" t="str">
        <f>UPPER(Table1[[#This Row],[Column2]])</f>
        <v>MENON</v>
      </c>
      <c r="P187">
        <f>LEN(Table1[[#This Row],[Visitor_Name]])</f>
        <v>5</v>
      </c>
      <c r="S187">
        <f>ROUND(Table1[[#This Row],[Rating]],0)</f>
        <v>4</v>
      </c>
      <c r="T187" t="s">
        <v>73</v>
      </c>
      <c r="U187" t="s">
        <v>59</v>
      </c>
      <c r="V187" s="5" t="s">
        <v>16</v>
      </c>
      <c r="W187">
        <v>177</v>
      </c>
    </row>
    <row r="188" spans="1:23" x14ac:dyDescent="0.25">
      <c r="A188">
        <v>1187</v>
      </c>
      <c r="B188" t="s">
        <v>97</v>
      </c>
      <c r="C188" t="s">
        <v>81</v>
      </c>
      <c r="D188" t="s">
        <v>21</v>
      </c>
      <c r="E188" s="1">
        <v>45646</v>
      </c>
      <c r="F188">
        <v>102</v>
      </c>
      <c r="G188" t="s">
        <v>25</v>
      </c>
      <c r="H188">
        <v>3.7</v>
      </c>
      <c r="I188">
        <v>117</v>
      </c>
      <c r="J188" t="s">
        <v>37</v>
      </c>
      <c r="L188" t="str" cm="1">
        <f t="array" ref="L188">_xlfn.IFS(H188&lt;=2,"bad",H188&lt;=2.5,"neutral",H188&gt;2.5,"good")</f>
        <v>good</v>
      </c>
      <c r="M188" t="str" cm="1">
        <f t="array" ref="M188">_xlfn.IFS(F188&lt;30,"short",F188&lt;90,"medium",F188&lt;180,"long",F188&gt;180,"very long")</f>
        <v>long</v>
      </c>
      <c r="N188" t="str">
        <f>LEFT(Table1[[#This Row],[Activity_Type]],3)</f>
        <v>Bir</v>
      </c>
      <c r="O188" t="str">
        <f>UPPER(Table1[[#This Row],[Column2]])</f>
        <v>PATEL</v>
      </c>
      <c r="P188">
        <f>LEN(Table1[[#This Row],[Visitor_Name]])</f>
        <v>5</v>
      </c>
      <c r="S188">
        <f>ROUND(Table1[[#This Row],[Rating]],0)</f>
        <v>4</v>
      </c>
      <c r="T188" t="s">
        <v>69</v>
      </c>
      <c r="U188" t="s">
        <v>65</v>
      </c>
      <c r="V188" s="5" t="s">
        <v>17</v>
      </c>
      <c r="W188">
        <v>181</v>
      </c>
    </row>
    <row r="189" spans="1:23" x14ac:dyDescent="0.25">
      <c r="A189">
        <v>1188</v>
      </c>
      <c r="B189" t="s">
        <v>90</v>
      </c>
      <c r="C189" t="s">
        <v>98</v>
      </c>
      <c r="D189" t="s">
        <v>22</v>
      </c>
      <c r="E189" s="1">
        <v>45432</v>
      </c>
      <c r="F189">
        <v>140</v>
      </c>
      <c r="G189" t="s">
        <v>24</v>
      </c>
      <c r="H189">
        <v>3.7</v>
      </c>
      <c r="I189">
        <v>238</v>
      </c>
      <c r="J189" t="s">
        <v>28</v>
      </c>
      <c r="L189" t="str" cm="1">
        <f t="array" ref="L189">_xlfn.IFS(H189&lt;=2,"bad",H189&lt;=2.5,"neutral",H189&gt;2.5,"good")</f>
        <v>good</v>
      </c>
      <c r="M189" t="str" cm="1">
        <f t="array" ref="M189">_xlfn.IFS(F189&lt;30,"short",F189&lt;90,"medium",F189&lt;180,"long",F189&gt;180,"very long")</f>
        <v>long</v>
      </c>
      <c r="N189" t="str">
        <f>LEFT(Table1[[#This Row],[Activity_Type]],3)</f>
        <v>Cam</v>
      </c>
      <c r="O189" t="str">
        <f>UPPER(Table1[[#This Row],[Column2]])</f>
        <v>REDDY</v>
      </c>
      <c r="P189">
        <f>LEN(Table1[[#This Row],[Visitor_Name]])</f>
        <v>5</v>
      </c>
      <c r="S189">
        <f>ROUND(Table1[[#This Row],[Rating]],0)</f>
        <v>4</v>
      </c>
      <c r="T189" t="s">
        <v>77</v>
      </c>
      <c r="U189" t="s">
        <v>60</v>
      </c>
      <c r="V189" s="5" t="s">
        <v>15</v>
      </c>
      <c r="W189">
        <v>185</v>
      </c>
    </row>
    <row r="190" spans="1:23" x14ac:dyDescent="0.25">
      <c r="A190">
        <v>1189</v>
      </c>
      <c r="B190" t="s">
        <v>88</v>
      </c>
      <c r="C190" t="s">
        <v>87</v>
      </c>
      <c r="D190" t="s">
        <v>18</v>
      </c>
      <c r="E190" s="1">
        <v>45403</v>
      </c>
      <c r="F190">
        <v>24</v>
      </c>
      <c r="G190" t="s">
        <v>26</v>
      </c>
      <c r="H190">
        <v>4.0999999999999996</v>
      </c>
      <c r="I190">
        <v>481</v>
      </c>
      <c r="J190" t="s">
        <v>33</v>
      </c>
      <c r="L190" t="str" cm="1">
        <f t="array" ref="L190">_xlfn.IFS(H190&lt;=2,"bad",H190&lt;=2.5,"neutral",H190&gt;2.5,"good")</f>
        <v>good</v>
      </c>
      <c r="M190" t="str" cm="1">
        <f t="array" ref="M190">_xlfn.IFS(F190&lt;30,"short",F190&lt;90,"medium",F190&lt;180,"long",F190&gt;180,"very long")</f>
        <v>short</v>
      </c>
      <c r="N190" t="str">
        <f>LEFT(Table1[[#This Row],[Activity_Type]],3)</f>
        <v>Pho</v>
      </c>
      <c r="O190" t="str">
        <f>UPPER(Table1[[#This Row],[Column2]])</f>
        <v>VERMA</v>
      </c>
      <c r="P190">
        <f>LEN(Table1[[#This Row],[Visitor_Name]])</f>
        <v>6</v>
      </c>
      <c r="S190">
        <f>ROUND(Table1[[#This Row],[Rating]],0)</f>
        <v>4</v>
      </c>
      <c r="T190" t="s">
        <v>72</v>
      </c>
      <c r="U190" t="s">
        <v>67</v>
      </c>
      <c r="V190" s="5" t="s">
        <v>12</v>
      </c>
      <c r="W190">
        <v>202</v>
      </c>
    </row>
    <row r="191" spans="1:23" x14ac:dyDescent="0.25">
      <c r="A191">
        <v>1190</v>
      </c>
      <c r="B191" t="s">
        <v>94</v>
      </c>
      <c r="C191" t="s">
        <v>85</v>
      </c>
      <c r="D191" t="s">
        <v>18</v>
      </c>
      <c r="E191" s="1">
        <v>45580</v>
      </c>
      <c r="F191">
        <v>212</v>
      </c>
      <c r="G191" t="s">
        <v>24</v>
      </c>
      <c r="H191">
        <v>2.8</v>
      </c>
      <c r="I191">
        <v>240</v>
      </c>
      <c r="J191" t="s">
        <v>30</v>
      </c>
      <c r="L191" t="str" cm="1">
        <f t="array" ref="L191">_xlfn.IFS(H191&lt;=2,"bad",H191&lt;=2.5,"neutral",H191&gt;2.5,"good")</f>
        <v>good</v>
      </c>
      <c r="M191" t="str" cm="1">
        <f t="array" ref="M191">_xlfn.IFS(F191&lt;30,"short",F191&lt;90,"medium",F191&lt;180,"long",F191&gt;180,"very long")</f>
        <v>very long</v>
      </c>
      <c r="N191" t="str">
        <f>LEFT(Table1[[#This Row],[Activity_Type]],3)</f>
        <v>Pho</v>
      </c>
      <c r="O191" t="str">
        <f>UPPER(Table1[[#This Row],[Column2]])</f>
        <v>DAS</v>
      </c>
      <c r="P191">
        <f>LEN(Table1[[#This Row],[Visitor_Name]])</f>
        <v>5</v>
      </c>
      <c r="S191">
        <f>ROUND(Table1[[#This Row],[Rating]],0)</f>
        <v>3</v>
      </c>
      <c r="T191" t="s">
        <v>71</v>
      </c>
      <c r="U191" t="s">
        <v>64</v>
      </c>
      <c r="V191" s="5" t="s">
        <v>16</v>
      </c>
      <c r="W191">
        <v>208</v>
      </c>
    </row>
    <row r="192" spans="1:23" x14ac:dyDescent="0.25">
      <c r="A192">
        <v>1191</v>
      </c>
      <c r="B192" t="s">
        <v>88</v>
      </c>
      <c r="C192" t="s">
        <v>95</v>
      </c>
      <c r="D192" t="s">
        <v>18</v>
      </c>
      <c r="E192" s="1">
        <v>45549</v>
      </c>
      <c r="F192">
        <v>131</v>
      </c>
      <c r="G192" t="s">
        <v>25</v>
      </c>
      <c r="H192">
        <v>2.8</v>
      </c>
      <c r="I192">
        <v>347</v>
      </c>
      <c r="J192" t="s">
        <v>28</v>
      </c>
      <c r="L192" t="str" cm="1">
        <f t="array" ref="L192">_xlfn.IFS(H192&lt;=2,"bad",H192&lt;=2.5,"neutral",H192&gt;2.5,"good")</f>
        <v>good</v>
      </c>
      <c r="M192" t="str" cm="1">
        <f t="array" ref="M192">_xlfn.IFS(F192&lt;30,"short",F192&lt;90,"medium",F192&lt;180,"long",F192&gt;180,"very long")</f>
        <v>long</v>
      </c>
      <c r="N192" t="str">
        <f>LEFT(Table1[[#This Row],[Activity_Type]],3)</f>
        <v>Pho</v>
      </c>
      <c r="O192" t="str">
        <f>UPPER(Table1[[#This Row],[Column2]])</f>
        <v>SINGH</v>
      </c>
      <c r="P192">
        <f>LEN(Table1[[#This Row],[Visitor_Name]])</f>
        <v>6</v>
      </c>
      <c r="S192">
        <f>ROUND(Table1[[#This Row],[Rating]],0)</f>
        <v>3</v>
      </c>
      <c r="T192" t="s">
        <v>75</v>
      </c>
      <c r="U192" t="s">
        <v>67</v>
      </c>
      <c r="V192" s="5" t="s">
        <v>10</v>
      </c>
      <c r="W192">
        <v>212</v>
      </c>
    </row>
    <row r="193" spans="1:23" x14ac:dyDescent="0.25">
      <c r="A193">
        <v>1192</v>
      </c>
      <c r="B193" t="s">
        <v>86</v>
      </c>
      <c r="C193" t="s">
        <v>95</v>
      </c>
      <c r="D193" t="s">
        <v>22</v>
      </c>
      <c r="E193" s="1">
        <v>45456</v>
      </c>
      <c r="F193">
        <v>33</v>
      </c>
      <c r="G193" t="s">
        <v>25</v>
      </c>
      <c r="H193">
        <v>4.5</v>
      </c>
      <c r="I193">
        <v>264</v>
      </c>
      <c r="J193" t="s">
        <v>33</v>
      </c>
      <c r="L193" t="str" cm="1">
        <f t="array" ref="L193">_xlfn.IFS(H193&lt;=2,"bad",H193&lt;=2.5,"neutral",H193&gt;2.5,"good")</f>
        <v>good</v>
      </c>
      <c r="M193" t="str" cm="1">
        <f t="array" ref="M193">_xlfn.IFS(F193&lt;30,"short",F193&lt;90,"medium",F193&lt;180,"long",F193&gt;180,"very long")</f>
        <v>medium</v>
      </c>
      <c r="N193" t="str">
        <f>LEFT(Table1[[#This Row],[Activity_Type]],3)</f>
        <v>Cam</v>
      </c>
      <c r="O193" t="str">
        <f>UPPER(Table1[[#This Row],[Column2]])</f>
        <v>SINGH</v>
      </c>
      <c r="P193">
        <f>LEN(Table1[[#This Row],[Visitor_Name]])</f>
        <v>6</v>
      </c>
      <c r="S193">
        <f>ROUND(Table1[[#This Row],[Rating]],0)</f>
        <v>5</v>
      </c>
      <c r="T193" t="s">
        <v>75</v>
      </c>
      <c r="U193" t="s">
        <v>66</v>
      </c>
      <c r="V193" s="5" t="s">
        <v>11</v>
      </c>
      <c r="W193">
        <v>213</v>
      </c>
    </row>
    <row r="194" spans="1:23" x14ac:dyDescent="0.25">
      <c r="A194">
        <v>1193</v>
      </c>
      <c r="B194" t="s">
        <v>79</v>
      </c>
      <c r="C194" t="s">
        <v>83</v>
      </c>
      <c r="D194" t="s">
        <v>18</v>
      </c>
      <c r="E194" s="1">
        <v>45424</v>
      </c>
      <c r="F194">
        <v>116</v>
      </c>
      <c r="G194" t="s">
        <v>25</v>
      </c>
      <c r="H194">
        <v>4.0999999999999996</v>
      </c>
      <c r="I194">
        <v>214</v>
      </c>
      <c r="J194" t="s">
        <v>31</v>
      </c>
      <c r="L194" t="str" cm="1">
        <f t="array" ref="L194">_xlfn.IFS(H194&lt;=2,"bad",H194&lt;=2.5,"neutral",H194&gt;2.5,"good")</f>
        <v>good</v>
      </c>
      <c r="M194" t="str" cm="1">
        <f t="array" ref="M194">_xlfn.IFS(F194&lt;30,"short",F194&lt;90,"medium",F194&lt;180,"long",F194&gt;180,"very long")</f>
        <v>long</v>
      </c>
      <c r="N194" t="str">
        <f>LEFT(Table1[[#This Row],[Activity_Type]],3)</f>
        <v>Pho</v>
      </c>
      <c r="O194" t="str">
        <f>UPPER(Table1[[#This Row],[Column2]])</f>
        <v>NAIR</v>
      </c>
      <c r="P194">
        <f>LEN(Table1[[#This Row],[Visitor_Name]])</f>
        <v>5</v>
      </c>
      <c r="S194">
        <f>ROUND(Table1[[#This Row],[Rating]],0)</f>
        <v>4</v>
      </c>
      <c r="T194" t="s">
        <v>70</v>
      </c>
      <c r="U194" t="s">
        <v>58</v>
      </c>
      <c r="V194" s="5" t="s">
        <v>13</v>
      </c>
      <c r="W194">
        <v>215</v>
      </c>
    </row>
    <row r="195" spans="1:23" x14ac:dyDescent="0.25">
      <c r="A195">
        <v>1194</v>
      </c>
      <c r="B195" t="s">
        <v>84</v>
      </c>
      <c r="C195" t="s">
        <v>96</v>
      </c>
      <c r="D195" t="s">
        <v>23</v>
      </c>
      <c r="E195" s="1">
        <v>45593</v>
      </c>
      <c r="F195">
        <v>217</v>
      </c>
      <c r="G195" t="s">
        <v>27</v>
      </c>
      <c r="H195">
        <v>4.2</v>
      </c>
      <c r="I195">
        <v>260</v>
      </c>
      <c r="J195" t="s">
        <v>35</v>
      </c>
      <c r="L195" t="str" cm="1">
        <f t="array" ref="L195">_xlfn.IFS(H195&lt;=2,"bad",H195&lt;=2.5,"neutral",H195&gt;2.5,"good")</f>
        <v>good</v>
      </c>
      <c r="M195" t="str" cm="1">
        <f t="array" ref="M195">_xlfn.IFS(F195&lt;30,"short",F195&lt;90,"medium",F195&lt;180,"long",F195&gt;180,"very long")</f>
        <v>very long</v>
      </c>
      <c r="N195" t="str">
        <f>LEFT(Table1[[#This Row],[Activity_Type]],3)</f>
        <v>Boa</v>
      </c>
      <c r="O195" t="str">
        <f>UPPER(Table1[[#This Row],[Column2]])</f>
        <v>SHARMA</v>
      </c>
      <c r="P195">
        <f>LEN(Table1[[#This Row],[Visitor_Name]])</f>
        <v>5</v>
      </c>
      <c r="S195">
        <f>ROUND(Table1[[#This Row],[Rating]],0)</f>
        <v>4</v>
      </c>
      <c r="T195" t="s">
        <v>76</v>
      </c>
      <c r="U195" t="s">
        <v>63</v>
      </c>
      <c r="V195" s="5" t="s">
        <v>10</v>
      </c>
      <c r="W195">
        <v>216</v>
      </c>
    </row>
    <row r="196" spans="1:23" x14ac:dyDescent="0.25">
      <c r="A196">
        <v>1195</v>
      </c>
      <c r="B196" t="s">
        <v>79</v>
      </c>
      <c r="C196" t="s">
        <v>80</v>
      </c>
      <c r="D196" t="s">
        <v>18</v>
      </c>
      <c r="E196" s="1">
        <v>45476</v>
      </c>
      <c r="F196">
        <v>232</v>
      </c>
      <c r="G196" t="s">
        <v>27</v>
      </c>
      <c r="H196">
        <v>4.7</v>
      </c>
      <c r="I196">
        <v>147</v>
      </c>
      <c r="J196" t="s">
        <v>36</v>
      </c>
      <c r="L196" t="str" cm="1">
        <f t="array" ref="L196">_xlfn.IFS(H196&lt;=2,"bad",H196&lt;=2.5,"neutral",H196&gt;2.5,"good")</f>
        <v>good</v>
      </c>
      <c r="M196" t="str" cm="1">
        <f t="array" ref="M196">_xlfn.IFS(F196&lt;30,"short",F196&lt;90,"medium",F196&lt;180,"long",F196&gt;180,"very long")</f>
        <v>very long</v>
      </c>
      <c r="N196" t="str">
        <f>LEFT(Table1[[#This Row],[Activity_Type]],3)</f>
        <v>Pho</v>
      </c>
      <c r="O196" t="str">
        <f>UPPER(Table1[[#This Row],[Column2]])</f>
        <v>MEHTA</v>
      </c>
      <c r="P196">
        <f>LEN(Table1[[#This Row],[Visitor_Name]])</f>
        <v>5</v>
      </c>
      <c r="S196">
        <f>ROUND(Table1[[#This Row],[Rating]],0)</f>
        <v>5</v>
      </c>
      <c r="T196" t="s">
        <v>68</v>
      </c>
      <c r="U196" t="s">
        <v>58</v>
      </c>
      <c r="V196" s="5" t="s">
        <v>14</v>
      </c>
      <c r="W196">
        <v>217</v>
      </c>
    </row>
    <row r="197" spans="1:23" x14ac:dyDescent="0.25">
      <c r="A197">
        <v>1196</v>
      </c>
      <c r="B197" t="s">
        <v>97</v>
      </c>
      <c r="C197" t="s">
        <v>81</v>
      </c>
      <c r="D197" t="s">
        <v>21</v>
      </c>
      <c r="E197" s="1">
        <v>45638</v>
      </c>
      <c r="F197">
        <v>228</v>
      </c>
      <c r="G197" t="s">
        <v>25</v>
      </c>
      <c r="H197">
        <v>4.7</v>
      </c>
      <c r="I197">
        <v>283</v>
      </c>
      <c r="J197" t="s">
        <v>35</v>
      </c>
      <c r="L197" t="str" cm="1">
        <f t="array" ref="L197">_xlfn.IFS(H197&lt;=2,"bad",H197&lt;=2.5,"neutral",H197&gt;2.5,"good")</f>
        <v>good</v>
      </c>
      <c r="M197" t="str" cm="1">
        <f t="array" ref="M197">_xlfn.IFS(F197&lt;30,"short",F197&lt;90,"medium",F197&lt;180,"long",F197&gt;180,"very long")</f>
        <v>very long</v>
      </c>
      <c r="N197" t="str">
        <f>LEFT(Table1[[#This Row],[Activity_Type]],3)</f>
        <v>Bir</v>
      </c>
      <c r="O197" t="str">
        <f>UPPER(Table1[[#This Row],[Column2]])</f>
        <v>PATEL</v>
      </c>
      <c r="P197">
        <f>LEN(Table1[[#This Row],[Visitor_Name]])</f>
        <v>5</v>
      </c>
      <c r="S197">
        <f>ROUND(Table1[[#This Row],[Rating]],0)</f>
        <v>5</v>
      </c>
      <c r="T197" t="s">
        <v>69</v>
      </c>
      <c r="U197" t="s">
        <v>65</v>
      </c>
      <c r="V197" s="5" t="s">
        <v>13</v>
      </c>
      <c r="W197">
        <v>219</v>
      </c>
    </row>
    <row r="198" spans="1:23" x14ac:dyDescent="0.25">
      <c r="A198">
        <v>1197</v>
      </c>
      <c r="B198" t="s">
        <v>86</v>
      </c>
      <c r="C198" t="s">
        <v>93</v>
      </c>
      <c r="D198" t="s">
        <v>23</v>
      </c>
      <c r="E198" s="1">
        <v>45465</v>
      </c>
      <c r="F198">
        <v>130</v>
      </c>
      <c r="G198" t="s">
        <v>25</v>
      </c>
      <c r="H198">
        <v>4.5</v>
      </c>
      <c r="I198">
        <v>388</v>
      </c>
      <c r="J198" t="s">
        <v>35</v>
      </c>
      <c r="L198" t="str" cm="1">
        <f t="array" ref="L198">_xlfn.IFS(H198&lt;=2,"bad",H198&lt;=2.5,"neutral",H198&gt;2.5,"good")</f>
        <v>good</v>
      </c>
      <c r="M198" t="str" cm="1">
        <f t="array" ref="M198">_xlfn.IFS(F198&lt;30,"short",F198&lt;90,"medium",F198&lt;180,"long",F198&gt;180,"very long")</f>
        <v>long</v>
      </c>
      <c r="N198" t="str">
        <f>LEFT(Table1[[#This Row],[Activity_Type]],3)</f>
        <v>Boa</v>
      </c>
      <c r="O198" t="str">
        <f>UPPER(Table1[[#This Row],[Column2]])</f>
        <v>IYER</v>
      </c>
      <c r="P198">
        <f>LEN(Table1[[#This Row],[Visitor_Name]])</f>
        <v>6</v>
      </c>
      <c r="S198">
        <f>ROUND(Table1[[#This Row],[Rating]],0)</f>
        <v>5</v>
      </c>
      <c r="T198" t="s">
        <v>74</v>
      </c>
      <c r="U198" t="s">
        <v>66</v>
      </c>
      <c r="V198" s="5" t="s">
        <v>13</v>
      </c>
      <c r="W198">
        <v>222</v>
      </c>
    </row>
    <row r="199" spans="1:23" x14ac:dyDescent="0.25">
      <c r="A199">
        <v>1198</v>
      </c>
      <c r="B199" t="s">
        <v>88</v>
      </c>
      <c r="C199" t="s">
        <v>89</v>
      </c>
      <c r="D199" t="s">
        <v>21</v>
      </c>
      <c r="E199" s="1">
        <v>45388</v>
      </c>
      <c r="F199">
        <v>136</v>
      </c>
      <c r="G199" t="s">
        <v>24</v>
      </c>
      <c r="H199">
        <v>2.9</v>
      </c>
      <c r="I199">
        <v>418</v>
      </c>
      <c r="J199" t="s">
        <v>31</v>
      </c>
      <c r="L199" t="str" cm="1">
        <f t="array" ref="L199">_xlfn.IFS(H199&lt;=2,"bad",H199&lt;=2.5,"neutral",H199&gt;2.5,"good")</f>
        <v>good</v>
      </c>
      <c r="M199" t="str" cm="1">
        <f t="array" ref="M199">_xlfn.IFS(F199&lt;30,"short",F199&lt;90,"medium",F199&lt;180,"long",F199&gt;180,"very long")</f>
        <v>long</v>
      </c>
      <c r="N199" t="str">
        <f>LEFT(Table1[[#This Row],[Activity_Type]],3)</f>
        <v>Bir</v>
      </c>
      <c r="O199" t="str">
        <f>UPPER(Table1[[#This Row],[Column2]])</f>
        <v>MENON</v>
      </c>
      <c r="P199">
        <f>LEN(Table1[[#This Row],[Visitor_Name]])</f>
        <v>6</v>
      </c>
      <c r="S199">
        <f>ROUND(Table1[[#This Row],[Rating]],0)</f>
        <v>3</v>
      </c>
      <c r="T199" t="s">
        <v>73</v>
      </c>
      <c r="U199" t="s">
        <v>67</v>
      </c>
      <c r="V199" s="5" t="s">
        <v>17</v>
      </c>
      <c r="W199">
        <v>223</v>
      </c>
    </row>
    <row r="200" spans="1:23" x14ac:dyDescent="0.25">
      <c r="A200">
        <v>1199</v>
      </c>
      <c r="B200" t="s">
        <v>84</v>
      </c>
      <c r="C200" t="s">
        <v>83</v>
      </c>
      <c r="D200" t="s">
        <v>22</v>
      </c>
      <c r="E200" s="1">
        <v>45378</v>
      </c>
      <c r="F200">
        <v>173</v>
      </c>
      <c r="G200" t="s">
        <v>27</v>
      </c>
      <c r="H200">
        <v>2.6</v>
      </c>
      <c r="I200">
        <v>236</v>
      </c>
      <c r="J200" t="s">
        <v>35</v>
      </c>
      <c r="L200" t="str" cm="1">
        <f t="array" ref="L200">_xlfn.IFS(H200&lt;=2,"bad",H200&lt;=2.5,"neutral",H200&gt;2.5,"good")</f>
        <v>good</v>
      </c>
      <c r="M200" t="str" cm="1">
        <f t="array" ref="M200">_xlfn.IFS(F200&lt;30,"short",F200&lt;90,"medium",F200&lt;180,"long",F200&gt;180,"very long")</f>
        <v>long</v>
      </c>
      <c r="N200" t="str">
        <f>LEFT(Table1[[#This Row],[Activity_Type]],3)</f>
        <v>Cam</v>
      </c>
      <c r="O200" t="str">
        <f>UPPER(Table1[[#This Row],[Column2]])</f>
        <v>NAIR</v>
      </c>
      <c r="P200">
        <f>LEN(Table1[[#This Row],[Visitor_Name]])</f>
        <v>5</v>
      </c>
      <c r="S200">
        <f>ROUND(Table1[[#This Row],[Rating]],0)</f>
        <v>3</v>
      </c>
      <c r="T200" t="s">
        <v>70</v>
      </c>
      <c r="U200" t="s">
        <v>63</v>
      </c>
      <c r="V200" s="5" t="s">
        <v>14</v>
      </c>
      <c r="W200">
        <v>226</v>
      </c>
    </row>
    <row r="201" spans="1:23" x14ac:dyDescent="0.25">
      <c r="A201">
        <v>1200</v>
      </c>
      <c r="B201" t="s">
        <v>79</v>
      </c>
      <c r="C201" t="s">
        <v>80</v>
      </c>
      <c r="D201" t="s">
        <v>23</v>
      </c>
      <c r="E201" s="1">
        <v>45582</v>
      </c>
      <c r="F201">
        <v>133</v>
      </c>
      <c r="G201" t="s">
        <v>26</v>
      </c>
      <c r="H201">
        <v>2.9</v>
      </c>
      <c r="I201">
        <v>139</v>
      </c>
      <c r="J201" t="s">
        <v>30</v>
      </c>
      <c r="L201" t="str" cm="1">
        <f t="array" ref="L201">_xlfn.IFS(H201&lt;=2,"bad",H201&lt;=2.5,"neutral",H201&gt;2.5,"good")</f>
        <v>good</v>
      </c>
      <c r="M201" t="str" cm="1">
        <f t="array" ref="M201">_xlfn.IFS(F201&lt;30,"short",F201&lt;90,"medium",F201&lt;180,"long",F201&gt;180,"very long")</f>
        <v>long</v>
      </c>
      <c r="N201" t="str">
        <f>LEFT(Table1[[#This Row],[Activity_Type]],3)</f>
        <v>Boa</v>
      </c>
      <c r="O201" t="str">
        <f>UPPER(Table1[[#This Row],[Column2]])</f>
        <v>MEHTA</v>
      </c>
      <c r="P201">
        <f>LEN(Table1[[#This Row],[Visitor_Name]])</f>
        <v>5</v>
      </c>
      <c r="S201">
        <f>ROUND(Table1[[#This Row],[Rating]],0)</f>
        <v>3</v>
      </c>
      <c r="T201" t="s">
        <v>68</v>
      </c>
      <c r="U201" t="s">
        <v>58</v>
      </c>
      <c r="V201" s="5" t="s">
        <v>12</v>
      </c>
      <c r="W201">
        <v>228</v>
      </c>
    </row>
    <row r="202" spans="1:23" x14ac:dyDescent="0.25">
      <c r="A202">
        <v>1201</v>
      </c>
      <c r="B202" t="s">
        <v>86</v>
      </c>
      <c r="C202" t="s">
        <v>80</v>
      </c>
      <c r="D202" t="s">
        <v>20</v>
      </c>
      <c r="E202" s="1">
        <v>45592</v>
      </c>
      <c r="F202">
        <v>48</v>
      </c>
      <c r="G202" t="s">
        <v>25</v>
      </c>
      <c r="H202">
        <v>4.9000000000000004</v>
      </c>
      <c r="I202">
        <v>255</v>
      </c>
      <c r="J202" t="s">
        <v>29</v>
      </c>
      <c r="L202" t="str" cm="1">
        <f t="array" ref="L202">_xlfn.IFS(H202&lt;=2,"bad",H202&lt;=2.5,"neutral",H202&gt;2.5,"good")</f>
        <v>good</v>
      </c>
      <c r="M202" t="str" cm="1">
        <f t="array" ref="M202">_xlfn.IFS(F202&lt;30,"short",F202&lt;90,"medium",F202&lt;180,"long",F202&gt;180,"very long")</f>
        <v>medium</v>
      </c>
      <c r="N202" t="str">
        <f>LEFT(Table1[[#This Row],[Activity_Type]],3)</f>
        <v>Hik</v>
      </c>
      <c r="O202" t="str">
        <f>UPPER(Table1[[#This Row],[Column2]])</f>
        <v>MEHTA</v>
      </c>
      <c r="P202">
        <f>LEN(Table1[[#This Row],[Visitor_Name]])</f>
        <v>6</v>
      </c>
      <c r="S202">
        <f>ROUND(Table1[[#This Row],[Rating]],0)</f>
        <v>5</v>
      </c>
      <c r="T202" t="s">
        <v>68</v>
      </c>
      <c r="U202" t="s">
        <v>66</v>
      </c>
      <c r="V202" s="5" t="s">
        <v>13</v>
      </c>
      <c r="W202">
        <v>228</v>
      </c>
    </row>
    <row r="203" spans="1:23" x14ac:dyDescent="0.25">
      <c r="A203">
        <v>1202</v>
      </c>
      <c r="B203" t="s">
        <v>79</v>
      </c>
      <c r="C203" t="s">
        <v>80</v>
      </c>
      <c r="D203" t="s">
        <v>21</v>
      </c>
      <c r="E203" s="1">
        <v>45478</v>
      </c>
      <c r="F203">
        <v>119</v>
      </c>
      <c r="G203" t="s">
        <v>24</v>
      </c>
      <c r="H203">
        <v>2.6</v>
      </c>
      <c r="I203">
        <v>199</v>
      </c>
      <c r="J203" t="s">
        <v>34</v>
      </c>
      <c r="L203" t="str" cm="1">
        <f t="array" ref="L203">_xlfn.IFS(H203&lt;=2,"bad",H203&lt;=2.5,"neutral",H203&gt;2.5,"good")</f>
        <v>good</v>
      </c>
      <c r="M203" t="str" cm="1">
        <f t="array" ref="M203">_xlfn.IFS(F203&lt;30,"short",F203&lt;90,"medium",F203&lt;180,"long",F203&gt;180,"very long")</f>
        <v>long</v>
      </c>
      <c r="N203" t="str">
        <f>LEFT(Table1[[#This Row],[Activity_Type]],3)</f>
        <v>Bir</v>
      </c>
      <c r="O203" t="str">
        <f>UPPER(Table1[[#This Row],[Column2]])</f>
        <v>MEHTA</v>
      </c>
      <c r="P203">
        <f>LEN(Table1[[#This Row],[Visitor_Name]])</f>
        <v>5</v>
      </c>
      <c r="S203">
        <f>ROUND(Table1[[#This Row],[Rating]],0)</f>
        <v>3</v>
      </c>
      <c r="T203" t="s">
        <v>68</v>
      </c>
      <c r="U203" t="s">
        <v>58</v>
      </c>
      <c r="V203" s="5" t="s">
        <v>17</v>
      </c>
      <c r="W203">
        <v>229</v>
      </c>
    </row>
    <row r="204" spans="1:23" x14ac:dyDescent="0.25">
      <c r="A204">
        <v>1203</v>
      </c>
      <c r="B204" t="s">
        <v>84</v>
      </c>
      <c r="C204" t="s">
        <v>87</v>
      </c>
      <c r="D204" t="s">
        <v>23</v>
      </c>
      <c r="E204" s="1">
        <v>45403</v>
      </c>
      <c r="F204">
        <v>136</v>
      </c>
      <c r="G204" t="s">
        <v>27</v>
      </c>
      <c r="H204">
        <v>5</v>
      </c>
      <c r="I204">
        <v>229</v>
      </c>
      <c r="J204" t="s">
        <v>29</v>
      </c>
      <c r="L204" t="str" cm="1">
        <f t="array" ref="L204">_xlfn.IFS(H204&lt;=2,"bad",H204&lt;=2.5,"neutral",H204&gt;2.5,"good")</f>
        <v>good</v>
      </c>
      <c r="M204" t="str" cm="1">
        <f t="array" ref="M204">_xlfn.IFS(F204&lt;30,"short",F204&lt;90,"medium",F204&lt;180,"long",F204&gt;180,"very long")</f>
        <v>long</v>
      </c>
      <c r="N204" t="str">
        <f>LEFT(Table1[[#This Row],[Activity_Type]],3)</f>
        <v>Boa</v>
      </c>
      <c r="O204" t="str">
        <f>UPPER(Table1[[#This Row],[Column2]])</f>
        <v>VERMA</v>
      </c>
      <c r="P204">
        <f>LEN(Table1[[#This Row],[Visitor_Name]])</f>
        <v>5</v>
      </c>
      <c r="S204">
        <f>ROUND(Table1[[#This Row],[Rating]],0)</f>
        <v>5</v>
      </c>
      <c r="T204" t="s">
        <v>72</v>
      </c>
      <c r="U204" t="s">
        <v>63</v>
      </c>
      <c r="V204" s="5" t="s">
        <v>14</v>
      </c>
      <c r="W204">
        <v>232</v>
      </c>
    </row>
    <row r="205" spans="1:23" x14ac:dyDescent="0.25">
      <c r="A205">
        <v>1204</v>
      </c>
      <c r="B205" t="s">
        <v>90</v>
      </c>
      <c r="C205" t="s">
        <v>81</v>
      </c>
      <c r="D205" t="s">
        <v>18</v>
      </c>
      <c r="E205" s="1">
        <v>45405</v>
      </c>
      <c r="F205">
        <v>36</v>
      </c>
      <c r="G205" t="s">
        <v>25</v>
      </c>
      <c r="H205">
        <v>4.5999999999999996</v>
      </c>
      <c r="I205">
        <v>136</v>
      </c>
      <c r="J205" t="s">
        <v>36</v>
      </c>
      <c r="L205" t="str" cm="1">
        <f t="array" ref="L205">_xlfn.IFS(H205&lt;=2,"bad",H205&lt;=2.5,"neutral",H205&gt;2.5,"good")</f>
        <v>good</v>
      </c>
      <c r="M205" t="str" cm="1">
        <f t="array" ref="M205">_xlfn.IFS(F205&lt;30,"short",F205&lt;90,"medium",F205&lt;180,"long",F205&gt;180,"very long")</f>
        <v>medium</v>
      </c>
      <c r="N205" t="str">
        <f>LEFT(Table1[[#This Row],[Activity_Type]],3)</f>
        <v>Pho</v>
      </c>
      <c r="O205" t="str">
        <f>UPPER(Table1[[#This Row],[Column2]])</f>
        <v>PATEL</v>
      </c>
      <c r="P205">
        <f>LEN(Table1[[#This Row],[Visitor_Name]])</f>
        <v>5</v>
      </c>
      <c r="S205">
        <f>ROUND(Table1[[#This Row],[Rating]],0)</f>
        <v>5</v>
      </c>
      <c r="T205" t="s">
        <v>69</v>
      </c>
      <c r="U205" t="s">
        <v>60</v>
      </c>
      <c r="V205" s="5" t="s">
        <v>13</v>
      </c>
      <c r="W205">
        <v>233</v>
      </c>
    </row>
    <row r="206" spans="1:23" x14ac:dyDescent="0.25">
      <c r="A206">
        <v>1205</v>
      </c>
      <c r="B206" t="s">
        <v>97</v>
      </c>
      <c r="C206" t="s">
        <v>81</v>
      </c>
      <c r="D206" t="s">
        <v>19</v>
      </c>
      <c r="E206" s="1">
        <v>45328</v>
      </c>
      <c r="F206">
        <v>214</v>
      </c>
      <c r="G206" t="s">
        <v>24</v>
      </c>
      <c r="H206">
        <v>3.5</v>
      </c>
      <c r="I206">
        <v>179</v>
      </c>
      <c r="J206" t="s">
        <v>32</v>
      </c>
      <c r="L206" t="str" cm="1">
        <f t="array" ref="L206">_xlfn.IFS(H206&lt;=2,"bad",H206&lt;=2.5,"neutral",H206&gt;2.5,"good")</f>
        <v>good</v>
      </c>
      <c r="M206" t="str" cm="1">
        <f t="array" ref="M206">_xlfn.IFS(F206&lt;30,"short",F206&lt;90,"medium",F206&lt;180,"long",F206&gt;180,"very long")</f>
        <v>very long</v>
      </c>
      <c r="N206" t="str">
        <f>LEFT(Table1[[#This Row],[Activity_Type]],3)</f>
        <v>Saf</v>
      </c>
      <c r="O206" t="str">
        <f>UPPER(Table1[[#This Row],[Column2]])</f>
        <v>PATEL</v>
      </c>
      <c r="P206">
        <f>LEN(Table1[[#This Row],[Visitor_Name]])</f>
        <v>5</v>
      </c>
      <c r="S206">
        <f>ROUND(Table1[[#This Row],[Rating]],0)</f>
        <v>4</v>
      </c>
      <c r="T206" t="s">
        <v>69</v>
      </c>
      <c r="U206" t="s">
        <v>65</v>
      </c>
      <c r="V206" s="5" t="s">
        <v>15</v>
      </c>
      <c r="W206">
        <v>25</v>
      </c>
    </row>
    <row r="207" spans="1:23" x14ac:dyDescent="0.25">
      <c r="A207">
        <v>1206</v>
      </c>
      <c r="B207" t="s">
        <v>94</v>
      </c>
      <c r="C207" t="s">
        <v>89</v>
      </c>
      <c r="D207" t="s">
        <v>19</v>
      </c>
      <c r="E207" s="1">
        <v>45542</v>
      </c>
      <c r="F207">
        <v>201</v>
      </c>
      <c r="G207" t="s">
        <v>27</v>
      </c>
      <c r="H207">
        <v>3.7</v>
      </c>
      <c r="I207">
        <v>278</v>
      </c>
      <c r="J207" t="s">
        <v>32</v>
      </c>
      <c r="L207" t="str" cm="1">
        <f t="array" ref="L207">_xlfn.IFS(H207&lt;=2,"bad",H207&lt;=2.5,"neutral",H207&gt;2.5,"good")</f>
        <v>good</v>
      </c>
      <c r="M207" t="str" cm="1">
        <f t="array" ref="M207">_xlfn.IFS(F207&lt;30,"short",F207&lt;90,"medium",F207&lt;180,"long",F207&gt;180,"very long")</f>
        <v>very long</v>
      </c>
      <c r="N207" t="str">
        <f>LEFT(Table1[[#This Row],[Activity_Type]],3)</f>
        <v>Saf</v>
      </c>
      <c r="O207" t="str">
        <f>UPPER(Table1[[#This Row],[Column2]])</f>
        <v>MENON</v>
      </c>
      <c r="P207">
        <f>LEN(Table1[[#This Row],[Visitor_Name]])</f>
        <v>5</v>
      </c>
      <c r="S207">
        <f>ROUND(Table1[[#This Row],[Rating]],0)</f>
        <v>4</v>
      </c>
      <c r="T207" t="s">
        <v>73</v>
      </c>
      <c r="U207" t="s">
        <v>64</v>
      </c>
      <c r="V207" s="5" t="s">
        <v>10</v>
      </c>
      <c r="W207">
        <v>30</v>
      </c>
    </row>
    <row r="208" spans="1:23" x14ac:dyDescent="0.25">
      <c r="A208">
        <v>1207</v>
      </c>
      <c r="B208" t="s">
        <v>79</v>
      </c>
      <c r="C208" t="s">
        <v>95</v>
      </c>
      <c r="D208" t="s">
        <v>22</v>
      </c>
      <c r="E208" s="1">
        <v>45304</v>
      </c>
      <c r="F208">
        <v>237</v>
      </c>
      <c r="G208" t="s">
        <v>27</v>
      </c>
      <c r="H208">
        <v>3.6</v>
      </c>
      <c r="I208">
        <v>136</v>
      </c>
      <c r="J208" t="s">
        <v>32</v>
      </c>
      <c r="L208" t="str" cm="1">
        <f t="array" ref="L208">_xlfn.IFS(H208&lt;=2,"bad",H208&lt;=2.5,"neutral",H208&gt;2.5,"good")</f>
        <v>good</v>
      </c>
      <c r="M208" t="str" cm="1">
        <f t="array" ref="M208">_xlfn.IFS(F208&lt;30,"short",F208&lt;90,"medium",F208&lt;180,"long",F208&gt;180,"very long")</f>
        <v>very long</v>
      </c>
      <c r="N208" t="str">
        <f>LEFT(Table1[[#This Row],[Activity_Type]],3)</f>
        <v>Cam</v>
      </c>
      <c r="O208" t="str">
        <f>UPPER(Table1[[#This Row],[Column2]])</f>
        <v>SINGH</v>
      </c>
      <c r="P208">
        <f>LEN(Table1[[#This Row],[Visitor_Name]])</f>
        <v>5</v>
      </c>
      <c r="S208">
        <f>ROUND(Table1[[#This Row],[Rating]],0)</f>
        <v>4</v>
      </c>
      <c r="T208" t="s">
        <v>75</v>
      </c>
      <c r="U208" t="s">
        <v>58</v>
      </c>
      <c r="V208" s="5" t="s">
        <v>15</v>
      </c>
      <c r="W208">
        <v>35</v>
      </c>
    </row>
    <row r="209" spans="1:23" x14ac:dyDescent="0.25">
      <c r="A209">
        <v>1208</v>
      </c>
      <c r="B209" t="s">
        <v>88</v>
      </c>
      <c r="C209" t="s">
        <v>98</v>
      </c>
      <c r="D209" t="s">
        <v>18</v>
      </c>
      <c r="E209" s="1">
        <v>45574</v>
      </c>
      <c r="F209">
        <v>197</v>
      </c>
      <c r="G209" t="s">
        <v>26</v>
      </c>
      <c r="H209">
        <v>2.9</v>
      </c>
      <c r="I209">
        <v>278</v>
      </c>
      <c r="J209" t="s">
        <v>31</v>
      </c>
      <c r="L209" t="str" cm="1">
        <f t="array" ref="L209">_xlfn.IFS(H209&lt;=2,"bad",H209&lt;=2.5,"neutral",H209&gt;2.5,"good")</f>
        <v>good</v>
      </c>
      <c r="M209" t="str" cm="1">
        <f t="array" ref="M209">_xlfn.IFS(F209&lt;30,"short",F209&lt;90,"medium",F209&lt;180,"long",F209&gt;180,"very long")</f>
        <v>very long</v>
      </c>
      <c r="N209" t="str">
        <f>LEFT(Table1[[#This Row],[Activity_Type]],3)</f>
        <v>Pho</v>
      </c>
      <c r="O209" t="str">
        <f>UPPER(Table1[[#This Row],[Column2]])</f>
        <v>REDDY</v>
      </c>
      <c r="P209">
        <f>LEN(Table1[[#This Row],[Visitor_Name]])</f>
        <v>6</v>
      </c>
      <c r="S209">
        <f>ROUND(Table1[[#This Row],[Rating]],0)</f>
        <v>3</v>
      </c>
      <c r="T209" t="s">
        <v>77</v>
      </c>
      <c r="U209" t="s">
        <v>67</v>
      </c>
      <c r="V209" s="5" t="s">
        <v>12</v>
      </c>
      <c r="W209">
        <v>38</v>
      </c>
    </row>
    <row r="210" spans="1:23" x14ac:dyDescent="0.25">
      <c r="A210">
        <v>1209</v>
      </c>
      <c r="B210" t="s">
        <v>91</v>
      </c>
      <c r="C210" t="s">
        <v>89</v>
      </c>
      <c r="D210" t="s">
        <v>23</v>
      </c>
      <c r="E210" s="1">
        <v>45385</v>
      </c>
      <c r="F210">
        <v>185</v>
      </c>
      <c r="G210" t="s">
        <v>25</v>
      </c>
      <c r="H210">
        <v>4.2</v>
      </c>
      <c r="I210">
        <v>174</v>
      </c>
      <c r="J210" t="s">
        <v>37</v>
      </c>
      <c r="L210" t="str" cm="1">
        <f t="array" ref="L210">_xlfn.IFS(H210&lt;=2,"bad",H210&lt;=2.5,"neutral",H210&gt;2.5,"good")</f>
        <v>good</v>
      </c>
      <c r="M210" t="str" cm="1">
        <f t="array" ref="M210">_xlfn.IFS(F210&lt;30,"short",F210&lt;90,"medium",F210&lt;180,"long",F210&gt;180,"very long")</f>
        <v>very long</v>
      </c>
      <c r="N210" t="str">
        <f>LEFT(Table1[[#This Row],[Activity_Type]],3)</f>
        <v>Boa</v>
      </c>
      <c r="O210" t="str">
        <f>UPPER(Table1[[#This Row],[Column2]])</f>
        <v>MENON</v>
      </c>
      <c r="P210">
        <f>LEN(Table1[[#This Row],[Visitor_Name]])</f>
        <v>5</v>
      </c>
      <c r="S210">
        <f>ROUND(Table1[[#This Row],[Rating]],0)</f>
        <v>4</v>
      </c>
      <c r="T210" t="s">
        <v>73</v>
      </c>
      <c r="U210" t="s">
        <v>61</v>
      </c>
      <c r="V210" s="5" t="s">
        <v>15</v>
      </c>
      <c r="W210">
        <v>45</v>
      </c>
    </row>
    <row r="211" spans="1:23" x14ac:dyDescent="0.25">
      <c r="A211">
        <v>1210</v>
      </c>
      <c r="B211" t="s">
        <v>84</v>
      </c>
      <c r="C211" t="s">
        <v>80</v>
      </c>
      <c r="D211" t="s">
        <v>22</v>
      </c>
      <c r="E211" s="1">
        <v>45584</v>
      </c>
      <c r="F211">
        <v>38</v>
      </c>
      <c r="G211" t="s">
        <v>25</v>
      </c>
      <c r="H211">
        <v>3.6</v>
      </c>
      <c r="I211">
        <v>145</v>
      </c>
      <c r="J211" t="s">
        <v>36</v>
      </c>
      <c r="L211" t="str" cm="1">
        <f t="array" ref="L211">_xlfn.IFS(H211&lt;=2,"bad",H211&lt;=2.5,"neutral",H211&gt;2.5,"good")</f>
        <v>good</v>
      </c>
      <c r="M211" t="str" cm="1">
        <f t="array" ref="M211">_xlfn.IFS(F211&lt;30,"short",F211&lt;90,"medium",F211&lt;180,"long",F211&gt;180,"very long")</f>
        <v>medium</v>
      </c>
      <c r="N211" t="str">
        <f>LEFT(Table1[[#This Row],[Activity_Type]],3)</f>
        <v>Cam</v>
      </c>
      <c r="O211" t="str">
        <f>UPPER(Table1[[#This Row],[Column2]])</f>
        <v>MEHTA</v>
      </c>
      <c r="P211">
        <f>LEN(Table1[[#This Row],[Visitor_Name]])</f>
        <v>5</v>
      </c>
      <c r="S211">
        <f>ROUND(Table1[[#This Row],[Rating]],0)</f>
        <v>4</v>
      </c>
      <c r="T211" t="s">
        <v>68</v>
      </c>
      <c r="U211" t="s">
        <v>63</v>
      </c>
      <c r="V211" s="5" t="s">
        <v>13</v>
      </c>
      <c r="W211">
        <v>59</v>
      </c>
    </row>
    <row r="212" spans="1:23" x14ac:dyDescent="0.25">
      <c r="A212">
        <v>1211</v>
      </c>
      <c r="B212" t="s">
        <v>91</v>
      </c>
      <c r="C212" t="s">
        <v>96</v>
      </c>
      <c r="D212" t="s">
        <v>19</v>
      </c>
      <c r="E212" s="1">
        <v>45292</v>
      </c>
      <c r="F212">
        <v>69</v>
      </c>
      <c r="G212" t="s">
        <v>26</v>
      </c>
      <c r="H212">
        <v>3.4</v>
      </c>
      <c r="I212">
        <v>111</v>
      </c>
      <c r="J212" t="s">
        <v>30</v>
      </c>
      <c r="L212" t="str" cm="1">
        <f t="array" ref="L212">_xlfn.IFS(H212&lt;=2,"bad",H212&lt;=2.5,"neutral",H212&gt;2.5,"good")</f>
        <v>good</v>
      </c>
      <c r="M212" t="str" cm="1">
        <f t="array" ref="M212">_xlfn.IFS(F212&lt;30,"short",F212&lt;90,"medium",F212&lt;180,"long",F212&gt;180,"very long")</f>
        <v>medium</v>
      </c>
      <c r="N212" t="str">
        <f>LEFT(Table1[[#This Row],[Activity_Type]],3)</f>
        <v>Saf</v>
      </c>
      <c r="O212" t="str">
        <f>UPPER(Table1[[#This Row],[Column2]])</f>
        <v>SHARMA</v>
      </c>
      <c r="P212">
        <f>LEN(Table1[[#This Row],[Visitor_Name]])</f>
        <v>5</v>
      </c>
      <c r="S212">
        <f>ROUND(Table1[[#This Row],[Rating]],0)</f>
        <v>3</v>
      </c>
      <c r="T212" t="s">
        <v>76</v>
      </c>
      <c r="U212" t="s">
        <v>61</v>
      </c>
      <c r="V212" s="5" t="s">
        <v>14</v>
      </c>
      <c r="W212">
        <v>60</v>
      </c>
    </row>
    <row r="213" spans="1:23" x14ac:dyDescent="0.25">
      <c r="A213">
        <v>1212</v>
      </c>
      <c r="B213" t="s">
        <v>88</v>
      </c>
      <c r="C213" t="s">
        <v>85</v>
      </c>
      <c r="D213" t="s">
        <v>19</v>
      </c>
      <c r="E213" s="1">
        <v>45425</v>
      </c>
      <c r="F213">
        <v>45</v>
      </c>
      <c r="G213" t="s">
        <v>27</v>
      </c>
      <c r="H213">
        <v>3.6</v>
      </c>
      <c r="I213">
        <v>370</v>
      </c>
      <c r="J213" t="s">
        <v>28</v>
      </c>
      <c r="L213" t="str" cm="1">
        <f t="array" ref="L213">_xlfn.IFS(H213&lt;=2,"bad",H213&lt;=2.5,"neutral",H213&gt;2.5,"good")</f>
        <v>good</v>
      </c>
      <c r="M213" t="str" cm="1">
        <f t="array" ref="M213">_xlfn.IFS(F213&lt;30,"short",F213&lt;90,"medium",F213&lt;180,"long",F213&gt;180,"very long")</f>
        <v>medium</v>
      </c>
      <c r="N213" t="str">
        <f>LEFT(Table1[[#This Row],[Activity_Type]],3)</f>
        <v>Saf</v>
      </c>
      <c r="O213" t="str">
        <f>UPPER(Table1[[#This Row],[Column2]])</f>
        <v>DAS</v>
      </c>
      <c r="P213">
        <f>LEN(Table1[[#This Row],[Visitor_Name]])</f>
        <v>6</v>
      </c>
      <c r="S213">
        <f>ROUND(Table1[[#This Row],[Rating]],0)</f>
        <v>4</v>
      </c>
      <c r="T213" t="s">
        <v>71</v>
      </c>
      <c r="U213" t="s">
        <v>67</v>
      </c>
      <c r="V213" s="5" t="s">
        <v>17</v>
      </c>
      <c r="W213">
        <v>63</v>
      </c>
    </row>
    <row r="214" spans="1:23" x14ac:dyDescent="0.25">
      <c r="A214">
        <v>1213</v>
      </c>
      <c r="B214" t="s">
        <v>84</v>
      </c>
      <c r="C214" t="s">
        <v>93</v>
      </c>
      <c r="D214" t="s">
        <v>19</v>
      </c>
      <c r="E214" s="1">
        <v>45471</v>
      </c>
      <c r="F214">
        <v>157</v>
      </c>
      <c r="G214" t="s">
        <v>27</v>
      </c>
      <c r="H214">
        <v>2.9</v>
      </c>
      <c r="I214">
        <v>276</v>
      </c>
      <c r="J214" t="s">
        <v>29</v>
      </c>
      <c r="L214" t="str" cm="1">
        <f t="array" ref="L214">_xlfn.IFS(H214&lt;=2,"bad",H214&lt;=2.5,"neutral",H214&gt;2.5,"good")</f>
        <v>good</v>
      </c>
      <c r="M214" t="str" cm="1">
        <f t="array" ref="M214">_xlfn.IFS(F214&lt;30,"short",F214&lt;90,"medium",F214&lt;180,"long",F214&gt;180,"very long")</f>
        <v>long</v>
      </c>
      <c r="N214" t="str">
        <f>LEFT(Table1[[#This Row],[Activity_Type]],3)</f>
        <v>Saf</v>
      </c>
      <c r="O214" t="str">
        <f>UPPER(Table1[[#This Row],[Column2]])</f>
        <v>IYER</v>
      </c>
      <c r="P214">
        <f>LEN(Table1[[#This Row],[Visitor_Name]])</f>
        <v>5</v>
      </c>
      <c r="S214">
        <f>ROUND(Table1[[#This Row],[Rating]],0)</f>
        <v>3</v>
      </c>
      <c r="T214" t="s">
        <v>74</v>
      </c>
      <c r="U214" t="s">
        <v>63</v>
      </c>
      <c r="V214" s="5" t="s">
        <v>12</v>
      </c>
      <c r="W214">
        <v>66</v>
      </c>
    </row>
    <row r="215" spans="1:23" x14ac:dyDescent="0.25">
      <c r="A215">
        <v>1214</v>
      </c>
      <c r="B215" t="s">
        <v>92</v>
      </c>
      <c r="C215" t="s">
        <v>83</v>
      </c>
      <c r="D215" t="s">
        <v>23</v>
      </c>
      <c r="E215" s="1">
        <v>45366</v>
      </c>
      <c r="F215">
        <v>138</v>
      </c>
      <c r="G215" t="s">
        <v>26</v>
      </c>
      <c r="H215">
        <v>3.3</v>
      </c>
      <c r="I215">
        <v>358</v>
      </c>
      <c r="J215" t="s">
        <v>36</v>
      </c>
      <c r="L215" t="str" cm="1">
        <f t="array" ref="L215">_xlfn.IFS(H215&lt;=2,"bad",H215&lt;=2.5,"neutral",H215&gt;2.5,"good")</f>
        <v>good</v>
      </c>
      <c r="M215" t="str" cm="1">
        <f t="array" ref="M215">_xlfn.IFS(F215&lt;30,"short",F215&lt;90,"medium",F215&lt;180,"long",F215&gt;180,"very long")</f>
        <v>long</v>
      </c>
      <c r="N215" t="str">
        <f>LEFT(Table1[[#This Row],[Activity_Type]],3)</f>
        <v>Boa</v>
      </c>
      <c r="O215" t="str">
        <f>UPPER(Table1[[#This Row],[Column2]])</f>
        <v>NAIR</v>
      </c>
      <c r="P215">
        <f>LEN(Table1[[#This Row],[Visitor_Name]])</f>
        <v>5</v>
      </c>
      <c r="S215">
        <f>ROUND(Table1[[#This Row],[Rating]],0)</f>
        <v>3</v>
      </c>
      <c r="T215" t="s">
        <v>70</v>
      </c>
      <c r="U215" t="s">
        <v>62</v>
      </c>
      <c r="V215" s="5" t="s">
        <v>14</v>
      </c>
      <c r="W215">
        <v>69</v>
      </c>
    </row>
    <row r="216" spans="1:23" x14ac:dyDescent="0.25">
      <c r="A216">
        <v>1215</v>
      </c>
      <c r="B216" t="s">
        <v>86</v>
      </c>
      <c r="C216" t="s">
        <v>95</v>
      </c>
      <c r="D216" t="s">
        <v>22</v>
      </c>
      <c r="E216" s="1">
        <v>45432</v>
      </c>
      <c r="F216">
        <v>170</v>
      </c>
      <c r="G216" t="s">
        <v>27</v>
      </c>
      <c r="H216">
        <v>3.8</v>
      </c>
      <c r="I216">
        <v>114</v>
      </c>
      <c r="J216" t="s">
        <v>31</v>
      </c>
      <c r="L216" t="str" cm="1">
        <f t="array" ref="L216">_xlfn.IFS(H216&lt;=2,"bad",H216&lt;=2.5,"neutral",H216&gt;2.5,"good")</f>
        <v>good</v>
      </c>
      <c r="M216" t="str" cm="1">
        <f t="array" ref="M216">_xlfn.IFS(F216&lt;30,"short",F216&lt;90,"medium",F216&lt;180,"long",F216&gt;180,"very long")</f>
        <v>long</v>
      </c>
      <c r="N216" t="str">
        <f>LEFT(Table1[[#This Row],[Activity_Type]],3)</f>
        <v>Cam</v>
      </c>
      <c r="O216" t="str">
        <f>UPPER(Table1[[#This Row],[Column2]])</f>
        <v>SINGH</v>
      </c>
      <c r="P216">
        <f>LEN(Table1[[#This Row],[Visitor_Name]])</f>
        <v>6</v>
      </c>
      <c r="S216">
        <f>ROUND(Table1[[#This Row],[Rating]],0)</f>
        <v>4</v>
      </c>
      <c r="T216" t="s">
        <v>75</v>
      </c>
      <c r="U216" t="s">
        <v>66</v>
      </c>
      <c r="V216" s="5" t="s">
        <v>13</v>
      </c>
      <c r="W216">
        <v>84</v>
      </c>
    </row>
    <row r="217" spans="1:23" x14ac:dyDescent="0.25">
      <c r="A217">
        <v>1216</v>
      </c>
      <c r="B217" t="s">
        <v>86</v>
      </c>
      <c r="C217" t="s">
        <v>95</v>
      </c>
      <c r="D217" t="s">
        <v>22</v>
      </c>
      <c r="E217" s="1">
        <v>45657</v>
      </c>
      <c r="F217">
        <v>30</v>
      </c>
      <c r="G217" t="s">
        <v>27</v>
      </c>
      <c r="H217">
        <v>3.7</v>
      </c>
      <c r="I217">
        <v>437</v>
      </c>
      <c r="J217" t="s">
        <v>29</v>
      </c>
      <c r="L217" t="str" cm="1">
        <f t="array" ref="L217">_xlfn.IFS(H217&lt;=2,"bad",H217&lt;=2.5,"neutral",H217&gt;2.5,"good")</f>
        <v>good</v>
      </c>
      <c r="M217" t="str" cm="1">
        <f t="array" ref="M217">_xlfn.IFS(F217&lt;30,"short",F217&lt;90,"medium",F217&lt;180,"long",F217&gt;180,"very long")</f>
        <v>medium</v>
      </c>
      <c r="N217" t="str">
        <f>LEFT(Table1[[#This Row],[Activity_Type]],3)</f>
        <v>Cam</v>
      </c>
      <c r="O217" t="str">
        <f>UPPER(Table1[[#This Row],[Column2]])</f>
        <v>SINGH</v>
      </c>
      <c r="P217">
        <f>LEN(Table1[[#This Row],[Visitor_Name]])</f>
        <v>6</v>
      </c>
      <c r="S217">
        <f>ROUND(Table1[[#This Row],[Rating]],0)</f>
        <v>4</v>
      </c>
      <c r="T217" t="s">
        <v>75</v>
      </c>
      <c r="U217" t="s">
        <v>66</v>
      </c>
      <c r="V217" s="5" t="s">
        <v>11</v>
      </c>
      <c r="W217">
        <v>85</v>
      </c>
    </row>
    <row r="218" spans="1:23" x14ac:dyDescent="0.25">
      <c r="A218">
        <v>1217</v>
      </c>
      <c r="B218" t="s">
        <v>79</v>
      </c>
      <c r="C218" t="s">
        <v>80</v>
      </c>
      <c r="D218" t="s">
        <v>20</v>
      </c>
      <c r="E218" s="1">
        <v>45368</v>
      </c>
      <c r="F218">
        <v>195</v>
      </c>
      <c r="G218" t="s">
        <v>24</v>
      </c>
      <c r="H218">
        <v>2.9</v>
      </c>
      <c r="I218">
        <v>182</v>
      </c>
      <c r="J218" t="s">
        <v>29</v>
      </c>
      <c r="L218" t="str" cm="1">
        <f t="array" ref="L218">_xlfn.IFS(H218&lt;=2,"bad",H218&lt;=2.5,"neutral",H218&gt;2.5,"good")</f>
        <v>good</v>
      </c>
      <c r="M218" t="str" cm="1">
        <f t="array" ref="M218">_xlfn.IFS(F218&lt;30,"short",F218&lt;90,"medium",F218&lt;180,"long",F218&gt;180,"very long")</f>
        <v>very long</v>
      </c>
      <c r="N218" t="str">
        <f>LEFT(Table1[[#This Row],[Activity_Type]],3)</f>
        <v>Hik</v>
      </c>
      <c r="O218" t="str">
        <f>UPPER(Table1[[#This Row],[Column2]])</f>
        <v>MEHTA</v>
      </c>
      <c r="P218">
        <f>LEN(Table1[[#This Row],[Visitor_Name]])</f>
        <v>5</v>
      </c>
      <c r="S218">
        <f>ROUND(Table1[[#This Row],[Rating]],0)</f>
        <v>3</v>
      </c>
      <c r="T218" t="s">
        <v>68</v>
      </c>
      <c r="U218" t="s">
        <v>58</v>
      </c>
      <c r="V218" s="5" t="s">
        <v>15</v>
      </c>
      <c r="W218">
        <v>90</v>
      </c>
    </row>
    <row r="219" spans="1:23" x14ac:dyDescent="0.25">
      <c r="A219">
        <v>1218</v>
      </c>
      <c r="B219" t="s">
        <v>88</v>
      </c>
      <c r="C219" t="s">
        <v>98</v>
      </c>
      <c r="D219" t="s">
        <v>18</v>
      </c>
      <c r="E219" s="1">
        <v>45566</v>
      </c>
      <c r="F219">
        <v>213</v>
      </c>
      <c r="G219" t="s">
        <v>25</v>
      </c>
      <c r="H219">
        <v>4.4000000000000004</v>
      </c>
      <c r="I219">
        <v>204</v>
      </c>
      <c r="J219" t="s">
        <v>37</v>
      </c>
      <c r="L219" t="str" cm="1">
        <f t="array" ref="L219">_xlfn.IFS(H219&lt;=2,"bad",H219&lt;=2.5,"neutral",H219&gt;2.5,"good")</f>
        <v>good</v>
      </c>
      <c r="M219" t="str" cm="1">
        <f t="array" ref="M219">_xlfn.IFS(F219&lt;30,"short",F219&lt;90,"medium",F219&lt;180,"long",F219&gt;180,"very long")</f>
        <v>very long</v>
      </c>
      <c r="N219" t="str">
        <f>LEFT(Table1[[#This Row],[Activity_Type]],3)</f>
        <v>Pho</v>
      </c>
      <c r="O219" t="str">
        <f>UPPER(Table1[[#This Row],[Column2]])</f>
        <v>REDDY</v>
      </c>
      <c r="P219">
        <f>LEN(Table1[[#This Row],[Visitor_Name]])</f>
        <v>6</v>
      </c>
      <c r="S219">
        <f>ROUND(Table1[[#This Row],[Rating]],0)</f>
        <v>4</v>
      </c>
      <c r="T219" t="s">
        <v>77</v>
      </c>
      <c r="U219" t="s">
        <v>67</v>
      </c>
      <c r="V219" s="5" t="s">
        <v>17</v>
      </c>
      <c r="W219">
        <v>90</v>
      </c>
    </row>
    <row r="220" spans="1:23" x14ac:dyDescent="0.25">
      <c r="A220">
        <v>1219</v>
      </c>
      <c r="B220" t="s">
        <v>86</v>
      </c>
      <c r="C220" t="s">
        <v>93</v>
      </c>
      <c r="D220" t="s">
        <v>18</v>
      </c>
      <c r="E220" s="1">
        <v>45607</v>
      </c>
      <c r="F220">
        <v>140</v>
      </c>
      <c r="G220" t="s">
        <v>25</v>
      </c>
      <c r="H220">
        <v>4.9000000000000004</v>
      </c>
      <c r="I220">
        <v>306</v>
      </c>
      <c r="J220" t="s">
        <v>36</v>
      </c>
      <c r="L220" t="str" cm="1">
        <f t="array" ref="L220">_xlfn.IFS(H220&lt;=2,"bad",H220&lt;=2.5,"neutral",H220&gt;2.5,"good")</f>
        <v>good</v>
      </c>
      <c r="M220" t="str" cm="1">
        <f t="array" ref="M220">_xlfn.IFS(F220&lt;30,"short",F220&lt;90,"medium",F220&lt;180,"long",F220&gt;180,"very long")</f>
        <v>long</v>
      </c>
      <c r="N220" t="str">
        <f>LEFT(Table1[[#This Row],[Activity_Type]],3)</f>
        <v>Pho</v>
      </c>
      <c r="O220" t="str">
        <f>UPPER(Table1[[#This Row],[Column2]])</f>
        <v>IYER</v>
      </c>
      <c r="P220">
        <f>LEN(Table1[[#This Row],[Visitor_Name]])</f>
        <v>6</v>
      </c>
      <c r="S220">
        <f>ROUND(Table1[[#This Row],[Rating]],0)</f>
        <v>5</v>
      </c>
      <c r="T220" t="s">
        <v>74</v>
      </c>
      <c r="U220" t="s">
        <v>66</v>
      </c>
      <c r="V220" s="5" t="s">
        <v>11</v>
      </c>
      <c r="W220">
        <v>93</v>
      </c>
    </row>
    <row r="221" spans="1:23" x14ac:dyDescent="0.25">
      <c r="A221">
        <v>1220</v>
      </c>
      <c r="B221" t="s">
        <v>82</v>
      </c>
      <c r="C221" t="s">
        <v>87</v>
      </c>
      <c r="D221" t="s">
        <v>22</v>
      </c>
      <c r="E221" s="1">
        <v>45407</v>
      </c>
      <c r="F221">
        <v>60</v>
      </c>
      <c r="G221" t="s">
        <v>25</v>
      </c>
      <c r="H221">
        <v>4.0999999999999996</v>
      </c>
      <c r="I221">
        <v>482</v>
      </c>
      <c r="J221" t="s">
        <v>33</v>
      </c>
      <c r="L221" t="str" cm="1">
        <f t="array" ref="L221">_xlfn.IFS(H221&lt;=2,"bad",H221&lt;=2.5,"neutral",H221&gt;2.5,"good")</f>
        <v>good</v>
      </c>
      <c r="M221" t="str" cm="1">
        <f t="array" ref="M221">_xlfn.IFS(F221&lt;30,"short",F221&lt;90,"medium",F221&lt;180,"long",F221&gt;180,"very long")</f>
        <v>medium</v>
      </c>
      <c r="N221" t="str">
        <f>LEFT(Table1[[#This Row],[Activity_Type]],3)</f>
        <v>Cam</v>
      </c>
      <c r="O221" t="str">
        <f>UPPER(Table1[[#This Row],[Column2]])</f>
        <v>VERMA</v>
      </c>
      <c r="P221">
        <f>LEN(Table1[[#This Row],[Visitor_Name]])</f>
        <v>5</v>
      </c>
      <c r="S221">
        <f>ROUND(Table1[[#This Row],[Rating]],0)</f>
        <v>4</v>
      </c>
      <c r="T221" t="s">
        <v>72</v>
      </c>
      <c r="U221" t="s">
        <v>59</v>
      </c>
      <c r="V221" s="5" t="s">
        <v>14</v>
      </c>
      <c r="W221">
        <v>94</v>
      </c>
    </row>
    <row r="222" spans="1:23" x14ac:dyDescent="0.25">
      <c r="A222">
        <v>1221</v>
      </c>
      <c r="B222" t="s">
        <v>97</v>
      </c>
      <c r="C222" t="s">
        <v>80</v>
      </c>
      <c r="D222" t="s">
        <v>23</v>
      </c>
      <c r="E222" s="1">
        <v>45553</v>
      </c>
      <c r="F222">
        <v>240</v>
      </c>
      <c r="G222" t="s">
        <v>27</v>
      </c>
      <c r="H222">
        <v>3.7</v>
      </c>
      <c r="I222">
        <v>142</v>
      </c>
      <c r="J222" t="s">
        <v>32</v>
      </c>
      <c r="L222" t="str" cm="1">
        <f t="array" ref="L222">_xlfn.IFS(H222&lt;=2,"bad",H222&lt;=2.5,"neutral",H222&gt;2.5,"good")</f>
        <v>good</v>
      </c>
      <c r="M222" t="str" cm="1">
        <f t="array" ref="M222">_xlfn.IFS(F222&lt;30,"short",F222&lt;90,"medium",F222&lt;180,"long",F222&gt;180,"very long")</f>
        <v>very long</v>
      </c>
      <c r="N222" t="str">
        <f>LEFT(Table1[[#This Row],[Activity_Type]],3)</f>
        <v>Boa</v>
      </c>
      <c r="O222" t="str">
        <f>UPPER(Table1[[#This Row],[Column2]])</f>
        <v>MEHTA</v>
      </c>
      <c r="P222">
        <f>LEN(Table1[[#This Row],[Visitor_Name]])</f>
        <v>5</v>
      </c>
      <c r="S222">
        <f>ROUND(Table1[[#This Row],[Rating]],0)</f>
        <v>4</v>
      </c>
      <c r="T222" t="s">
        <v>68</v>
      </c>
      <c r="U222" t="s">
        <v>65</v>
      </c>
      <c r="V222" s="5" t="s">
        <v>12</v>
      </c>
      <c r="W222">
        <v>94</v>
      </c>
    </row>
    <row r="223" spans="1:23" x14ac:dyDescent="0.25">
      <c r="A223">
        <v>1222</v>
      </c>
      <c r="B223" t="s">
        <v>97</v>
      </c>
      <c r="C223" t="s">
        <v>83</v>
      </c>
      <c r="D223" t="s">
        <v>19</v>
      </c>
      <c r="E223" s="1">
        <v>45577</v>
      </c>
      <c r="F223">
        <v>93</v>
      </c>
      <c r="G223" t="s">
        <v>27</v>
      </c>
      <c r="H223">
        <v>4.7</v>
      </c>
      <c r="I223">
        <v>321</v>
      </c>
      <c r="J223" t="s">
        <v>30</v>
      </c>
      <c r="L223" t="str" cm="1">
        <f t="array" ref="L223">_xlfn.IFS(H223&lt;=2,"bad",H223&lt;=2.5,"neutral",H223&gt;2.5,"good")</f>
        <v>good</v>
      </c>
      <c r="M223" t="str" cm="1">
        <f t="array" ref="M223">_xlfn.IFS(F223&lt;30,"short",F223&lt;90,"medium",F223&lt;180,"long",F223&gt;180,"very long")</f>
        <v>long</v>
      </c>
      <c r="N223" t="str">
        <f>LEFT(Table1[[#This Row],[Activity_Type]],3)</f>
        <v>Saf</v>
      </c>
      <c r="O223" t="str">
        <f>UPPER(Table1[[#This Row],[Column2]])</f>
        <v>NAIR</v>
      </c>
      <c r="P223">
        <f>LEN(Table1[[#This Row],[Visitor_Name]])</f>
        <v>5</v>
      </c>
      <c r="S223">
        <f>ROUND(Table1[[#This Row],[Rating]],0)</f>
        <v>5</v>
      </c>
      <c r="T223" t="s">
        <v>70</v>
      </c>
      <c r="U223" t="s">
        <v>65</v>
      </c>
      <c r="V223" s="5" t="s">
        <v>10</v>
      </c>
      <c r="W223">
        <v>97</v>
      </c>
    </row>
    <row r="224" spans="1:23" x14ac:dyDescent="0.25">
      <c r="A224">
        <v>1223</v>
      </c>
      <c r="B224" t="s">
        <v>82</v>
      </c>
      <c r="C224" t="s">
        <v>83</v>
      </c>
      <c r="D224" t="s">
        <v>19</v>
      </c>
      <c r="E224" s="1">
        <v>45580</v>
      </c>
      <c r="F224">
        <v>219</v>
      </c>
      <c r="G224" t="s">
        <v>26</v>
      </c>
      <c r="H224">
        <v>3.2</v>
      </c>
      <c r="I224">
        <v>456</v>
      </c>
      <c r="J224" t="s">
        <v>29</v>
      </c>
      <c r="L224" t="str" cm="1">
        <f t="array" ref="L224">_xlfn.IFS(H224&lt;=2,"bad",H224&lt;=2.5,"neutral",H224&gt;2.5,"good")</f>
        <v>good</v>
      </c>
      <c r="M224" t="str" cm="1">
        <f t="array" ref="M224">_xlfn.IFS(F224&lt;30,"short",F224&lt;90,"medium",F224&lt;180,"long",F224&gt;180,"very long")</f>
        <v>very long</v>
      </c>
      <c r="N224" t="str">
        <f>LEFT(Table1[[#This Row],[Activity_Type]],3)</f>
        <v>Saf</v>
      </c>
      <c r="O224" t="str">
        <f>UPPER(Table1[[#This Row],[Column2]])</f>
        <v>NAIR</v>
      </c>
      <c r="P224">
        <f>LEN(Table1[[#This Row],[Visitor_Name]])</f>
        <v>5</v>
      </c>
      <c r="S224">
        <f>ROUND(Table1[[#This Row],[Rating]],0)</f>
        <v>3</v>
      </c>
      <c r="T224" t="s">
        <v>70</v>
      </c>
      <c r="U224" t="s">
        <v>59</v>
      </c>
      <c r="V224" s="5" t="s">
        <v>12</v>
      </c>
      <c r="W224">
        <v>99</v>
      </c>
    </row>
    <row r="225" spans="1:23" x14ac:dyDescent="0.25">
      <c r="A225">
        <v>1224</v>
      </c>
      <c r="B225" t="s">
        <v>90</v>
      </c>
      <c r="C225" t="s">
        <v>98</v>
      </c>
      <c r="D225" t="s">
        <v>21</v>
      </c>
      <c r="E225" s="1">
        <v>45561</v>
      </c>
      <c r="F225">
        <v>219</v>
      </c>
      <c r="G225" t="s">
        <v>24</v>
      </c>
      <c r="H225">
        <v>2.5</v>
      </c>
      <c r="I225">
        <v>254</v>
      </c>
      <c r="J225" t="s">
        <v>33</v>
      </c>
      <c r="L225" t="str" cm="1">
        <f t="array" ref="L225">_xlfn.IFS(H225&lt;=2,"bad",H225&lt;=2.5,"neutral",H225&gt;2.5,"good")</f>
        <v>neutral</v>
      </c>
      <c r="M225" t="str" cm="1">
        <f t="array" ref="M225">_xlfn.IFS(F225&lt;30,"short",F225&lt;90,"medium",F225&lt;180,"long",F225&gt;180,"very long")</f>
        <v>very long</v>
      </c>
      <c r="N225" t="str">
        <f>LEFT(Table1[[#This Row],[Activity_Type]],3)</f>
        <v>Bir</v>
      </c>
      <c r="O225" t="str">
        <f>UPPER(Table1[[#This Row],[Column2]])</f>
        <v>REDDY</v>
      </c>
      <c r="P225">
        <f>LEN(Table1[[#This Row],[Visitor_Name]])</f>
        <v>5</v>
      </c>
      <c r="S225">
        <f>ROUND(Table1[[#This Row],[Rating]],0)</f>
        <v>3</v>
      </c>
      <c r="T225" t="s">
        <v>77</v>
      </c>
      <c r="U225" t="s">
        <v>60</v>
      </c>
      <c r="V225" s="5" t="s">
        <v>17</v>
      </c>
      <c r="W225">
        <v>101</v>
      </c>
    </row>
    <row r="226" spans="1:23" x14ac:dyDescent="0.25">
      <c r="A226">
        <v>1225</v>
      </c>
      <c r="B226" t="s">
        <v>84</v>
      </c>
      <c r="C226" t="s">
        <v>93</v>
      </c>
      <c r="D226" t="s">
        <v>19</v>
      </c>
      <c r="E226" s="1">
        <v>45610</v>
      </c>
      <c r="F226">
        <v>59</v>
      </c>
      <c r="G226" t="s">
        <v>25</v>
      </c>
      <c r="H226">
        <v>3.5</v>
      </c>
      <c r="I226">
        <v>288</v>
      </c>
      <c r="J226" t="s">
        <v>30</v>
      </c>
      <c r="L226" t="str" cm="1">
        <f t="array" ref="L226">_xlfn.IFS(H226&lt;=2,"bad",H226&lt;=2.5,"neutral",H226&gt;2.5,"good")</f>
        <v>good</v>
      </c>
      <c r="M226" t="str" cm="1">
        <f t="array" ref="M226">_xlfn.IFS(F226&lt;30,"short",F226&lt;90,"medium",F226&lt;180,"long",F226&gt;180,"very long")</f>
        <v>medium</v>
      </c>
      <c r="N226" t="str">
        <f>LEFT(Table1[[#This Row],[Activity_Type]],3)</f>
        <v>Saf</v>
      </c>
      <c r="O226" t="str">
        <f>UPPER(Table1[[#This Row],[Column2]])</f>
        <v>IYER</v>
      </c>
      <c r="P226">
        <f>LEN(Table1[[#This Row],[Visitor_Name]])</f>
        <v>5</v>
      </c>
      <c r="S226">
        <f>ROUND(Table1[[#This Row],[Rating]],0)</f>
        <v>4</v>
      </c>
      <c r="T226" t="s">
        <v>74</v>
      </c>
      <c r="U226" t="s">
        <v>63</v>
      </c>
      <c r="V226" s="5" t="s">
        <v>16</v>
      </c>
      <c r="W226">
        <v>110</v>
      </c>
    </row>
    <row r="227" spans="1:23" x14ac:dyDescent="0.25">
      <c r="A227">
        <v>1226</v>
      </c>
      <c r="B227" t="s">
        <v>90</v>
      </c>
      <c r="C227" t="s">
        <v>83</v>
      </c>
      <c r="D227" t="s">
        <v>22</v>
      </c>
      <c r="E227" s="1">
        <v>45618</v>
      </c>
      <c r="F227">
        <v>164</v>
      </c>
      <c r="G227" t="s">
        <v>25</v>
      </c>
      <c r="H227">
        <v>3.9</v>
      </c>
      <c r="I227">
        <v>132</v>
      </c>
      <c r="J227" t="s">
        <v>29</v>
      </c>
      <c r="L227" t="str" cm="1">
        <f t="array" ref="L227">_xlfn.IFS(H227&lt;=2,"bad",H227&lt;=2.5,"neutral",H227&gt;2.5,"good")</f>
        <v>good</v>
      </c>
      <c r="M227" t="str" cm="1">
        <f t="array" ref="M227">_xlfn.IFS(F227&lt;30,"short",F227&lt;90,"medium",F227&lt;180,"long",F227&gt;180,"very long")</f>
        <v>long</v>
      </c>
      <c r="N227" t="str">
        <f>LEFT(Table1[[#This Row],[Activity_Type]],3)</f>
        <v>Cam</v>
      </c>
      <c r="O227" t="str">
        <f>UPPER(Table1[[#This Row],[Column2]])</f>
        <v>NAIR</v>
      </c>
      <c r="P227">
        <f>LEN(Table1[[#This Row],[Visitor_Name]])</f>
        <v>5</v>
      </c>
      <c r="S227">
        <f>ROUND(Table1[[#This Row],[Rating]],0)</f>
        <v>4</v>
      </c>
      <c r="T227" t="s">
        <v>70</v>
      </c>
      <c r="U227" t="s">
        <v>60</v>
      </c>
      <c r="V227" s="5" t="s">
        <v>10</v>
      </c>
      <c r="W227">
        <v>117</v>
      </c>
    </row>
    <row r="228" spans="1:23" x14ac:dyDescent="0.25">
      <c r="A228">
        <v>1227</v>
      </c>
      <c r="B228" t="s">
        <v>86</v>
      </c>
      <c r="C228" t="s">
        <v>89</v>
      </c>
      <c r="D228" t="s">
        <v>22</v>
      </c>
      <c r="E228" s="1">
        <v>45470</v>
      </c>
      <c r="F228">
        <v>66</v>
      </c>
      <c r="G228" t="s">
        <v>24</v>
      </c>
      <c r="H228">
        <v>4.3</v>
      </c>
      <c r="I228">
        <v>360</v>
      </c>
      <c r="J228" t="s">
        <v>31</v>
      </c>
      <c r="L228" t="str" cm="1">
        <f t="array" ref="L228">_xlfn.IFS(H228&lt;=2,"bad",H228&lt;=2.5,"neutral",H228&gt;2.5,"good")</f>
        <v>good</v>
      </c>
      <c r="M228" t="str" cm="1">
        <f t="array" ref="M228">_xlfn.IFS(F228&lt;30,"short",F228&lt;90,"medium",F228&lt;180,"long",F228&gt;180,"very long")</f>
        <v>medium</v>
      </c>
      <c r="N228" t="str">
        <f>LEFT(Table1[[#This Row],[Activity_Type]],3)</f>
        <v>Cam</v>
      </c>
      <c r="O228" t="str">
        <f>UPPER(Table1[[#This Row],[Column2]])</f>
        <v>MENON</v>
      </c>
      <c r="P228">
        <f>LEN(Table1[[#This Row],[Visitor_Name]])</f>
        <v>6</v>
      </c>
      <c r="S228">
        <f>ROUND(Table1[[#This Row],[Rating]],0)</f>
        <v>4</v>
      </c>
      <c r="T228" t="s">
        <v>73</v>
      </c>
      <c r="U228" t="s">
        <v>66</v>
      </c>
      <c r="V228" s="5" t="s">
        <v>15</v>
      </c>
      <c r="W228">
        <v>118</v>
      </c>
    </row>
    <row r="229" spans="1:23" x14ac:dyDescent="0.25">
      <c r="A229">
        <v>1228</v>
      </c>
      <c r="B229" t="s">
        <v>79</v>
      </c>
      <c r="C229" t="s">
        <v>85</v>
      </c>
      <c r="D229" t="s">
        <v>19</v>
      </c>
      <c r="E229" s="1">
        <v>45491</v>
      </c>
      <c r="F229">
        <v>163</v>
      </c>
      <c r="G229" t="s">
        <v>26</v>
      </c>
      <c r="H229">
        <v>2.7</v>
      </c>
      <c r="I229">
        <v>305</v>
      </c>
      <c r="J229" t="s">
        <v>37</v>
      </c>
      <c r="L229" t="str" cm="1">
        <f t="array" ref="L229">_xlfn.IFS(H229&lt;=2,"bad",H229&lt;=2.5,"neutral",H229&gt;2.5,"good")</f>
        <v>good</v>
      </c>
      <c r="M229" t="str" cm="1">
        <f t="array" ref="M229">_xlfn.IFS(F229&lt;30,"short",F229&lt;90,"medium",F229&lt;180,"long",F229&gt;180,"very long")</f>
        <v>long</v>
      </c>
      <c r="N229" t="str">
        <f>LEFT(Table1[[#This Row],[Activity_Type]],3)</f>
        <v>Saf</v>
      </c>
      <c r="O229" t="str">
        <f>UPPER(Table1[[#This Row],[Column2]])</f>
        <v>DAS</v>
      </c>
      <c r="P229">
        <f>LEN(Table1[[#This Row],[Visitor_Name]])</f>
        <v>5</v>
      </c>
      <c r="S229">
        <f>ROUND(Table1[[#This Row],[Rating]],0)</f>
        <v>3</v>
      </c>
      <c r="T229" t="s">
        <v>71</v>
      </c>
      <c r="U229" t="s">
        <v>58</v>
      </c>
      <c r="V229" s="5" t="s">
        <v>10</v>
      </c>
      <c r="W229">
        <v>123</v>
      </c>
    </row>
    <row r="230" spans="1:23" x14ac:dyDescent="0.25">
      <c r="A230">
        <v>1229</v>
      </c>
      <c r="B230" t="s">
        <v>88</v>
      </c>
      <c r="C230" t="s">
        <v>81</v>
      </c>
      <c r="D230" t="s">
        <v>23</v>
      </c>
      <c r="E230" s="1">
        <v>45383</v>
      </c>
      <c r="F230">
        <v>94</v>
      </c>
      <c r="G230" t="s">
        <v>24</v>
      </c>
      <c r="H230">
        <v>4.2</v>
      </c>
      <c r="I230">
        <v>394</v>
      </c>
      <c r="J230" t="s">
        <v>37</v>
      </c>
      <c r="L230" t="str" cm="1">
        <f t="array" ref="L230">_xlfn.IFS(H230&lt;=2,"bad",H230&lt;=2.5,"neutral",H230&gt;2.5,"good")</f>
        <v>good</v>
      </c>
      <c r="M230" t="str" cm="1">
        <f t="array" ref="M230">_xlfn.IFS(F230&lt;30,"short",F230&lt;90,"medium",F230&lt;180,"long",F230&gt;180,"very long")</f>
        <v>long</v>
      </c>
      <c r="N230" t="str">
        <f>LEFT(Table1[[#This Row],[Activity_Type]],3)</f>
        <v>Boa</v>
      </c>
      <c r="O230" t="str">
        <f>UPPER(Table1[[#This Row],[Column2]])</f>
        <v>PATEL</v>
      </c>
      <c r="P230">
        <f>LEN(Table1[[#This Row],[Visitor_Name]])</f>
        <v>6</v>
      </c>
      <c r="S230">
        <f>ROUND(Table1[[#This Row],[Rating]],0)</f>
        <v>4</v>
      </c>
      <c r="T230" t="s">
        <v>69</v>
      </c>
      <c r="U230" t="s">
        <v>67</v>
      </c>
      <c r="V230" s="5" t="s">
        <v>13</v>
      </c>
      <c r="W230">
        <v>127</v>
      </c>
    </row>
    <row r="231" spans="1:23" x14ac:dyDescent="0.25">
      <c r="A231">
        <v>1230</v>
      </c>
      <c r="B231" t="s">
        <v>90</v>
      </c>
      <c r="C231" t="s">
        <v>96</v>
      </c>
      <c r="D231" t="s">
        <v>21</v>
      </c>
      <c r="E231" s="1">
        <v>45306</v>
      </c>
      <c r="F231">
        <v>110</v>
      </c>
      <c r="G231" t="s">
        <v>24</v>
      </c>
      <c r="H231">
        <v>4.5999999999999996</v>
      </c>
      <c r="I231">
        <v>146</v>
      </c>
      <c r="J231" t="s">
        <v>37</v>
      </c>
      <c r="L231" t="str" cm="1">
        <f t="array" ref="L231">_xlfn.IFS(H231&lt;=2,"bad",H231&lt;=2.5,"neutral",H231&gt;2.5,"good")</f>
        <v>good</v>
      </c>
      <c r="M231" t="str" cm="1">
        <f t="array" ref="M231">_xlfn.IFS(F231&lt;30,"short",F231&lt;90,"medium",F231&lt;180,"long",F231&gt;180,"very long")</f>
        <v>long</v>
      </c>
      <c r="N231" t="str">
        <f>LEFT(Table1[[#This Row],[Activity_Type]],3)</f>
        <v>Bir</v>
      </c>
      <c r="O231" t="str">
        <f>UPPER(Table1[[#This Row],[Column2]])</f>
        <v>SHARMA</v>
      </c>
      <c r="P231">
        <f>LEN(Table1[[#This Row],[Visitor_Name]])</f>
        <v>5</v>
      </c>
      <c r="S231">
        <f>ROUND(Table1[[#This Row],[Rating]],0)</f>
        <v>5</v>
      </c>
      <c r="T231" t="s">
        <v>76</v>
      </c>
      <c r="U231" t="s">
        <v>60</v>
      </c>
      <c r="V231" s="5" t="s">
        <v>16</v>
      </c>
      <c r="W231">
        <v>130</v>
      </c>
    </row>
    <row r="232" spans="1:23" x14ac:dyDescent="0.25">
      <c r="A232">
        <v>1231</v>
      </c>
      <c r="B232" t="s">
        <v>94</v>
      </c>
      <c r="C232" t="s">
        <v>95</v>
      </c>
      <c r="D232" t="s">
        <v>19</v>
      </c>
      <c r="E232" s="1">
        <v>45466</v>
      </c>
      <c r="F232">
        <v>90</v>
      </c>
      <c r="G232" t="s">
        <v>25</v>
      </c>
      <c r="H232">
        <v>2.5</v>
      </c>
      <c r="I232">
        <v>158</v>
      </c>
      <c r="J232" t="s">
        <v>32</v>
      </c>
      <c r="L232" t="str" cm="1">
        <f t="array" ref="L232">_xlfn.IFS(H232&lt;=2,"bad",H232&lt;=2.5,"neutral",H232&gt;2.5,"good")</f>
        <v>neutral</v>
      </c>
      <c r="M232" t="str" cm="1">
        <f t="array" ref="M232">_xlfn.IFS(F232&lt;30,"short",F232&lt;90,"medium",F232&lt;180,"long",F232&gt;180,"very long")</f>
        <v>long</v>
      </c>
      <c r="N232" t="str">
        <f>LEFT(Table1[[#This Row],[Activity_Type]],3)</f>
        <v>Saf</v>
      </c>
      <c r="O232" t="str">
        <f>UPPER(Table1[[#This Row],[Column2]])</f>
        <v>SINGH</v>
      </c>
      <c r="P232">
        <f>LEN(Table1[[#This Row],[Visitor_Name]])</f>
        <v>5</v>
      </c>
      <c r="S232">
        <f>ROUND(Table1[[#This Row],[Rating]],0)</f>
        <v>3</v>
      </c>
      <c r="T232" t="s">
        <v>75</v>
      </c>
      <c r="U232" t="s">
        <v>64</v>
      </c>
      <c r="V232" s="5" t="s">
        <v>15</v>
      </c>
      <c r="W232">
        <v>132</v>
      </c>
    </row>
    <row r="233" spans="1:23" x14ac:dyDescent="0.25">
      <c r="A233">
        <v>1232</v>
      </c>
      <c r="B233" t="s">
        <v>94</v>
      </c>
      <c r="C233" t="s">
        <v>80</v>
      </c>
      <c r="D233" t="s">
        <v>23</v>
      </c>
      <c r="E233" s="1">
        <v>45624</v>
      </c>
      <c r="F233">
        <v>210</v>
      </c>
      <c r="G233" t="s">
        <v>27</v>
      </c>
      <c r="H233">
        <v>4.5999999999999996</v>
      </c>
      <c r="I233">
        <v>212</v>
      </c>
      <c r="J233" t="s">
        <v>30</v>
      </c>
      <c r="L233" t="str" cm="1">
        <f t="array" ref="L233">_xlfn.IFS(H233&lt;=2,"bad",H233&lt;=2.5,"neutral",H233&gt;2.5,"good")</f>
        <v>good</v>
      </c>
      <c r="M233" t="str" cm="1">
        <f t="array" ref="M233">_xlfn.IFS(F233&lt;30,"short",F233&lt;90,"medium",F233&lt;180,"long",F233&gt;180,"very long")</f>
        <v>very long</v>
      </c>
      <c r="N233" t="str">
        <f>LEFT(Table1[[#This Row],[Activity_Type]],3)</f>
        <v>Boa</v>
      </c>
      <c r="O233" t="str">
        <f>UPPER(Table1[[#This Row],[Column2]])</f>
        <v>MEHTA</v>
      </c>
      <c r="P233">
        <f>LEN(Table1[[#This Row],[Visitor_Name]])</f>
        <v>5</v>
      </c>
      <c r="S233">
        <f>ROUND(Table1[[#This Row],[Rating]],0)</f>
        <v>5</v>
      </c>
      <c r="T233" t="s">
        <v>68</v>
      </c>
      <c r="U233" t="s">
        <v>64</v>
      </c>
      <c r="V233" s="5" t="s">
        <v>10</v>
      </c>
      <c r="W233">
        <v>136</v>
      </c>
    </row>
    <row r="234" spans="1:23" x14ac:dyDescent="0.25">
      <c r="A234">
        <v>1233</v>
      </c>
      <c r="B234" t="s">
        <v>91</v>
      </c>
      <c r="C234" t="s">
        <v>95</v>
      </c>
      <c r="D234" t="s">
        <v>22</v>
      </c>
      <c r="E234" s="1">
        <v>45486</v>
      </c>
      <c r="F234">
        <v>181</v>
      </c>
      <c r="G234" t="s">
        <v>25</v>
      </c>
      <c r="H234">
        <v>3.4</v>
      </c>
      <c r="I234">
        <v>463</v>
      </c>
      <c r="J234" t="s">
        <v>33</v>
      </c>
      <c r="L234" t="str" cm="1">
        <f t="array" ref="L234">_xlfn.IFS(H234&lt;=2,"bad",H234&lt;=2.5,"neutral",H234&gt;2.5,"good")</f>
        <v>good</v>
      </c>
      <c r="M234" t="str" cm="1">
        <f t="array" ref="M234">_xlfn.IFS(F234&lt;30,"short",F234&lt;90,"medium",F234&lt;180,"long",F234&gt;180,"very long")</f>
        <v>very long</v>
      </c>
      <c r="N234" t="str">
        <f>LEFT(Table1[[#This Row],[Activity_Type]],3)</f>
        <v>Cam</v>
      </c>
      <c r="O234" t="str">
        <f>UPPER(Table1[[#This Row],[Column2]])</f>
        <v>SINGH</v>
      </c>
      <c r="P234">
        <f>LEN(Table1[[#This Row],[Visitor_Name]])</f>
        <v>5</v>
      </c>
      <c r="S234">
        <f>ROUND(Table1[[#This Row],[Rating]],0)</f>
        <v>3</v>
      </c>
      <c r="T234" t="s">
        <v>75</v>
      </c>
      <c r="U234" t="s">
        <v>61</v>
      </c>
      <c r="V234" s="5" t="s">
        <v>15</v>
      </c>
      <c r="W234">
        <v>137</v>
      </c>
    </row>
    <row r="235" spans="1:23" x14ac:dyDescent="0.25">
      <c r="A235">
        <v>1234</v>
      </c>
      <c r="B235" t="s">
        <v>94</v>
      </c>
      <c r="C235" t="s">
        <v>87</v>
      </c>
      <c r="D235" t="s">
        <v>22</v>
      </c>
      <c r="E235" s="1">
        <v>45516</v>
      </c>
      <c r="F235">
        <v>217</v>
      </c>
      <c r="G235" t="s">
        <v>24</v>
      </c>
      <c r="H235">
        <v>3.6</v>
      </c>
      <c r="I235">
        <v>351</v>
      </c>
      <c r="J235" t="s">
        <v>28</v>
      </c>
      <c r="L235" t="str" cm="1">
        <f t="array" ref="L235">_xlfn.IFS(H235&lt;=2,"bad",H235&lt;=2.5,"neutral",H235&gt;2.5,"good")</f>
        <v>good</v>
      </c>
      <c r="M235" t="str" cm="1">
        <f t="array" ref="M235">_xlfn.IFS(F235&lt;30,"short",F235&lt;90,"medium",F235&lt;180,"long",F235&gt;180,"very long")</f>
        <v>very long</v>
      </c>
      <c r="N235" t="str">
        <f>LEFT(Table1[[#This Row],[Activity_Type]],3)</f>
        <v>Cam</v>
      </c>
      <c r="O235" t="str">
        <f>UPPER(Table1[[#This Row],[Column2]])</f>
        <v>VERMA</v>
      </c>
      <c r="P235">
        <f>LEN(Table1[[#This Row],[Visitor_Name]])</f>
        <v>5</v>
      </c>
      <c r="S235">
        <f>ROUND(Table1[[#This Row],[Rating]],0)</f>
        <v>4</v>
      </c>
      <c r="T235" t="s">
        <v>72</v>
      </c>
      <c r="U235" t="s">
        <v>64</v>
      </c>
      <c r="V235" s="5" t="s">
        <v>10</v>
      </c>
      <c r="W235">
        <v>137</v>
      </c>
    </row>
    <row r="236" spans="1:23" x14ac:dyDescent="0.25">
      <c r="A236">
        <v>1235</v>
      </c>
      <c r="B236" t="s">
        <v>92</v>
      </c>
      <c r="C236" t="s">
        <v>98</v>
      </c>
      <c r="D236" t="s">
        <v>19</v>
      </c>
      <c r="E236" s="1">
        <v>45492</v>
      </c>
      <c r="F236">
        <v>132</v>
      </c>
      <c r="G236" t="s">
        <v>25</v>
      </c>
      <c r="H236">
        <v>4.5</v>
      </c>
      <c r="I236">
        <v>357</v>
      </c>
      <c r="J236" t="s">
        <v>37</v>
      </c>
      <c r="L236" t="str" cm="1">
        <f t="array" ref="L236">_xlfn.IFS(H236&lt;=2,"bad",H236&lt;=2.5,"neutral",H236&gt;2.5,"good")</f>
        <v>good</v>
      </c>
      <c r="M236" t="str" cm="1">
        <f t="array" ref="M236">_xlfn.IFS(F236&lt;30,"short",F236&lt;90,"medium",F236&lt;180,"long",F236&gt;180,"very long")</f>
        <v>long</v>
      </c>
      <c r="N236" t="str">
        <f>LEFT(Table1[[#This Row],[Activity_Type]],3)</f>
        <v>Saf</v>
      </c>
      <c r="O236" t="str">
        <f>UPPER(Table1[[#This Row],[Column2]])</f>
        <v>REDDY</v>
      </c>
      <c r="P236">
        <f>LEN(Table1[[#This Row],[Visitor_Name]])</f>
        <v>5</v>
      </c>
      <c r="S236">
        <f>ROUND(Table1[[#This Row],[Rating]],0)</f>
        <v>5</v>
      </c>
      <c r="T236" t="s">
        <v>77</v>
      </c>
      <c r="U236" t="s">
        <v>62</v>
      </c>
      <c r="V236" s="5" t="s">
        <v>10</v>
      </c>
      <c r="W236">
        <v>138</v>
      </c>
    </row>
    <row r="237" spans="1:23" x14ac:dyDescent="0.25">
      <c r="A237">
        <v>1236</v>
      </c>
      <c r="B237" t="s">
        <v>94</v>
      </c>
      <c r="C237" t="s">
        <v>80</v>
      </c>
      <c r="D237" t="s">
        <v>22</v>
      </c>
      <c r="E237" s="1">
        <v>45463</v>
      </c>
      <c r="F237">
        <v>118</v>
      </c>
      <c r="G237" t="s">
        <v>24</v>
      </c>
      <c r="H237">
        <v>3</v>
      </c>
      <c r="I237">
        <v>205</v>
      </c>
      <c r="J237" t="s">
        <v>37</v>
      </c>
      <c r="L237" t="str" cm="1">
        <f t="array" ref="L237">_xlfn.IFS(H237&lt;=2,"bad",H237&lt;=2.5,"neutral",H237&gt;2.5,"good")</f>
        <v>good</v>
      </c>
      <c r="M237" t="str" cm="1">
        <f t="array" ref="M237">_xlfn.IFS(F237&lt;30,"short",F237&lt;90,"medium",F237&lt;180,"long",F237&gt;180,"very long")</f>
        <v>long</v>
      </c>
      <c r="N237" t="str">
        <f>LEFT(Table1[[#This Row],[Activity_Type]],3)</f>
        <v>Cam</v>
      </c>
      <c r="O237" t="str">
        <f>UPPER(Table1[[#This Row],[Column2]])</f>
        <v>MEHTA</v>
      </c>
      <c r="P237">
        <f>LEN(Table1[[#This Row],[Visitor_Name]])</f>
        <v>5</v>
      </c>
      <c r="S237">
        <f>ROUND(Table1[[#This Row],[Rating]],0)</f>
        <v>3</v>
      </c>
      <c r="T237" t="s">
        <v>68</v>
      </c>
      <c r="U237" t="s">
        <v>64</v>
      </c>
      <c r="V237" s="5" t="s">
        <v>13</v>
      </c>
      <c r="W237">
        <v>140</v>
      </c>
    </row>
    <row r="238" spans="1:23" x14ac:dyDescent="0.25">
      <c r="A238">
        <v>1237</v>
      </c>
      <c r="B238" t="s">
        <v>86</v>
      </c>
      <c r="C238" t="s">
        <v>93</v>
      </c>
      <c r="D238" t="s">
        <v>23</v>
      </c>
      <c r="E238" s="1">
        <v>45647</v>
      </c>
      <c r="F238">
        <v>130</v>
      </c>
      <c r="G238" t="s">
        <v>25</v>
      </c>
      <c r="H238">
        <v>4.9000000000000004</v>
      </c>
      <c r="I238">
        <v>312</v>
      </c>
      <c r="J238" t="s">
        <v>29</v>
      </c>
      <c r="L238" t="str" cm="1">
        <f t="array" ref="L238">_xlfn.IFS(H238&lt;=2,"bad",H238&lt;=2.5,"neutral",H238&gt;2.5,"good")</f>
        <v>good</v>
      </c>
      <c r="M238" t="str" cm="1">
        <f t="array" ref="M238">_xlfn.IFS(F238&lt;30,"short",F238&lt;90,"medium",F238&lt;180,"long",F238&gt;180,"very long")</f>
        <v>long</v>
      </c>
      <c r="N238" t="str">
        <f>LEFT(Table1[[#This Row],[Activity_Type]],3)</f>
        <v>Boa</v>
      </c>
      <c r="O238" t="str">
        <f>UPPER(Table1[[#This Row],[Column2]])</f>
        <v>IYER</v>
      </c>
      <c r="P238">
        <f>LEN(Table1[[#This Row],[Visitor_Name]])</f>
        <v>6</v>
      </c>
      <c r="S238">
        <f>ROUND(Table1[[#This Row],[Rating]],0)</f>
        <v>5</v>
      </c>
      <c r="T238" t="s">
        <v>74</v>
      </c>
      <c r="U238" t="s">
        <v>66</v>
      </c>
      <c r="V238" s="5" t="s">
        <v>16</v>
      </c>
      <c r="W238">
        <v>144</v>
      </c>
    </row>
    <row r="239" spans="1:23" x14ac:dyDescent="0.25">
      <c r="A239">
        <v>1238</v>
      </c>
      <c r="B239" t="s">
        <v>97</v>
      </c>
      <c r="C239" t="s">
        <v>85</v>
      </c>
      <c r="D239" t="s">
        <v>23</v>
      </c>
      <c r="E239" s="1">
        <v>45477</v>
      </c>
      <c r="F239">
        <v>167</v>
      </c>
      <c r="G239" t="s">
        <v>24</v>
      </c>
      <c r="H239">
        <v>2.9</v>
      </c>
      <c r="I239">
        <v>285</v>
      </c>
      <c r="J239" t="s">
        <v>36</v>
      </c>
      <c r="L239" t="str" cm="1">
        <f t="array" ref="L239">_xlfn.IFS(H239&lt;=2,"bad",H239&lt;=2.5,"neutral",H239&gt;2.5,"good")</f>
        <v>good</v>
      </c>
      <c r="M239" t="str" cm="1">
        <f t="array" ref="M239">_xlfn.IFS(F239&lt;30,"short",F239&lt;90,"medium",F239&lt;180,"long",F239&gt;180,"very long")</f>
        <v>long</v>
      </c>
      <c r="N239" t="str">
        <f>LEFT(Table1[[#This Row],[Activity_Type]],3)</f>
        <v>Boa</v>
      </c>
      <c r="O239" t="str">
        <f>UPPER(Table1[[#This Row],[Column2]])</f>
        <v>DAS</v>
      </c>
      <c r="P239">
        <f>LEN(Table1[[#This Row],[Visitor_Name]])</f>
        <v>5</v>
      </c>
      <c r="S239">
        <f>ROUND(Table1[[#This Row],[Rating]],0)</f>
        <v>3</v>
      </c>
      <c r="T239" t="s">
        <v>71</v>
      </c>
      <c r="U239" t="s">
        <v>65</v>
      </c>
      <c r="V239" s="5" t="s">
        <v>10</v>
      </c>
      <c r="W239">
        <v>145</v>
      </c>
    </row>
    <row r="240" spans="1:23" x14ac:dyDescent="0.25">
      <c r="A240">
        <v>1239</v>
      </c>
      <c r="B240" t="s">
        <v>82</v>
      </c>
      <c r="C240" t="s">
        <v>96</v>
      </c>
      <c r="D240" t="s">
        <v>18</v>
      </c>
      <c r="E240" s="1">
        <v>45652</v>
      </c>
      <c r="F240">
        <v>127</v>
      </c>
      <c r="G240" t="s">
        <v>26</v>
      </c>
      <c r="H240">
        <v>3.5</v>
      </c>
      <c r="I240">
        <v>298</v>
      </c>
      <c r="J240" t="s">
        <v>34</v>
      </c>
      <c r="L240" t="str" cm="1">
        <f t="array" ref="L240">_xlfn.IFS(H240&lt;=2,"bad",H240&lt;=2.5,"neutral",H240&gt;2.5,"good")</f>
        <v>good</v>
      </c>
      <c r="M240" t="str" cm="1">
        <f t="array" ref="M240">_xlfn.IFS(F240&lt;30,"short",F240&lt;90,"medium",F240&lt;180,"long",F240&gt;180,"very long")</f>
        <v>long</v>
      </c>
      <c r="N240" t="str">
        <f>LEFT(Table1[[#This Row],[Activity_Type]],3)</f>
        <v>Pho</v>
      </c>
      <c r="O240" t="str">
        <f>UPPER(Table1[[#This Row],[Column2]])</f>
        <v>SHARMA</v>
      </c>
      <c r="P240">
        <f>LEN(Table1[[#This Row],[Visitor_Name]])</f>
        <v>5</v>
      </c>
      <c r="S240">
        <f>ROUND(Table1[[#This Row],[Rating]],0)</f>
        <v>4</v>
      </c>
      <c r="T240" t="s">
        <v>76</v>
      </c>
      <c r="U240" t="s">
        <v>59</v>
      </c>
      <c r="V240" s="5" t="s">
        <v>10</v>
      </c>
      <c r="W240">
        <v>156</v>
      </c>
    </row>
    <row r="241" spans="1:23" x14ac:dyDescent="0.25">
      <c r="A241">
        <v>1240</v>
      </c>
      <c r="B241" t="s">
        <v>94</v>
      </c>
      <c r="C241" t="s">
        <v>85</v>
      </c>
      <c r="D241" t="s">
        <v>19</v>
      </c>
      <c r="E241" s="1">
        <v>45561</v>
      </c>
      <c r="F241">
        <v>117</v>
      </c>
      <c r="G241" t="s">
        <v>24</v>
      </c>
      <c r="H241">
        <v>2.6</v>
      </c>
      <c r="I241">
        <v>482</v>
      </c>
      <c r="J241" t="s">
        <v>29</v>
      </c>
      <c r="L241" t="str" cm="1">
        <f t="array" ref="L241">_xlfn.IFS(H241&lt;=2,"bad",H241&lt;=2.5,"neutral",H241&gt;2.5,"good")</f>
        <v>good</v>
      </c>
      <c r="M241" t="str" cm="1">
        <f t="array" ref="M241">_xlfn.IFS(F241&lt;30,"short",F241&lt;90,"medium",F241&lt;180,"long",F241&gt;180,"very long")</f>
        <v>long</v>
      </c>
      <c r="N241" t="str">
        <f>LEFT(Table1[[#This Row],[Activity_Type]],3)</f>
        <v>Saf</v>
      </c>
      <c r="O241" t="str">
        <f>UPPER(Table1[[#This Row],[Column2]])</f>
        <v>DAS</v>
      </c>
      <c r="P241">
        <f>LEN(Table1[[#This Row],[Visitor_Name]])</f>
        <v>5</v>
      </c>
      <c r="S241">
        <f>ROUND(Table1[[#This Row],[Rating]],0)</f>
        <v>3</v>
      </c>
      <c r="T241" t="s">
        <v>71</v>
      </c>
      <c r="U241" t="s">
        <v>64</v>
      </c>
      <c r="V241" s="5" t="s">
        <v>14</v>
      </c>
      <c r="W241">
        <v>157</v>
      </c>
    </row>
    <row r="242" spans="1:23" x14ac:dyDescent="0.25">
      <c r="A242">
        <v>1241</v>
      </c>
      <c r="B242" t="s">
        <v>88</v>
      </c>
      <c r="C242" t="s">
        <v>85</v>
      </c>
      <c r="D242" t="s">
        <v>20</v>
      </c>
      <c r="E242" s="1">
        <v>45601</v>
      </c>
      <c r="F242">
        <v>85</v>
      </c>
      <c r="G242" t="s">
        <v>27</v>
      </c>
      <c r="H242">
        <v>4.3</v>
      </c>
      <c r="I242">
        <v>457</v>
      </c>
      <c r="J242" t="s">
        <v>37</v>
      </c>
      <c r="L242" t="str" cm="1">
        <f t="array" ref="L242">_xlfn.IFS(H242&lt;=2,"bad",H242&lt;=2.5,"neutral",H242&gt;2.5,"good")</f>
        <v>good</v>
      </c>
      <c r="M242" t="str" cm="1">
        <f t="array" ref="M242">_xlfn.IFS(F242&lt;30,"short",F242&lt;90,"medium",F242&lt;180,"long",F242&gt;180,"very long")</f>
        <v>medium</v>
      </c>
      <c r="N242" t="str">
        <f>LEFT(Table1[[#This Row],[Activity_Type]],3)</f>
        <v>Hik</v>
      </c>
      <c r="O242" t="str">
        <f>UPPER(Table1[[#This Row],[Column2]])</f>
        <v>DAS</v>
      </c>
      <c r="P242">
        <f>LEN(Table1[[#This Row],[Visitor_Name]])</f>
        <v>6</v>
      </c>
      <c r="S242">
        <f>ROUND(Table1[[#This Row],[Rating]],0)</f>
        <v>4</v>
      </c>
      <c r="T242" t="s">
        <v>71</v>
      </c>
      <c r="U242" t="s">
        <v>67</v>
      </c>
      <c r="V242" s="5" t="s">
        <v>13</v>
      </c>
      <c r="W242">
        <v>163</v>
      </c>
    </row>
    <row r="243" spans="1:23" x14ac:dyDescent="0.25">
      <c r="A243">
        <v>1242</v>
      </c>
      <c r="B243" t="s">
        <v>88</v>
      </c>
      <c r="C243" t="s">
        <v>98</v>
      </c>
      <c r="D243" t="s">
        <v>22</v>
      </c>
      <c r="E243" s="1">
        <v>45480</v>
      </c>
      <c r="F243">
        <v>201</v>
      </c>
      <c r="G243" t="s">
        <v>26</v>
      </c>
      <c r="H243">
        <v>4.2</v>
      </c>
      <c r="I243">
        <v>313</v>
      </c>
      <c r="J243" t="s">
        <v>32</v>
      </c>
      <c r="L243" t="str" cm="1">
        <f t="array" ref="L243">_xlfn.IFS(H243&lt;=2,"bad",H243&lt;=2.5,"neutral",H243&gt;2.5,"good")</f>
        <v>good</v>
      </c>
      <c r="M243" t="str" cm="1">
        <f t="array" ref="M243">_xlfn.IFS(F243&lt;30,"short",F243&lt;90,"medium",F243&lt;180,"long",F243&gt;180,"very long")</f>
        <v>very long</v>
      </c>
      <c r="N243" t="str">
        <f>LEFT(Table1[[#This Row],[Activity_Type]],3)</f>
        <v>Cam</v>
      </c>
      <c r="O243" t="str">
        <f>UPPER(Table1[[#This Row],[Column2]])</f>
        <v>REDDY</v>
      </c>
      <c r="P243">
        <f>LEN(Table1[[#This Row],[Visitor_Name]])</f>
        <v>6</v>
      </c>
      <c r="S243">
        <f>ROUND(Table1[[#This Row],[Rating]],0)</f>
        <v>4</v>
      </c>
      <c r="T243" t="s">
        <v>77</v>
      </c>
      <c r="U243" t="s">
        <v>67</v>
      </c>
      <c r="V243" s="5" t="s">
        <v>11</v>
      </c>
      <c r="W243">
        <v>164</v>
      </c>
    </row>
    <row r="244" spans="1:23" x14ac:dyDescent="0.25">
      <c r="A244">
        <v>1243</v>
      </c>
      <c r="B244" t="s">
        <v>97</v>
      </c>
      <c r="C244" t="s">
        <v>85</v>
      </c>
      <c r="D244" t="s">
        <v>22</v>
      </c>
      <c r="E244" s="1">
        <v>45319</v>
      </c>
      <c r="F244">
        <v>145</v>
      </c>
      <c r="G244" t="s">
        <v>25</v>
      </c>
      <c r="H244">
        <v>4.9000000000000004</v>
      </c>
      <c r="I244">
        <v>387</v>
      </c>
      <c r="J244" t="s">
        <v>32</v>
      </c>
      <c r="L244" t="str" cm="1">
        <f t="array" ref="L244">_xlfn.IFS(H244&lt;=2,"bad",H244&lt;=2.5,"neutral",H244&gt;2.5,"good")</f>
        <v>good</v>
      </c>
      <c r="M244" t="str" cm="1">
        <f t="array" ref="M244">_xlfn.IFS(F244&lt;30,"short",F244&lt;90,"medium",F244&lt;180,"long",F244&gt;180,"very long")</f>
        <v>long</v>
      </c>
      <c r="N244" t="str">
        <f>LEFT(Table1[[#This Row],[Activity_Type]],3)</f>
        <v>Cam</v>
      </c>
      <c r="O244" t="str">
        <f>UPPER(Table1[[#This Row],[Column2]])</f>
        <v>DAS</v>
      </c>
      <c r="P244">
        <f>LEN(Table1[[#This Row],[Visitor_Name]])</f>
        <v>5</v>
      </c>
      <c r="S244">
        <f>ROUND(Table1[[#This Row],[Rating]],0)</f>
        <v>5</v>
      </c>
      <c r="T244" t="s">
        <v>71</v>
      </c>
      <c r="U244" t="s">
        <v>65</v>
      </c>
      <c r="V244" s="5" t="s">
        <v>14</v>
      </c>
      <c r="W244">
        <v>167</v>
      </c>
    </row>
    <row r="245" spans="1:23" x14ac:dyDescent="0.25">
      <c r="A245">
        <v>1244</v>
      </c>
      <c r="B245" t="s">
        <v>84</v>
      </c>
      <c r="C245" t="s">
        <v>87</v>
      </c>
      <c r="D245" t="s">
        <v>18</v>
      </c>
      <c r="E245" s="1">
        <v>45373</v>
      </c>
      <c r="F245">
        <v>25</v>
      </c>
      <c r="G245" t="s">
        <v>27</v>
      </c>
      <c r="H245">
        <v>3</v>
      </c>
      <c r="I245">
        <v>409</v>
      </c>
      <c r="J245" t="s">
        <v>37</v>
      </c>
      <c r="L245" t="str" cm="1">
        <f t="array" ref="L245">_xlfn.IFS(H245&lt;=2,"bad",H245&lt;=2.5,"neutral",H245&gt;2.5,"good")</f>
        <v>good</v>
      </c>
      <c r="M245" t="str" cm="1">
        <f t="array" ref="M245">_xlfn.IFS(F245&lt;30,"short",F245&lt;90,"medium",F245&lt;180,"long",F245&gt;180,"very long")</f>
        <v>short</v>
      </c>
      <c r="N245" t="str">
        <f>LEFT(Table1[[#This Row],[Activity_Type]],3)</f>
        <v>Pho</v>
      </c>
      <c r="O245" t="str">
        <f>UPPER(Table1[[#This Row],[Column2]])</f>
        <v>VERMA</v>
      </c>
      <c r="P245">
        <f>LEN(Table1[[#This Row],[Visitor_Name]])</f>
        <v>5</v>
      </c>
      <c r="S245">
        <f>ROUND(Table1[[#This Row],[Rating]],0)</f>
        <v>3</v>
      </c>
      <c r="T245" t="s">
        <v>72</v>
      </c>
      <c r="U245" t="s">
        <v>63</v>
      </c>
      <c r="V245" s="5" t="s">
        <v>15</v>
      </c>
      <c r="W245">
        <v>170</v>
      </c>
    </row>
    <row r="246" spans="1:23" x14ac:dyDescent="0.25">
      <c r="A246">
        <v>1245</v>
      </c>
      <c r="B246" t="s">
        <v>90</v>
      </c>
      <c r="C246" t="s">
        <v>95</v>
      </c>
      <c r="D246" t="s">
        <v>20</v>
      </c>
      <c r="E246" s="1">
        <v>45485</v>
      </c>
      <c r="F246">
        <v>144</v>
      </c>
      <c r="G246" t="s">
        <v>24</v>
      </c>
      <c r="H246">
        <v>4.4000000000000004</v>
      </c>
      <c r="I246">
        <v>437</v>
      </c>
      <c r="J246" t="s">
        <v>28</v>
      </c>
      <c r="L246" t="str" cm="1">
        <f t="array" ref="L246">_xlfn.IFS(H246&lt;=2,"bad",H246&lt;=2.5,"neutral",H246&gt;2.5,"good")</f>
        <v>good</v>
      </c>
      <c r="M246" t="str" cm="1">
        <f t="array" ref="M246">_xlfn.IFS(F246&lt;30,"short",F246&lt;90,"medium",F246&lt;180,"long",F246&gt;180,"very long")</f>
        <v>long</v>
      </c>
      <c r="N246" t="str">
        <f>LEFT(Table1[[#This Row],[Activity_Type]],3)</f>
        <v>Hik</v>
      </c>
      <c r="O246" t="str">
        <f>UPPER(Table1[[#This Row],[Column2]])</f>
        <v>SINGH</v>
      </c>
      <c r="P246">
        <f>LEN(Table1[[#This Row],[Visitor_Name]])</f>
        <v>5</v>
      </c>
      <c r="S246">
        <f>ROUND(Table1[[#This Row],[Rating]],0)</f>
        <v>4</v>
      </c>
      <c r="T246" t="s">
        <v>75</v>
      </c>
      <c r="U246" t="s">
        <v>60</v>
      </c>
      <c r="V246" s="5" t="s">
        <v>13</v>
      </c>
      <c r="W246">
        <v>174</v>
      </c>
    </row>
    <row r="247" spans="1:23" x14ac:dyDescent="0.25">
      <c r="A247">
        <v>1246</v>
      </c>
      <c r="B247" t="s">
        <v>88</v>
      </c>
      <c r="C247" t="s">
        <v>98</v>
      </c>
      <c r="D247" t="s">
        <v>23</v>
      </c>
      <c r="E247" s="1">
        <v>45574</v>
      </c>
      <c r="F247">
        <v>206</v>
      </c>
      <c r="G247" t="s">
        <v>24</v>
      </c>
      <c r="H247">
        <v>3.8</v>
      </c>
      <c r="I247">
        <v>374</v>
      </c>
      <c r="J247" t="s">
        <v>34</v>
      </c>
      <c r="L247" t="str" cm="1">
        <f t="array" ref="L247">_xlfn.IFS(H247&lt;=2,"bad",H247&lt;=2.5,"neutral",H247&gt;2.5,"good")</f>
        <v>good</v>
      </c>
      <c r="M247" t="str" cm="1">
        <f t="array" ref="M247">_xlfn.IFS(F247&lt;30,"short",F247&lt;90,"medium",F247&lt;180,"long",F247&gt;180,"very long")</f>
        <v>very long</v>
      </c>
      <c r="N247" t="str">
        <f>LEFT(Table1[[#This Row],[Activity_Type]],3)</f>
        <v>Boa</v>
      </c>
      <c r="O247" t="str">
        <f>UPPER(Table1[[#This Row],[Column2]])</f>
        <v>REDDY</v>
      </c>
      <c r="P247">
        <f>LEN(Table1[[#This Row],[Visitor_Name]])</f>
        <v>6</v>
      </c>
      <c r="S247">
        <f>ROUND(Table1[[#This Row],[Rating]],0)</f>
        <v>4</v>
      </c>
      <c r="T247" t="s">
        <v>77</v>
      </c>
      <c r="U247" t="s">
        <v>67</v>
      </c>
      <c r="V247" s="5" t="s">
        <v>13</v>
      </c>
      <c r="W247">
        <v>181</v>
      </c>
    </row>
    <row r="248" spans="1:23" x14ac:dyDescent="0.25">
      <c r="A248">
        <v>1247</v>
      </c>
      <c r="B248" t="s">
        <v>90</v>
      </c>
      <c r="C248" t="s">
        <v>98</v>
      </c>
      <c r="D248" t="s">
        <v>19</v>
      </c>
      <c r="E248" s="1">
        <v>45548</v>
      </c>
      <c r="F248">
        <v>90</v>
      </c>
      <c r="G248" t="s">
        <v>25</v>
      </c>
      <c r="H248">
        <v>4.5999999999999996</v>
      </c>
      <c r="I248">
        <v>137</v>
      </c>
      <c r="J248" t="s">
        <v>34</v>
      </c>
      <c r="L248" t="str" cm="1">
        <f t="array" ref="L248">_xlfn.IFS(H248&lt;=2,"bad",H248&lt;=2.5,"neutral",H248&gt;2.5,"good")</f>
        <v>good</v>
      </c>
      <c r="M248" t="str" cm="1">
        <f t="array" ref="M248">_xlfn.IFS(F248&lt;30,"short",F248&lt;90,"medium",F248&lt;180,"long",F248&gt;180,"very long")</f>
        <v>long</v>
      </c>
      <c r="N248" t="str">
        <f>LEFT(Table1[[#This Row],[Activity_Type]],3)</f>
        <v>Saf</v>
      </c>
      <c r="O248" t="str">
        <f>UPPER(Table1[[#This Row],[Column2]])</f>
        <v>REDDY</v>
      </c>
      <c r="P248">
        <f>LEN(Table1[[#This Row],[Visitor_Name]])</f>
        <v>5</v>
      </c>
      <c r="S248">
        <f>ROUND(Table1[[#This Row],[Rating]],0)</f>
        <v>5</v>
      </c>
      <c r="T248" t="s">
        <v>77</v>
      </c>
      <c r="U248" t="s">
        <v>60</v>
      </c>
      <c r="V248" s="5" t="s">
        <v>11</v>
      </c>
      <c r="W248">
        <v>184</v>
      </c>
    </row>
    <row r="249" spans="1:23" x14ac:dyDescent="0.25">
      <c r="A249">
        <v>1248</v>
      </c>
      <c r="B249" t="s">
        <v>84</v>
      </c>
      <c r="C249" t="s">
        <v>83</v>
      </c>
      <c r="D249" t="s">
        <v>18</v>
      </c>
      <c r="E249" s="1">
        <v>45553</v>
      </c>
      <c r="F249">
        <v>202</v>
      </c>
      <c r="G249" t="s">
        <v>27</v>
      </c>
      <c r="H249">
        <v>4.4000000000000004</v>
      </c>
      <c r="I249">
        <v>493</v>
      </c>
      <c r="J249" t="s">
        <v>31</v>
      </c>
      <c r="L249" t="str" cm="1">
        <f t="array" ref="L249">_xlfn.IFS(H249&lt;=2,"bad",H249&lt;=2.5,"neutral",H249&gt;2.5,"good")</f>
        <v>good</v>
      </c>
      <c r="M249" t="str" cm="1">
        <f t="array" ref="M249">_xlfn.IFS(F249&lt;30,"short",F249&lt;90,"medium",F249&lt;180,"long",F249&gt;180,"very long")</f>
        <v>very long</v>
      </c>
      <c r="N249" t="str">
        <f>LEFT(Table1[[#This Row],[Activity_Type]],3)</f>
        <v>Pho</v>
      </c>
      <c r="O249" t="str">
        <f>UPPER(Table1[[#This Row],[Column2]])</f>
        <v>NAIR</v>
      </c>
      <c r="P249">
        <f>LEN(Table1[[#This Row],[Visitor_Name]])</f>
        <v>5</v>
      </c>
      <c r="S249">
        <f>ROUND(Table1[[#This Row],[Rating]],0)</f>
        <v>4</v>
      </c>
      <c r="T249" t="s">
        <v>70</v>
      </c>
      <c r="U249" t="s">
        <v>63</v>
      </c>
      <c r="V249" s="5" t="s">
        <v>10</v>
      </c>
      <c r="W249">
        <v>185</v>
      </c>
    </row>
    <row r="250" spans="1:23" x14ac:dyDescent="0.25">
      <c r="A250">
        <v>1249</v>
      </c>
      <c r="B250" t="s">
        <v>84</v>
      </c>
      <c r="C250" t="s">
        <v>95</v>
      </c>
      <c r="D250" t="s">
        <v>19</v>
      </c>
      <c r="E250" s="1">
        <v>45300</v>
      </c>
      <c r="F250">
        <v>156</v>
      </c>
      <c r="G250" t="s">
        <v>26</v>
      </c>
      <c r="H250">
        <v>2.9</v>
      </c>
      <c r="I250">
        <v>498</v>
      </c>
      <c r="J250" t="s">
        <v>28</v>
      </c>
      <c r="L250" t="str" cm="1">
        <f t="array" ref="L250">_xlfn.IFS(H250&lt;=2,"bad",H250&lt;=2.5,"neutral",H250&gt;2.5,"good")</f>
        <v>good</v>
      </c>
      <c r="M250" t="str" cm="1">
        <f t="array" ref="M250">_xlfn.IFS(F250&lt;30,"short",F250&lt;90,"medium",F250&lt;180,"long",F250&gt;180,"very long")</f>
        <v>long</v>
      </c>
      <c r="N250" t="str">
        <f>LEFT(Table1[[#This Row],[Activity_Type]],3)</f>
        <v>Saf</v>
      </c>
      <c r="O250" t="str">
        <f>UPPER(Table1[[#This Row],[Column2]])</f>
        <v>SINGH</v>
      </c>
      <c r="P250">
        <f>LEN(Table1[[#This Row],[Visitor_Name]])</f>
        <v>5</v>
      </c>
      <c r="S250">
        <f>ROUND(Table1[[#This Row],[Rating]],0)</f>
        <v>3</v>
      </c>
      <c r="T250" t="s">
        <v>75</v>
      </c>
      <c r="U250" t="s">
        <v>63</v>
      </c>
      <c r="V250" s="5" t="s">
        <v>11</v>
      </c>
      <c r="W250">
        <v>187</v>
      </c>
    </row>
    <row r="251" spans="1:23" x14ac:dyDescent="0.25">
      <c r="A251">
        <v>1250</v>
      </c>
      <c r="B251" t="s">
        <v>82</v>
      </c>
      <c r="C251" t="s">
        <v>85</v>
      </c>
      <c r="D251" t="s">
        <v>21</v>
      </c>
      <c r="E251" s="1">
        <v>45478</v>
      </c>
      <c r="F251">
        <v>136</v>
      </c>
      <c r="G251" t="s">
        <v>26</v>
      </c>
      <c r="H251">
        <v>4.3</v>
      </c>
      <c r="I251">
        <v>111</v>
      </c>
      <c r="J251" t="s">
        <v>34</v>
      </c>
      <c r="L251" t="str" cm="1">
        <f t="array" ref="L251">_xlfn.IFS(H251&lt;=2,"bad",H251&lt;=2.5,"neutral",H251&gt;2.5,"good")</f>
        <v>good</v>
      </c>
      <c r="M251" t="str" cm="1">
        <f t="array" ref="M251">_xlfn.IFS(F251&lt;30,"short",F251&lt;90,"medium",F251&lt;180,"long",F251&gt;180,"very long")</f>
        <v>long</v>
      </c>
      <c r="N251" t="str">
        <f>LEFT(Table1[[#This Row],[Activity_Type]],3)</f>
        <v>Bir</v>
      </c>
      <c r="O251" t="str">
        <f>UPPER(Table1[[#This Row],[Column2]])</f>
        <v>DAS</v>
      </c>
      <c r="P251">
        <f>LEN(Table1[[#This Row],[Visitor_Name]])</f>
        <v>5</v>
      </c>
      <c r="S251">
        <f>ROUND(Table1[[#This Row],[Rating]],0)</f>
        <v>4</v>
      </c>
      <c r="T251" t="s">
        <v>71</v>
      </c>
      <c r="U251" t="s">
        <v>59</v>
      </c>
      <c r="V251" s="5" t="s">
        <v>16</v>
      </c>
      <c r="W251">
        <v>195</v>
      </c>
    </row>
    <row r="252" spans="1:23" x14ac:dyDescent="0.25">
      <c r="A252">
        <v>1251</v>
      </c>
      <c r="B252" t="s">
        <v>84</v>
      </c>
      <c r="C252" t="s">
        <v>80</v>
      </c>
      <c r="D252" t="s">
        <v>19</v>
      </c>
      <c r="E252" s="1">
        <v>45400</v>
      </c>
      <c r="F252">
        <v>174</v>
      </c>
      <c r="G252" t="s">
        <v>24</v>
      </c>
      <c r="H252">
        <v>3.3</v>
      </c>
      <c r="I252">
        <v>384</v>
      </c>
      <c r="J252" t="s">
        <v>29</v>
      </c>
      <c r="L252" t="str" cm="1">
        <f t="array" ref="L252">_xlfn.IFS(H252&lt;=2,"bad",H252&lt;=2.5,"neutral",H252&gt;2.5,"good")</f>
        <v>good</v>
      </c>
      <c r="M252" t="str" cm="1">
        <f t="array" ref="M252">_xlfn.IFS(F252&lt;30,"short",F252&lt;90,"medium",F252&lt;180,"long",F252&gt;180,"very long")</f>
        <v>long</v>
      </c>
      <c r="N252" t="str">
        <f>LEFT(Table1[[#This Row],[Activity_Type]],3)</f>
        <v>Saf</v>
      </c>
      <c r="O252" t="str">
        <f>UPPER(Table1[[#This Row],[Column2]])</f>
        <v>MEHTA</v>
      </c>
      <c r="P252">
        <f>LEN(Table1[[#This Row],[Visitor_Name]])</f>
        <v>5</v>
      </c>
      <c r="S252">
        <f>ROUND(Table1[[#This Row],[Rating]],0)</f>
        <v>3</v>
      </c>
      <c r="T252" t="s">
        <v>68</v>
      </c>
      <c r="U252" t="s">
        <v>63</v>
      </c>
      <c r="V252" s="5" t="s">
        <v>10</v>
      </c>
      <c r="W252">
        <v>197</v>
      </c>
    </row>
    <row r="253" spans="1:23" x14ac:dyDescent="0.25">
      <c r="A253">
        <v>1252</v>
      </c>
      <c r="B253" t="s">
        <v>86</v>
      </c>
      <c r="C253" t="s">
        <v>83</v>
      </c>
      <c r="D253" t="s">
        <v>20</v>
      </c>
      <c r="E253" s="1">
        <v>45533</v>
      </c>
      <c r="F253">
        <v>215</v>
      </c>
      <c r="G253" t="s">
        <v>24</v>
      </c>
      <c r="H253">
        <v>3.3</v>
      </c>
      <c r="I253">
        <v>339</v>
      </c>
      <c r="J253" t="s">
        <v>29</v>
      </c>
      <c r="L253" t="str" cm="1">
        <f t="array" ref="L253">_xlfn.IFS(H253&lt;=2,"bad",H253&lt;=2.5,"neutral",H253&gt;2.5,"good")</f>
        <v>good</v>
      </c>
      <c r="M253" t="str" cm="1">
        <f t="array" ref="M253">_xlfn.IFS(F253&lt;30,"short",F253&lt;90,"medium",F253&lt;180,"long",F253&gt;180,"very long")</f>
        <v>very long</v>
      </c>
      <c r="N253" t="str">
        <f>LEFT(Table1[[#This Row],[Activity_Type]],3)</f>
        <v>Hik</v>
      </c>
      <c r="O253" t="str">
        <f>UPPER(Table1[[#This Row],[Column2]])</f>
        <v>NAIR</v>
      </c>
      <c r="P253">
        <f>LEN(Table1[[#This Row],[Visitor_Name]])</f>
        <v>6</v>
      </c>
      <c r="S253">
        <f>ROUND(Table1[[#This Row],[Rating]],0)</f>
        <v>3</v>
      </c>
      <c r="T253" t="s">
        <v>70</v>
      </c>
      <c r="U253" t="s">
        <v>66</v>
      </c>
      <c r="V253" s="5" t="s">
        <v>11</v>
      </c>
      <c r="W253">
        <v>201</v>
      </c>
    </row>
    <row r="254" spans="1:23" x14ac:dyDescent="0.25">
      <c r="A254">
        <v>1253</v>
      </c>
      <c r="B254" t="s">
        <v>84</v>
      </c>
      <c r="C254" t="s">
        <v>98</v>
      </c>
      <c r="D254" t="s">
        <v>21</v>
      </c>
      <c r="E254" s="1">
        <v>45293</v>
      </c>
      <c r="F254">
        <v>123</v>
      </c>
      <c r="G254" t="s">
        <v>26</v>
      </c>
      <c r="H254">
        <v>4.9000000000000004</v>
      </c>
      <c r="I254">
        <v>228</v>
      </c>
      <c r="J254" t="s">
        <v>32</v>
      </c>
      <c r="L254" t="str" cm="1">
        <f t="array" ref="L254">_xlfn.IFS(H254&lt;=2,"bad",H254&lt;=2.5,"neutral",H254&gt;2.5,"good")</f>
        <v>good</v>
      </c>
      <c r="M254" t="str" cm="1">
        <f t="array" ref="M254">_xlfn.IFS(F254&lt;30,"short",F254&lt;90,"medium",F254&lt;180,"long",F254&gt;180,"very long")</f>
        <v>long</v>
      </c>
      <c r="N254" t="str">
        <f>LEFT(Table1[[#This Row],[Activity_Type]],3)</f>
        <v>Bir</v>
      </c>
      <c r="O254" t="str">
        <f>UPPER(Table1[[#This Row],[Column2]])</f>
        <v>REDDY</v>
      </c>
      <c r="P254">
        <f>LEN(Table1[[#This Row],[Visitor_Name]])</f>
        <v>5</v>
      </c>
      <c r="S254">
        <f>ROUND(Table1[[#This Row],[Rating]],0)</f>
        <v>5</v>
      </c>
      <c r="T254" t="s">
        <v>77</v>
      </c>
      <c r="U254" t="s">
        <v>63</v>
      </c>
      <c r="V254" s="5" t="s">
        <v>12</v>
      </c>
      <c r="W254">
        <v>201</v>
      </c>
    </row>
    <row r="255" spans="1:23" x14ac:dyDescent="0.25">
      <c r="A255">
        <v>1254</v>
      </c>
      <c r="B255" t="s">
        <v>91</v>
      </c>
      <c r="C255" t="s">
        <v>95</v>
      </c>
      <c r="D255" t="s">
        <v>18</v>
      </c>
      <c r="E255" s="1">
        <v>45643</v>
      </c>
      <c r="F255">
        <v>63</v>
      </c>
      <c r="G255" t="s">
        <v>27</v>
      </c>
      <c r="H255">
        <v>2.8</v>
      </c>
      <c r="I255">
        <v>104</v>
      </c>
      <c r="J255" t="s">
        <v>31</v>
      </c>
      <c r="L255" t="str" cm="1">
        <f t="array" ref="L255">_xlfn.IFS(H255&lt;=2,"bad",H255&lt;=2.5,"neutral",H255&gt;2.5,"good")</f>
        <v>good</v>
      </c>
      <c r="M255" t="str" cm="1">
        <f t="array" ref="M255">_xlfn.IFS(F255&lt;30,"short",F255&lt;90,"medium",F255&lt;180,"long",F255&gt;180,"very long")</f>
        <v>medium</v>
      </c>
      <c r="N255" t="str">
        <f>LEFT(Table1[[#This Row],[Activity_Type]],3)</f>
        <v>Pho</v>
      </c>
      <c r="O255" t="str">
        <f>UPPER(Table1[[#This Row],[Column2]])</f>
        <v>SINGH</v>
      </c>
      <c r="P255">
        <f>LEN(Table1[[#This Row],[Visitor_Name]])</f>
        <v>5</v>
      </c>
      <c r="S255">
        <f>ROUND(Table1[[#This Row],[Rating]],0)</f>
        <v>3</v>
      </c>
      <c r="T255" t="s">
        <v>75</v>
      </c>
      <c r="U255" t="s">
        <v>61</v>
      </c>
      <c r="V255" s="5" t="s">
        <v>13</v>
      </c>
      <c r="W255">
        <v>202</v>
      </c>
    </row>
    <row r="256" spans="1:23" x14ac:dyDescent="0.25">
      <c r="A256">
        <v>1255</v>
      </c>
      <c r="B256" t="s">
        <v>92</v>
      </c>
      <c r="C256" t="s">
        <v>98</v>
      </c>
      <c r="D256" t="s">
        <v>19</v>
      </c>
      <c r="E256" s="1">
        <v>45563</v>
      </c>
      <c r="F256">
        <v>101</v>
      </c>
      <c r="G256" t="s">
        <v>25</v>
      </c>
      <c r="H256">
        <v>4.4000000000000004</v>
      </c>
      <c r="I256">
        <v>365</v>
      </c>
      <c r="J256" t="s">
        <v>31</v>
      </c>
      <c r="L256" t="str" cm="1">
        <f t="array" ref="L256">_xlfn.IFS(H256&lt;=2,"bad",H256&lt;=2.5,"neutral",H256&gt;2.5,"good")</f>
        <v>good</v>
      </c>
      <c r="M256" t="str" cm="1">
        <f t="array" ref="M256">_xlfn.IFS(F256&lt;30,"short",F256&lt;90,"medium",F256&lt;180,"long",F256&gt;180,"very long")</f>
        <v>long</v>
      </c>
      <c r="N256" t="str">
        <f>LEFT(Table1[[#This Row],[Activity_Type]],3)</f>
        <v>Saf</v>
      </c>
      <c r="O256" t="str">
        <f>UPPER(Table1[[#This Row],[Column2]])</f>
        <v>REDDY</v>
      </c>
      <c r="P256">
        <f>LEN(Table1[[#This Row],[Visitor_Name]])</f>
        <v>5</v>
      </c>
      <c r="S256">
        <f>ROUND(Table1[[#This Row],[Rating]],0)</f>
        <v>4</v>
      </c>
      <c r="T256" t="s">
        <v>77</v>
      </c>
      <c r="U256" t="s">
        <v>62</v>
      </c>
      <c r="V256" s="5" t="s">
        <v>11</v>
      </c>
      <c r="W256">
        <v>206</v>
      </c>
    </row>
    <row r="257" spans="1:23" x14ac:dyDescent="0.25">
      <c r="A257">
        <v>1256</v>
      </c>
      <c r="B257" t="s">
        <v>92</v>
      </c>
      <c r="C257" t="s">
        <v>81</v>
      </c>
      <c r="D257" t="s">
        <v>22</v>
      </c>
      <c r="E257" s="1">
        <v>45483</v>
      </c>
      <c r="F257">
        <v>84</v>
      </c>
      <c r="G257" t="s">
        <v>26</v>
      </c>
      <c r="H257">
        <v>3</v>
      </c>
      <c r="I257">
        <v>142</v>
      </c>
      <c r="J257" t="s">
        <v>36</v>
      </c>
      <c r="L257" t="str" cm="1">
        <f t="array" ref="L257">_xlfn.IFS(H257&lt;=2,"bad",H257&lt;=2.5,"neutral",H257&gt;2.5,"good")</f>
        <v>good</v>
      </c>
      <c r="M257" t="str" cm="1">
        <f t="array" ref="M257">_xlfn.IFS(F257&lt;30,"short",F257&lt;90,"medium",F257&lt;180,"long",F257&gt;180,"very long")</f>
        <v>medium</v>
      </c>
      <c r="N257" t="str">
        <f>LEFT(Table1[[#This Row],[Activity_Type]],3)</f>
        <v>Cam</v>
      </c>
      <c r="O257" t="str">
        <f>UPPER(Table1[[#This Row],[Column2]])</f>
        <v>PATEL</v>
      </c>
      <c r="P257">
        <f>LEN(Table1[[#This Row],[Visitor_Name]])</f>
        <v>5</v>
      </c>
      <c r="S257">
        <f>ROUND(Table1[[#This Row],[Rating]],0)</f>
        <v>3</v>
      </c>
      <c r="T257" t="s">
        <v>69</v>
      </c>
      <c r="U257" t="s">
        <v>62</v>
      </c>
      <c r="V257" s="5" t="s">
        <v>12</v>
      </c>
      <c r="W257">
        <v>210</v>
      </c>
    </row>
    <row r="258" spans="1:23" x14ac:dyDescent="0.25">
      <c r="A258">
        <v>1257</v>
      </c>
      <c r="B258" t="s">
        <v>97</v>
      </c>
      <c r="C258" t="s">
        <v>96</v>
      </c>
      <c r="D258" t="s">
        <v>21</v>
      </c>
      <c r="E258" s="1">
        <v>45414</v>
      </c>
      <c r="F258">
        <v>99</v>
      </c>
      <c r="G258" t="s">
        <v>26</v>
      </c>
      <c r="H258">
        <v>2.7</v>
      </c>
      <c r="I258">
        <v>217</v>
      </c>
      <c r="J258" t="s">
        <v>33</v>
      </c>
      <c r="L258" t="str" cm="1">
        <f t="array" ref="L258">_xlfn.IFS(H258&lt;=2,"bad",H258&lt;=2.5,"neutral",H258&gt;2.5,"good")</f>
        <v>good</v>
      </c>
      <c r="M258" t="str" cm="1">
        <f t="array" ref="M258">_xlfn.IFS(F258&lt;30,"short",F258&lt;90,"medium",F258&lt;180,"long",F258&gt;180,"very long")</f>
        <v>long</v>
      </c>
      <c r="N258" t="str">
        <f>LEFT(Table1[[#This Row],[Activity_Type]],3)</f>
        <v>Bir</v>
      </c>
      <c r="O258" t="str">
        <f>UPPER(Table1[[#This Row],[Column2]])</f>
        <v>SHARMA</v>
      </c>
      <c r="P258">
        <f>LEN(Table1[[#This Row],[Visitor_Name]])</f>
        <v>5</v>
      </c>
      <c r="S258">
        <f>ROUND(Table1[[#This Row],[Rating]],0)</f>
        <v>3</v>
      </c>
      <c r="T258" t="s">
        <v>76</v>
      </c>
      <c r="U258" t="s">
        <v>65</v>
      </c>
      <c r="V258" s="5" t="s">
        <v>14</v>
      </c>
      <c r="W258">
        <v>213</v>
      </c>
    </row>
    <row r="259" spans="1:23" x14ac:dyDescent="0.25">
      <c r="A259">
        <v>1258</v>
      </c>
      <c r="B259" t="s">
        <v>86</v>
      </c>
      <c r="C259" t="s">
        <v>89</v>
      </c>
      <c r="D259" t="s">
        <v>18</v>
      </c>
      <c r="E259" s="1">
        <v>45621</v>
      </c>
      <c r="F259">
        <v>35</v>
      </c>
      <c r="G259" t="s">
        <v>26</v>
      </c>
      <c r="H259">
        <v>4.7</v>
      </c>
      <c r="I259">
        <v>223</v>
      </c>
      <c r="J259" t="s">
        <v>37</v>
      </c>
      <c r="L259" t="str" cm="1">
        <f t="array" ref="L259">_xlfn.IFS(H259&lt;=2,"bad",H259&lt;=2.5,"neutral",H259&gt;2.5,"good")</f>
        <v>good</v>
      </c>
      <c r="M259" t="str" cm="1">
        <f t="array" ref="M259">_xlfn.IFS(F259&lt;30,"short",F259&lt;90,"medium",F259&lt;180,"long",F259&gt;180,"very long")</f>
        <v>medium</v>
      </c>
      <c r="N259" t="str">
        <f>LEFT(Table1[[#This Row],[Activity_Type]],3)</f>
        <v>Pho</v>
      </c>
      <c r="O259" t="str">
        <f>UPPER(Table1[[#This Row],[Column2]])</f>
        <v>MENON</v>
      </c>
      <c r="P259">
        <f>LEN(Table1[[#This Row],[Visitor_Name]])</f>
        <v>6</v>
      </c>
      <c r="S259">
        <f>ROUND(Table1[[#This Row],[Rating]],0)</f>
        <v>5</v>
      </c>
      <c r="T259" t="s">
        <v>73</v>
      </c>
      <c r="U259" t="s">
        <v>66</v>
      </c>
      <c r="V259" s="5" t="s">
        <v>16</v>
      </c>
      <c r="W259">
        <v>214</v>
      </c>
    </row>
    <row r="260" spans="1:23" x14ac:dyDescent="0.25">
      <c r="A260">
        <v>1259</v>
      </c>
      <c r="B260" t="s">
        <v>97</v>
      </c>
      <c r="C260" t="s">
        <v>95</v>
      </c>
      <c r="D260" t="s">
        <v>22</v>
      </c>
      <c r="E260" s="1">
        <v>45299</v>
      </c>
      <c r="F260">
        <v>97</v>
      </c>
      <c r="G260" t="s">
        <v>25</v>
      </c>
      <c r="H260">
        <v>4.8</v>
      </c>
      <c r="I260">
        <v>498</v>
      </c>
      <c r="J260" t="s">
        <v>37</v>
      </c>
      <c r="L260" t="str" cm="1">
        <f t="array" ref="L260">_xlfn.IFS(H260&lt;=2,"bad",H260&lt;=2.5,"neutral",H260&gt;2.5,"good")</f>
        <v>good</v>
      </c>
      <c r="M260" t="str" cm="1">
        <f t="array" ref="M260">_xlfn.IFS(F260&lt;30,"short",F260&lt;90,"medium",F260&lt;180,"long",F260&gt;180,"very long")</f>
        <v>long</v>
      </c>
      <c r="N260" t="str">
        <f>LEFT(Table1[[#This Row],[Activity_Type]],3)</f>
        <v>Cam</v>
      </c>
      <c r="O260" t="str">
        <f>UPPER(Table1[[#This Row],[Column2]])</f>
        <v>SINGH</v>
      </c>
      <c r="P260">
        <f>LEN(Table1[[#This Row],[Visitor_Name]])</f>
        <v>5</v>
      </c>
      <c r="S260">
        <f>ROUND(Table1[[#This Row],[Rating]],0)</f>
        <v>5</v>
      </c>
      <c r="T260" t="s">
        <v>75</v>
      </c>
      <c r="U260" t="s">
        <v>65</v>
      </c>
      <c r="V260" s="5" t="s">
        <v>17</v>
      </c>
      <c r="W260">
        <v>215</v>
      </c>
    </row>
    <row r="261" spans="1:23" x14ac:dyDescent="0.25">
      <c r="A261">
        <v>1260</v>
      </c>
      <c r="B261" t="s">
        <v>88</v>
      </c>
      <c r="C261" t="s">
        <v>87</v>
      </c>
      <c r="D261" t="s">
        <v>23</v>
      </c>
      <c r="E261" s="1">
        <v>45628</v>
      </c>
      <c r="F261">
        <v>184</v>
      </c>
      <c r="G261" t="s">
        <v>25</v>
      </c>
      <c r="H261">
        <v>3.7</v>
      </c>
      <c r="I261">
        <v>146</v>
      </c>
      <c r="J261" t="s">
        <v>31</v>
      </c>
      <c r="L261" t="str" cm="1">
        <f t="array" ref="L261">_xlfn.IFS(H261&lt;=2,"bad",H261&lt;=2.5,"neutral",H261&gt;2.5,"good")</f>
        <v>good</v>
      </c>
      <c r="M261" t="str" cm="1">
        <f t="array" ref="M261">_xlfn.IFS(F261&lt;30,"short",F261&lt;90,"medium",F261&lt;180,"long",F261&gt;180,"very long")</f>
        <v>very long</v>
      </c>
      <c r="N261" t="str">
        <f>LEFT(Table1[[#This Row],[Activity_Type]],3)</f>
        <v>Boa</v>
      </c>
      <c r="O261" t="str">
        <f>UPPER(Table1[[#This Row],[Column2]])</f>
        <v>VERMA</v>
      </c>
      <c r="P261">
        <f>LEN(Table1[[#This Row],[Visitor_Name]])</f>
        <v>6</v>
      </c>
      <c r="S261">
        <f>ROUND(Table1[[#This Row],[Rating]],0)</f>
        <v>4</v>
      </c>
      <c r="T261" t="s">
        <v>72</v>
      </c>
      <c r="U261" t="s">
        <v>67</v>
      </c>
      <c r="V261" s="5" t="s">
        <v>15</v>
      </c>
      <c r="W261">
        <v>217</v>
      </c>
    </row>
    <row r="262" spans="1:23" x14ac:dyDescent="0.25">
      <c r="A262">
        <v>1261</v>
      </c>
      <c r="B262" t="s">
        <v>84</v>
      </c>
      <c r="C262" t="s">
        <v>89</v>
      </c>
      <c r="D262" t="s">
        <v>19</v>
      </c>
      <c r="E262" s="1">
        <v>45504</v>
      </c>
      <c r="F262">
        <v>228</v>
      </c>
      <c r="G262" t="s">
        <v>26</v>
      </c>
      <c r="H262">
        <v>3.2</v>
      </c>
      <c r="I262">
        <v>126</v>
      </c>
      <c r="J262" t="s">
        <v>30</v>
      </c>
      <c r="L262" t="str" cm="1">
        <f t="array" ref="L262">_xlfn.IFS(H262&lt;=2,"bad",H262&lt;=2.5,"neutral",H262&gt;2.5,"good")</f>
        <v>good</v>
      </c>
      <c r="M262" t="str" cm="1">
        <f t="array" ref="M262">_xlfn.IFS(F262&lt;30,"short",F262&lt;90,"medium",F262&lt;180,"long",F262&gt;180,"very long")</f>
        <v>very long</v>
      </c>
      <c r="N262" t="str">
        <f>LEFT(Table1[[#This Row],[Activity_Type]],3)</f>
        <v>Saf</v>
      </c>
      <c r="O262" t="str">
        <f>UPPER(Table1[[#This Row],[Column2]])</f>
        <v>MENON</v>
      </c>
      <c r="P262">
        <f>LEN(Table1[[#This Row],[Visitor_Name]])</f>
        <v>5</v>
      </c>
      <c r="S262">
        <f>ROUND(Table1[[#This Row],[Rating]],0)</f>
        <v>3</v>
      </c>
      <c r="T262" t="s">
        <v>73</v>
      </c>
      <c r="U262" t="s">
        <v>63</v>
      </c>
      <c r="V262" s="5" t="s">
        <v>13</v>
      </c>
      <c r="W262">
        <v>219</v>
      </c>
    </row>
    <row r="263" spans="1:23" x14ac:dyDescent="0.25">
      <c r="A263">
        <v>1262</v>
      </c>
      <c r="B263" t="s">
        <v>84</v>
      </c>
      <c r="C263" t="s">
        <v>89</v>
      </c>
      <c r="D263" t="s">
        <v>18</v>
      </c>
      <c r="E263" s="1">
        <v>45556</v>
      </c>
      <c r="F263">
        <v>94</v>
      </c>
      <c r="G263" t="s">
        <v>26</v>
      </c>
      <c r="H263">
        <v>4.4000000000000004</v>
      </c>
      <c r="I263">
        <v>493</v>
      </c>
      <c r="J263" t="s">
        <v>29</v>
      </c>
      <c r="L263" t="str" cm="1">
        <f t="array" ref="L263">_xlfn.IFS(H263&lt;=2,"bad",H263&lt;=2.5,"neutral",H263&gt;2.5,"good")</f>
        <v>good</v>
      </c>
      <c r="M263" t="str" cm="1">
        <f t="array" ref="M263">_xlfn.IFS(F263&lt;30,"short",F263&lt;90,"medium",F263&lt;180,"long",F263&gt;180,"very long")</f>
        <v>long</v>
      </c>
      <c r="N263" t="str">
        <f>LEFT(Table1[[#This Row],[Activity_Type]],3)</f>
        <v>Pho</v>
      </c>
      <c r="O263" t="str">
        <f>UPPER(Table1[[#This Row],[Column2]])</f>
        <v>MENON</v>
      </c>
      <c r="P263">
        <f>LEN(Table1[[#This Row],[Visitor_Name]])</f>
        <v>5</v>
      </c>
      <c r="S263">
        <f>ROUND(Table1[[#This Row],[Rating]],0)</f>
        <v>4</v>
      </c>
      <c r="T263" t="s">
        <v>73</v>
      </c>
      <c r="U263" t="s">
        <v>63</v>
      </c>
      <c r="V263" s="5" t="s">
        <v>10</v>
      </c>
      <c r="W263">
        <v>219</v>
      </c>
    </row>
    <row r="264" spans="1:23" x14ac:dyDescent="0.25">
      <c r="A264">
        <v>1263</v>
      </c>
      <c r="B264" t="s">
        <v>91</v>
      </c>
      <c r="C264" t="s">
        <v>85</v>
      </c>
      <c r="D264" t="s">
        <v>18</v>
      </c>
      <c r="E264" s="1">
        <v>45548</v>
      </c>
      <c r="F264">
        <v>187</v>
      </c>
      <c r="G264" t="s">
        <v>25</v>
      </c>
      <c r="H264">
        <v>3.7</v>
      </c>
      <c r="I264">
        <v>475</v>
      </c>
      <c r="J264" t="s">
        <v>32</v>
      </c>
      <c r="L264" t="str" cm="1">
        <f t="array" ref="L264">_xlfn.IFS(H264&lt;=2,"bad",H264&lt;=2.5,"neutral",H264&gt;2.5,"good")</f>
        <v>good</v>
      </c>
      <c r="M264" t="str" cm="1">
        <f t="array" ref="M264">_xlfn.IFS(F264&lt;30,"short",F264&lt;90,"medium",F264&lt;180,"long",F264&gt;180,"very long")</f>
        <v>very long</v>
      </c>
      <c r="N264" t="str">
        <f>LEFT(Table1[[#This Row],[Activity_Type]],3)</f>
        <v>Pho</v>
      </c>
      <c r="O264" t="str">
        <f>UPPER(Table1[[#This Row],[Column2]])</f>
        <v>DAS</v>
      </c>
      <c r="P264">
        <f>LEN(Table1[[#This Row],[Visitor_Name]])</f>
        <v>5</v>
      </c>
      <c r="S264">
        <f>ROUND(Table1[[#This Row],[Rating]],0)</f>
        <v>4</v>
      </c>
      <c r="T264" t="s">
        <v>71</v>
      </c>
      <c r="U264" t="s">
        <v>61</v>
      </c>
      <c r="V264" s="5" t="s">
        <v>14</v>
      </c>
      <c r="W264">
        <v>228</v>
      </c>
    </row>
    <row r="265" spans="1:23" x14ac:dyDescent="0.25">
      <c r="A265">
        <v>1264</v>
      </c>
      <c r="B265" t="s">
        <v>88</v>
      </c>
      <c r="C265" t="s">
        <v>89</v>
      </c>
      <c r="D265" t="s">
        <v>19</v>
      </c>
      <c r="E265" s="1">
        <v>45342</v>
      </c>
      <c r="F265">
        <v>137</v>
      </c>
      <c r="G265" t="s">
        <v>24</v>
      </c>
      <c r="H265">
        <v>2.9</v>
      </c>
      <c r="I265">
        <v>491</v>
      </c>
      <c r="J265" t="s">
        <v>36</v>
      </c>
      <c r="L265" t="str" cm="1">
        <f t="array" ref="L265">_xlfn.IFS(H265&lt;=2,"bad",H265&lt;=2.5,"neutral",H265&gt;2.5,"good")</f>
        <v>good</v>
      </c>
      <c r="M265" t="str" cm="1">
        <f t="array" ref="M265">_xlfn.IFS(F265&lt;30,"short",F265&lt;90,"medium",F265&lt;180,"long",F265&gt;180,"very long")</f>
        <v>long</v>
      </c>
      <c r="N265" t="str">
        <f>LEFT(Table1[[#This Row],[Activity_Type]],3)</f>
        <v>Saf</v>
      </c>
      <c r="O265" t="str">
        <f>UPPER(Table1[[#This Row],[Column2]])</f>
        <v>MENON</v>
      </c>
      <c r="P265">
        <f>LEN(Table1[[#This Row],[Visitor_Name]])</f>
        <v>6</v>
      </c>
      <c r="S265">
        <f>ROUND(Table1[[#This Row],[Rating]],0)</f>
        <v>3</v>
      </c>
      <c r="T265" t="s">
        <v>73</v>
      </c>
      <c r="U265" t="s">
        <v>67</v>
      </c>
      <c r="V265" s="5" t="s">
        <v>11</v>
      </c>
      <c r="W265">
        <v>237</v>
      </c>
    </row>
    <row r="266" spans="1:23" x14ac:dyDescent="0.25">
      <c r="A266">
        <v>1265</v>
      </c>
      <c r="B266" t="s">
        <v>84</v>
      </c>
      <c r="C266" t="s">
        <v>87</v>
      </c>
      <c r="D266" t="s">
        <v>20</v>
      </c>
      <c r="E266" s="1">
        <v>45426</v>
      </c>
      <c r="F266">
        <v>137</v>
      </c>
      <c r="G266" t="s">
        <v>25</v>
      </c>
      <c r="H266">
        <v>2.6</v>
      </c>
      <c r="I266">
        <v>142</v>
      </c>
      <c r="J266" t="s">
        <v>29</v>
      </c>
      <c r="L266" t="str" cm="1">
        <f t="array" ref="L266">_xlfn.IFS(H266&lt;=2,"bad",H266&lt;=2.5,"neutral",H266&gt;2.5,"good")</f>
        <v>good</v>
      </c>
      <c r="M266" t="str" cm="1">
        <f t="array" ref="M266">_xlfn.IFS(F266&lt;30,"short",F266&lt;90,"medium",F266&lt;180,"long",F266&gt;180,"very long")</f>
        <v>long</v>
      </c>
      <c r="N266" t="str">
        <f>LEFT(Table1[[#This Row],[Activity_Type]],3)</f>
        <v>Hik</v>
      </c>
      <c r="O266" t="str">
        <f>UPPER(Table1[[#This Row],[Column2]])</f>
        <v>VERMA</v>
      </c>
      <c r="P266">
        <f>LEN(Table1[[#This Row],[Visitor_Name]])</f>
        <v>5</v>
      </c>
      <c r="S266">
        <f>ROUND(Table1[[#This Row],[Rating]],0)</f>
        <v>3</v>
      </c>
      <c r="T266" t="s">
        <v>72</v>
      </c>
      <c r="U266" t="s">
        <v>63</v>
      </c>
      <c r="V266" s="5" t="s">
        <v>13</v>
      </c>
      <c r="W266">
        <v>240</v>
      </c>
    </row>
    <row r="267" spans="1:23" x14ac:dyDescent="0.25">
      <c r="A267">
        <v>1266</v>
      </c>
      <c r="B267" t="s">
        <v>79</v>
      </c>
      <c r="C267" t="s">
        <v>89</v>
      </c>
      <c r="D267" t="s">
        <v>18</v>
      </c>
      <c r="E267" s="1">
        <v>45464</v>
      </c>
      <c r="F267">
        <v>208</v>
      </c>
      <c r="G267" t="s">
        <v>25</v>
      </c>
      <c r="H267">
        <v>3.5</v>
      </c>
      <c r="I267">
        <v>444</v>
      </c>
      <c r="J267" t="s">
        <v>34</v>
      </c>
      <c r="L267" t="str" cm="1">
        <f t="array" ref="L267">_xlfn.IFS(H267&lt;=2,"bad",H267&lt;=2.5,"neutral",H267&gt;2.5,"good")</f>
        <v>good</v>
      </c>
      <c r="M267" t="str" cm="1">
        <f t="array" ref="M267">_xlfn.IFS(F267&lt;30,"short",F267&lt;90,"medium",F267&lt;180,"long",F267&gt;180,"very long")</f>
        <v>very long</v>
      </c>
      <c r="N267" t="str">
        <f>LEFT(Table1[[#This Row],[Activity_Type]],3)</f>
        <v>Pho</v>
      </c>
      <c r="O267" t="str">
        <f>UPPER(Table1[[#This Row],[Column2]])</f>
        <v>MENON</v>
      </c>
      <c r="P267">
        <f>LEN(Table1[[#This Row],[Visitor_Name]])</f>
        <v>5</v>
      </c>
      <c r="S267">
        <f>ROUND(Table1[[#This Row],[Rating]],0)</f>
        <v>4</v>
      </c>
      <c r="T267" t="s">
        <v>73</v>
      </c>
      <c r="U267" t="s">
        <v>58</v>
      </c>
      <c r="V267" s="5" t="s">
        <v>17</v>
      </c>
      <c r="W267">
        <v>20</v>
      </c>
    </row>
    <row r="268" spans="1:23" x14ac:dyDescent="0.25">
      <c r="A268">
        <v>1267</v>
      </c>
      <c r="B268" t="s">
        <v>92</v>
      </c>
      <c r="C268" t="s">
        <v>80</v>
      </c>
      <c r="D268" t="s">
        <v>20</v>
      </c>
      <c r="E268" s="1">
        <v>45552</v>
      </c>
      <c r="F268">
        <v>20</v>
      </c>
      <c r="G268" t="s">
        <v>26</v>
      </c>
      <c r="H268">
        <v>3.1</v>
      </c>
      <c r="I268">
        <v>230</v>
      </c>
      <c r="J268" t="s">
        <v>32</v>
      </c>
      <c r="L268" t="str" cm="1">
        <f t="array" ref="L268">_xlfn.IFS(H268&lt;=2,"bad",H268&lt;=2.5,"neutral",H268&gt;2.5,"good")</f>
        <v>good</v>
      </c>
      <c r="M268" t="str" cm="1">
        <f t="array" ref="M268">_xlfn.IFS(F268&lt;30,"short",F268&lt;90,"medium",F268&lt;180,"long",F268&gt;180,"very long")</f>
        <v>short</v>
      </c>
      <c r="N268" t="str">
        <f>LEFT(Table1[[#This Row],[Activity_Type]],3)</f>
        <v>Hik</v>
      </c>
      <c r="O268" t="str">
        <f>UPPER(Table1[[#This Row],[Column2]])</f>
        <v>MEHTA</v>
      </c>
      <c r="P268">
        <f>LEN(Table1[[#This Row],[Visitor_Name]])</f>
        <v>5</v>
      </c>
      <c r="S268">
        <f>ROUND(Table1[[#This Row],[Rating]],0)</f>
        <v>3</v>
      </c>
      <c r="T268" t="s">
        <v>68</v>
      </c>
      <c r="U268" t="s">
        <v>62</v>
      </c>
      <c r="V268" s="5" t="s">
        <v>16</v>
      </c>
      <c r="W268">
        <v>22</v>
      </c>
    </row>
    <row r="269" spans="1:23" x14ac:dyDescent="0.25">
      <c r="A269">
        <v>1268</v>
      </c>
      <c r="B269" t="s">
        <v>94</v>
      </c>
      <c r="C269" t="s">
        <v>85</v>
      </c>
      <c r="D269" t="s">
        <v>19</v>
      </c>
      <c r="E269" s="1">
        <v>45565</v>
      </c>
      <c r="F269">
        <v>219</v>
      </c>
      <c r="G269" t="s">
        <v>24</v>
      </c>
      <c r="H269">
        <v>3</v>
      </c>
      <c r="I269">
        <v>496</v>
      </c>
      <c r="J269" t="s">
        <v>30</v>
      </c>
      <c r="L269" t="str" cm="1">
        <f t="array" ref="L269">_xlfn.IFS(H269&lt;=2,"bad",H269&lt;=2.5,"neutral",H269&gt;2.5,"good")</f>
        <v>good</v>
      </c>
      <c r="M269" t="str" cm="1">
        <f t="array" ref="M269">_xlfn.IFS(F269&lt;30,"short",F269&lt;90,"medium",F269&lt;180,"long",F269&gt;180,"very long")</f>
        <v>very long</v>
      </c>
      <c r="N269" t="str">
        <f>LEFT(Table1[[#This Row],[Activity_Type]],3)</f>
        <v>Saf</v>
      </c>
      <c r="O269" t="str">
        <f>UPPER(Table1[[#This Row],[Column2]])</f>
        <v>DAS</v>
      </c>
      <c r="P269">
        <f>LEN(Table1[[#This Row],[Visitor_Name]])</f>
        <v>5</v>
      </c>
      <c r="S269">
        <f>ROUND(Table1[[#This Row],[Rating]],0)</f>
        <v>3</v>
      </c>
      <c r="T269" t="s">
        <v>71</v>
      </c>
      <c r="U269" t="s">
        <v>64</v>
      </c>
      <c r="V269" s="5" t="s">
        <v>14</v>
      </c>
      <c r="W269">
        <v>24</v>
      </c>
    </row>
    <row r="270" spans="1:23" x14ac:dyDescent="0.25">
      <c r="A270">
        <v>1269</v>
      </c>
      <c r="B270" t="s">
        <v>79</v>
      </c>
      <c r="C270" t="s">
        <v>96</v>
      </c>
      <c r="D270" t="s">
        <v>23</v>
      </c>
      <c r="E270" s="1">
        <v>45464</v>
      </c>
      <c r="F270">
        <v>72</v>
      </c>
      <c r="G270" t="s">
        <v>25</v>
      </c>
      <c r="H270">
        <v>3.5</v>
      </c>
      <c r="I270">
        <v>207</v>
      </c>
      <c r="J270" t="s">
        <v>35</v>
      </c>
      <c r="L270" t="str" cm="1">
        <f t="array" ref="L270">_xlfn.IFS(H270&lt;=2,"bad",H270&lt;=2.5,"neutral",H270&gt;2.5,"good")</f>
        <v>good</v>
      </c>
      <c r="M270" t="str" cm="1">
        <f t="array" ref="M270">_xlfn.IFS(F270&lt;30,"short",F270&lt;90,"medium",F270&lt;180,"long",F270&gt;180,"very long")</f>
        <v>medium</v>
      </c>
      <c r="N270" t="str">
        <f>LEFT(Table1[[#This Row],[Activity_Type]],3)</f>
        <v>Boa</v>
      </c>
      <c r="O270" t="str">
        <f>UPPER(Table1[[#This Row],[Column2]])</f>
        <v>SHARMA</v>
      </c>
      <c r="P270">
        <f>LEN(Table1[[#This Row],[Visitor_Name]])</f>
        <v>5</v>
      </c>
      <c r="S270">
        <f>ROUND(Table1[[#This Row],[Rating]],0)</f>
        <v>4</v>
      </c>
      <c r="T270" t="s">
        <v>76</v>
      </c>
      <c r="U270" t="s">
        <v>58</v>
      </c>
      <c r="V270" s="5" t="s">
        <v>17</v>
      </c>
      <c r="W270">
        <v>27</v>
      </c>
    </row>
    <row r="271" spans="1:23" x14ac:dyDescent="0.25">
      <c r="A271">
        <v>1270</v>
      </c>
      <c r="B271" t="s">
        <v>90</v>
      </c>
      <c r="C271" t="s">
        <v>95</v>
      </c>
      <c r="D271" t="s">
        <v>19</v>
      </c>
      <c r="E271" s="1">
        <v>45544</v>
      </c>
      <c r="F271">
        <v>79</v>
      </c>
      <c r="G271" t="s">
        <v>26</v>
      </c>
      <c r="H271">
        <v>5</v>
      </c>
      <c r="I271">
        <v>267</v>
      </c>
      <c r="J271" t="s">
        <v>32</v>
      </c>
      <c r="L271" t="str" cm="1">
        <f t="array" ref="L271">_xlfn.IFS(H271&lt;=2,"bad",H271&lt;=2.5,"neutral",H271&gt;2.5,"good")</f>
        <v>good</v>
      </c>
      <c r="M271" t="str" cm="1">
        <f t="array" ref="M271">_xlfn.IFS(F271&lt;30,"short",F271&lt;90,"medium",F271&lt;180,"long",F271&gt;180,"very long")</f>
        <v>medium</v>
      </c>
      <c r="N271" t="str">
        <f>LEFT(Table1[[#This Row],[Activity_Type]],3)</f>
        <v>Saf</v>
      </c>
      <c r="O271" t="str">
        <f>UPPER(Table1[[#This Row],[Column2]])</f>
        <v>SINGH</v>
      </c>
      <c r="P271">
        <f>LEN(Table1[[#This Row],[Visitor_Name]])</f>
        <v>5</v>
      </c>
      <c r="S271">
        <f>ROUND(Table1[[#This Row],[Rating]],0)</f>
        <v>5</v>
      </c>
      <c r="T271" t="s">
        <v>75</v>
      </c>
      <c r="U271" t="s">
        <v>60</v>
      </c>
      <c r="V271" s="5" t="s">
        <v>17</v>
      </c>
      <c r="W271">
        <v>29</v>
      </c>
    </row>
    <row r="272" spans="1:23" x14ac:dyDescent="0.25">
      <c r="A272">
        <v>1271</v>
      </c>
      <c r="B272" t="s">
        <v>79</v>
      </c>
      <c r="C272" t="s">
        <v>98</v>
      </c>
      <c r="D272" t="s">
        <v>22</v>
      </c>
      <c r="E272" s="1">
        <v>45484</v>
      </c>
      <c r="F272">
        <v>27</v>
      </c>
      <c r="G272" t="s">
        <v>25</v>
      </c>
      <c r="H272">
        <v>4.9000000000000004</v>
      </c>
      <c r="I272">
        <v>307</v>
      </c>
      <c r="J272" t="s">
        <v>34</v>
      </c>
      <c r="L272" t="str" cm="1">
        <f t="array" ref="L272">_xlfn.IFS(H272&lt;=2,"bad",H272&lt;=2.5,"neutral",H272&gt;2.5,"good")</f>
        <v>good</v>
      </c>
      <c r="M272" t="str" cm="1">
        <f t="array" ref="M272">_xlfn.IFS(F272&lt;30,"short",F272&lt;90,"medium",F272&lt;180,"long",F272&gt;180,"very long")</f>
        <v>short</v>
      </c>
      <c r="N272" t="str">
        <f>LEFT(Table1[[#This Row],[Activity_Type]],3)</f>
        <v>Cam</v>
      </c>
      <c r="O272" t="str">
        <f>UPPER(Table1[[#This Row],[Column2]])</f>
        <v>REDDY</v>
      </c>
      <c r="P272">
        <f>LEN(Table1[[#This Row],[Visitor_Name]])</f>
        <v>5</v>
      </c>
      <c r="S272">
        <f>ROUND(Table1[[#This Row],[Rating]],0)</f>
        <v>5</v>
      </c>
      <c r="T272" t="s">
        <v>77</v>
      </c>
      <c r="U272" t="s">
        <v>58</v>
      </c>
      <c r="V272" s="5" t="s">
        <v>12</v>
      </c>
      <c r="W272">
        <v>32</v>
      </c>
    </row>
    <row r="273" spans="1:23" x14ac:dyDescent="0.25">
      <c r="A273">
        <v>1272</v>
      </c>
      <c r="B273" t="s">
        <v>90</v>
      </c>
      <c r="C273" t="s">
        <v>96</v>
      </c>
      <c r="D273" t="s">
        <v>21</v>
      </c>
      <c r="E273" s="1">
        <v>45473</v>
      </c>
      <c r="F273">
        <v>101</v>
      </c>
      <c r="G273" t="s">
        <v>25</v>
      </c>
      <c r="H273">
        <v>3.4</v>
      </c>
      <c r="I273">
        <v>205</v>
      </c>
      <c r="J273" t="s">
        <v>33</v>
      </c>
      <c r="L273" t="str" cm="1">
        <f t="array" ref="L273">_xlfn.IFS(H273&lt;=2,"bad",H273&lt;=2.5,"neutral",H273&gt;2.5,"good")</f>
        <v>good</v>
      </c>
      <c r="M273" t="str" cm="1">
        <f t="array" ref="M273">_xlfn.IFS(F273&lt;30,"short",F273&lt;90,"medium",F273&lt;180,"long",F273&gt;180,"very long")</f>
        <v>long</v>
      </c>
      <c r="N273" t="str">
        <f>LEFT(Table1[[#This Row],[Activity_Type]],3)</f>
        <v>Bir</v>
      </c>
      <c r="O273" t="str">
        <f>UPPER(Table1[[#This Row],[Column2]])</f>
        <v>SHARMA</v>
      </c>
      <c r="P273">
        <f>LEN(Table1[[#This Row],[Visitor_Name]])</f>
        <v>5</v>
      </c>
      <c r="S273">
        <f>ROUND(Table1[[#This Row],[Rating]],0)</f>
        <v>3</v>
      </c>
      <c r="T273" t="s">
        <v>76</v>
      </c>
      <c r="U273" t="s">
        <v>60</v>
      </c>
      <c r="V273" s="5" t="s">
        <v>13</v>
      </c>
      <c r="W273">
        <v>33</v>
      </c>
    </row>
    <row r="274" spans="1:23" x14ac:dyDescent="0.25">
      <c r="A274">
        <v>1273</v>
      </c>
      <c r="B274" t="s">
        <v>97</v>
      </c>
      <c r="C274" t="s">
        <v>98</v>
      </c>
      <c r="D274" t="s">
        <v>20</v>
      </c>
      <c r="E274" s="1">
        <v>45304</v>
      </c>
      <c r="F274">
        <v>62</v>
      </c>
      <c r="G274" t="s">
        <v>25</v>
      </c>
      <c r="H274">
        <v>2.9</v>
      </c>
      <c r="I274">
        <v>446</v>
      </c>
      <c r="J274" t="s">
        <v>34</v>
      </c>
      <c r="L274" t="str" cm="1">
        <f t="array" ref="L274">_xlfn.IFS(H274&lt;=2,"bad",H274&lt;=2.5,"neutral",H274&gt;2.5,"good")</f>
        <v>good</v>
      </c>
      <c r="M274" t="str" cm="1">
        <f t="array" ref="M274">_xlfn.IFS(F274&lt;30,"short",F274&lt;90,"medium",F274&lt;180,"long",F274&gt;180,"very long")</f>
        <v>medium</v>
      </c>
      <c r="N274" t="str">
        <f>LEFT(Table1[[#This Row],[Activity_Type]],3)</f>
        <v>Hik</v>
      </c>
      <c r="O274" t="str">
        <f>UPPER(Table1[[#This Row],[Column2]])</f>
        <v>REDDY</v>
      </c>
      <c r="P274">
        <f>LEN(Table1[[#This Row],[Visitor_Name]])</f>
        <v>5</v>
      </c>
      <c r="S274">
        <f>ROUND(Table1[[#This Row],[Rating]],0)</f>
        <v>3</v>
      </c>
      <c r="T274" t="s">
        <v>77</v>
      </c>
      <c r="U274" t="s">
        <v>65</v>
      </c>
      <c r="V274" s="5" t="s">
        <v>13</v>
      </c>
      <c r="W274">
        <v>33</v>
      </c>
    </row>
    <row r="275" spans="1:23" x14ac:dyDescent="0.25">
      <c r="A275">
        <v>1274</v>
      </c>
      <c r="B275" t="s">
        <v>92</v>
      </c>
      <c r="C275" t="s">
        <v>95</v>
      </c>
      <c r="D275" t="s">
        <v>21</v>
      </c>
      <c r="E275" s="1">
        <v>45422</v>
      </c>
      <c r="F275">
        <v>33</v>
      </c>
      <c r="G275" t="s">
        <v>27</v>
      </c>
      <c r="H275">
        <v>4.0999999999999996</v>
      </c>
      <c r="I275">
        <v>487</v>
      </c>
      <c r="J275" t="s">
        <v>35</v>
      </c>
      <c r="L275" t="str" cm="1">
        <f t="array" ref="L275">_xlfn.IFS(H275&lt;=2,"bad",H275&lt;=2.5,"neutral",H275&gt;2.5,"good")</f>
        <v>good</v>
      </c>
      <c r="M275" t="str" cm="1">
        <f t="array" ref="M275">_xlfn.IFS(F275&lt;30,"short",F275&lt;90,"medium",F275&lt;180,"long",F275&gt;180,"very long")</f>
        <v>medium</v>
      </c>
      <c r="N275" t="str">
        <f>LEFT(Table1[[#This Row],[Activity_Type]],3)</f>
        <v>Bir</v>
      </c>
      <c r="O275" t="str">
        <f>UPPER(Table1[[#This Row],[Column2]])</f>
        <v>SINGH</v>
      </c>
      <c r="P275">
        <f>LEN(Table1[[#This Row],[Visitor_Name]])</f>
        <v>5</v>
      </c>
      <c r="S275">
        <f>ROUND(Table1[[#This Row],[Rating]],0)</f>
        <v>4</v>
      </c>
      <c r="T275" t="s">
        <v>75</v>
      </c>
      <c r="U275" t="s">
        <v>62</v>
      </c>
      <c r="V275" s="5" t="s">
        <v>15</v>
      </c>
      <c r="W275">
        <v>34</v>
      </c>
    </row>
    <row r="276" spans="1:23" x14ac:dyDescent="0.25">
      <c r="A276">
        <v>1275</v>
      </c>
      <c r="B276" t="s">
        <v>94</v>
      </c>
      <c r="C276" t="s">
        <v>93</v>
      </c>
      <c r="D276" t="s">
        <v>18</v>
      </c>
      <c r="E276" s="1">
        <v>45543</v>
      </c>
      <c r="F276">
        <v>156</v>
      </c>
      <c r="G276" t="s">
        <v>26</v>
      </c>
      <c r="H276">
        <v>3.8</v>
      </c>
      <c r="I276">
        <v>397</v>
      </c>
      <c r="J276" t="s">
        <v>30</v>
      </c>
      <c r="L276" t="str" cm="1">
        <f t="array" ref="L276">_xlfn.IFS(H276&lt;=2,"bad",H276&lt;=2.5,"neutral",H276&gt;2.5,"good")</f>
        <v>good</v>
      </c>
      <c r="M276" t="str" cm="1">
        <f t="array" ref="M276">_xlfn.IFS(F276&lt;30,"short",F276&lt;90,"medium",F276&lt;180,"long",F276&gt;180,"very long")</f>
        <v>long</v>
      </c>
      <c r="N276" t="str">
        <f>LEFT(Table1[[#This Row],[Activity_Type]],3)</f>
        <v>Pho</v>
      </c>
      <c r="O276" t="str">
        <f>UPPER(Table1[[#This Row],[Column2]])</f>
        <v>IYER</v>
      </c>
      <c r="P276">
        <f>LEN(Table1[[#This Row],[Visitor_Name]])</f>
        <v>5</v>
      </c>
      <c r="S276">
        <f>ROUND(Table1[[#This Row],[Rating]],0)</f>
        <v>4</v>
      </c>
      <c r="T276" t="s">
        <v>74</v>
      </c>
      <c r="U276" t="s">
        <v>64</v>
      </c>
      <c r="V276" s="5" t="s">
        <v>16</v>
      </c>
      <c r="W276">
        <v>34</v>
      </c>
    </row>
    <row r="277" spans="1:23" x14ac:dyDescent="0.25">
      <c r="A277">
        <v>1276</v>
      </c>
      <c r="B277" t="s">
        <v>97</v>
      </c>
      <c r="C277" t="s">
        <v>93</v>
      </c>
      <c r="D277" t="s">
        <v>21</v>
      </c>
      <c r="E277" s="1">
        <v>45579</v>
      </c>
      <c r="F277">
        <v>235</v>
      </c>
      <c r="G277" t="s">
        <v>27</v>
      </c>
      <c r="H277">
        <v>3</v>
      </c>
      <c r="I277">
        <v>272</v>
      </c>
      <c r="J277" t="s">
        <v>28</v>
      </c>
      <c r="L277" t="str" cm="1">
        <f t="array" ref="L277">_xlfn.IFS(H277&lt;=2,"bad",H277&lt;=2.5,"neutral",H277&gt;2.5,"good")</f>
        <v>good</v>
      </c>
      <c r="M277" t="str" cm="1">
        <f t="array" ref="M277">_xlfn.IFS(F277&lt;30,"short",F277&lt;90,"medium",F277&lt;180,"long",F277&gt;180,"very long")</f>
        <v>very long</v>
      </c>
      <c r="N277" t="str">
        <f>LEFT(Table1[[#This Row],[Activity_Type]],3)</f>
        <v>Bir</v>
      </c>
      <c r="O277" t="str">
        <f>UPPER(Table1[[#This Row],[Column2]])</f>
        <v>IYER</v>
      </c>
      <c r="P277">
        <f>LEN(Table1[[#This Row],[Visitor_Name]])</f>
        <v>5</v>
      </c>
      <c r="S277">
        <f>ROUND(Table1[[#This Row],[Rating]],0)</f>
        <v>3</v>
      </c>
      <c r="T277" t="s">
        <v>74</v>
      </c>
      <c r="U277" t="s">
        <v>65</v>
      </c>
      <c r="V277" s="5" t="s">
        <v>11</v>
      </c>
      <c r="W277">
        <v>37</v>
      </c>
    </row>
    <row r="278" spans="1:23" x14ac:dyDescent="0.25">
      <c r="A278">
        <v>1277</v>
      </c>
      <c r="B278" t="s">
        <v>79</v>
      </c>
      <c r="C278" t="s">
        <v>93</v>
      </c>
      <c r="D278" t="s">
        <v>23</v>
      </c>
      <c r="E278" s="1">
        <v>45363</v>
      </c>
      <c r="F278">
        <v>87</v>
      </c>
      <c r="G278" t="s">
        <v>26</v>
      </c>
      <c r="H278">
        <v>4.2</v>
      </c>
      <c r="I278">
        <v>480</v>
      </c>
      <c r="J278" t="s">
        <v>30</v>
      </c>
      <c r="L278" t="str" cm="1">
        <f t="array" ref="L278">_xlfn.IFS(H278&lt;=2,"bad",H278&lt;=2.5,"neutral",H278&gt;2.5,"good")</f>
        <v>good</v>
      </c>
      <c r="M278" t="str" cm="1">
        <f t="array" ref="M278">_xlfn.IFS(F278&lt;30,"short",F278&lt;90,"medium",F278&lt;180,"long",F278&gt;180,"very long")</f>
        <v>medium</v>
      </c>
      <c r="N278" t="str">
        <f>LEFT(Table1[[#This Row],[Activity_Type]],3)</f>
        <v>Boa</v>
      </c>
      <c r="O278" t="str">
        <f>UPPER(Table1[[#This Row],[Column2]])</f>
        <v>IYER</v>
      </c>
      <c r="P278">
        <f>LEN(Table1[[#This Row],[Visitor_Name]])</f>
        <v>5</v>
      </c>
      <c r="S278">
        <f>ROUND(Table1[[#This Row],[Rating]],0)</f>
        <v>4</v>
      </c>
      <c r="T278" t="s">
        <v>74</v>
      </c>
      <c r="U278" t="s">
        <v>58</v>
      </c>
      <c r="V278" s="5" t="s">
        <v>17</v>
      </c>
      <c r="W278">
        <v>49</v>
      </c>
    </row>
    <row r="279" spans="1:23" x14ac:dyDescent="0.25">
      <c r="A279">
        <v>1278</v>
      </c>
      <c r="B279" t="s">
        <v>82</v>
      </c>
      <c r="C279" t="s">
        <v>95</v>
      </c>
      <c r="D279" t="s">
        <v>22</v>
      </c>
      <c r="E279" s="1">
        <v>45396</v>
      </c>
      <c r="F279">
        <v>65</v>
      </c>
      <c r="G279" t="s">
        <v>27</v>
      </c>
      <c r="H279">
        <v>2.6</v>
      </c>
      <c r="I279">
        <v>220</v>
      </c>
      <c r="J279" t="s">
        <v>28</v>
      </c>
      <c r="L279" t="str" cm="1">
        <f t="array" ref="L279">_xlfn.IFS(H279&lt;=2,"bad",H279&lt;=2.5,"neutral",H279&gt;2.5,"good")</f>
        <v>good</v>
      </c>
      <c r="M279" t="str" cm="1">
        <f t="array" ref="M279">_xlfn.IFS(F279&lt;30,"short",F279&lt;90,"medium",F279&lt;180,"long",F279&gt;180,"very long")</f>
        <v>medium</v>
      </c>
      <c r="N279" t="str">
        <f>LEFT(Table1[[#This Row],[Activity_Type]],3)</f>
        <v>Cam</v>
      </c>
      <c r="O279" t="str">
        <f>UPPER(Table1[[#This Row],[Column2]])</f>
        <v>SINGH</v>
      </c>
      <c r="P279">
        <f>LEN(Table1[[#This Row],[Visitor_Name]])</f>
        <v>5</v>
      </c>
      <c r="S279">
        <f>ROUND(Table1[[#This Row],[Rating]],0)</f>
        <v>3</v>
      </c>
      <c r="T279" t="s">
        <v>75</v>
      </c>
      <c r="U279" t="s">
        <v>59</v>
      </c>
      <c r="V279" s="5" t="s">
        <v>16</v>
      </c>
      <c r="W279">
        <v>54</v>
      </c>
    </row>
    <row r="280" spans="1:23" x14ac:dyDescent="0.25">
      <c r="A280">
        <v>1279</v>
      </c>
      <c r="B280" t="s">
        <v>88</v>
      </c>
      <c r="C280" t="s">
        <v>83</v>
      </c>
      <c r="D280" t="s">
        <v>22</v>
      </c>
      <c r="E280" s="1">
        <v>45412</v>
      </c>
      <c r="F280">
        <v>29</v>
      </c>
      <c r="G280" t="s">
        <v>27</v>
      </c>
      <c r="H280">
        <v>4.9000000000000004</v>
      </c>
      <c r="I280">
        <v>339</v>
      </c>
      <c r="J280" t="s">
        <v>34</v>
      </c>
      <c r="L280" t="str" cm="1">
        <f t="array" ref="L280">_xlfn.IFS(H280&lt;=2,"bad",H280&lt;=2.5,"neutral",H280&gt;2.5,"good")</f>
        <v>good</v>
      </c>
      <c r="M280" t="str" cm="1">
        <f t="array" ref="M280">_xlfn.IFS(F280&lt;30,"short",F280&lt;90,"medium",F280&lt;180,"long",F280&gt;180,"very long")</f>
        <v>short</v>
      </c>
      <c r="N280" t="str">
        <f>LEFT(Table1[[#This Row],[Activity_Type]],3)</f>
        <v>Cam</v>
      </c>
      <c r="O280" t="str">
        <f>UPPER(Table1[[#This Row],[Column2]])</f>
        <v>NAIR</v>
      </c>
      <c r="P280">
        <f>LEN(Table1[[#This Row],[Visitor_Name]])</f>
        <v>6</v>
      </c>
      <c r="S280">
        <f>ROUND(Table1[[#This Row],[Rating]],0)</f>
        <v>5</v>
      </c>
      <c r="T280" t="s">
        <v>70</v>
      </c>
      <c r="U280" t="s">
        <v>67</v>
      </c>
      <c r="V280" s="5" t="s">
        <v>15</v>
      </c>
      <c r="W280">
        <v>62</v>
      </c>
    </row>
    <row r="281" spans="1:23" x14ac:dyDescent="0.25">
      <c r="A281">
        <v>1280</v>
      </c>
      <c r="B281" t="s">
        <v>79</v>
      </c>
      <c r="C281" t="s">
        <v>85</v>
      </c>
      <c r="D281" t="s">
        <v>19</v>
      </c>
      <c r="E281" s="1">
        <v>45413</v>
      </c>
      <c r="F281">
        <v>33</v>
      </c>
      <c r="G281" t="s">
        <v>26</v>
      </c>
      <c r="H281">
        <v>3.8</v>
      </c>
      <c r="I281">
        <v>167</v>
      </c>
      <c r="J281" t="s">
        <v>34</v>
      </c>
      <c r="L281" t="str" cm="1">
        <f t="array" ref="L281">_xlfn.IFS(H281&lt;=2,"bad",H281&lt;=2.5,"neutral",H281&gt;2.5,"good")</f>
        <v>good</v>
      </c>
      <c r="M281" t="str" cm="1">
        <f t="array" ref="M281">_xlfn.IFS(F281&lt;30,"short",F281&lt;90,"medium",F281&lt;180,"long",F281&gt;180,"very long")</f>
        <v>medium</v>
      </c>
      <c r="N281" t="str">
        <f>LEFT(Table1[[#This Row],[Activity_Type]],3)</f>
        <v>Saf</v>
      </c>
      <c r="O281" t="str">
        <f>UPPER(Table1[[#This Row],[Column2]])</f>
        <v>DAS</v>
      </c>
      <c r="P281">
        <f>LEN(Table1[[#This Row],[Visitor_Name]])</f>
        <v>5</v>
      </c>
      <c r="S281">
        <f>ROUND(Table1[[#This Row],[Rating]],0)</f>
        <v>4</v>
      </c>
      <c r="T281" t="s">
        <v>71</v>
      </c>
      <c r="U281" t="s">
        <v>58</v>
      </c>
      <c r="V281" s="5" t="s">
        <v>14</v>
      </c>
      <c r="W281">
        <v>65</v>
      </c>
    </row>
    <row r="282" spans="1:23" x14ac:dyDescent="0.25">
      <c r="A282">
        <v>1281</v>
      </c>
      <c r="B282" t="s">
        <v>86</v>
      </c>
      <c r="C282" t="s">
        <v>96</v>
      </c>
      <c r="D282" t="s">
        <v>18</v>
      </c>
      <c r="E282" s="1">
        <v>45475</v>
      </c>
      <c r="F282">
        <v>240</v>
      </c>
      <c r="G282" t="s">
        <v>25</v>
      </c>
      <c r="H282">
        <v>3.9</v>
      </c>
      <c r="I282">
        <v>256</v>
      </c>
      <c r="J282" t="s">
        <v>30</v>
      </c>
      <c r="L282" t="str" cm="1">
        <f t="array" ref="L282">_xlfn.IFS(H282&lt;=2,"bad",H282&lt;=2.5,"neutral",H282&gt;2.5,"good")</f>
        <v>good</v>
      </c>
      <c r="M282" t="str" cm="1">
        <f t="array" ref="M282">_xlfn.IFS(F282&lt;30,"short",F282&lt;90,"medium",F282&lt;180,"long",F282&gt;180,"very long")</f>
        <v>very long</v>
      </c>
      <c r="N282" t="str">
        <f>LEFT(Table1[[#This Row],[Activity_Type]],3)</f>
        <v>Pho</v>
      </c>
      <c r="O282" t="str">
        <f>UPPER(Table1[[#This Row],[Column2]])</f>
        <v>SHARMA</v>
      </c>
      <c r="P282">
        <f>LEN(Table1[[#This Row],[Visitor_Name]])</f>
        <v>6</v>
      </c>
      <c r="S282">
        <f>ROUND(Table1[[#This Row],[Rating]],0)</f>
        <v>4</v>
      </c>
      <c r="T282" t="s">
        <v>76</v>
      </c>
      <c r="U282" t="s">
        <v>66</v>
      </c>
      <c r="V282" s="5" t="s">
        <v>13</v>
      </c>
      <c r="W282">
        <v>65</v>
      </c>
    </row>
    <row r="283" spans="1:23" x14ac:dyDescent="0.25">
      <c r="A283">
        <v>1282</v>
      </c>
      <c r="B283" t="s">
        <v>90</v>
      </c>
      <c r="C283" t="s">
        <v>83</v>
      </c>
      <c r="D283" t="s">
        <v>18</v>
      </c>
      <c r="E283" s="1">
        <v>45422</v>
      </c>
      <c r="F283">
        <v>37</v>
      </c>
      <c r="G283" t="s">
        <v>25</v>
      </c>
      <c r="H283">
        <v>4.2</v>
      </c>
      <c r="I283">
        <v>218</v>
      </c>
      <c r="J283" t="s">
        <v>30</v>
      </c>
      <c r="L283" t="str" cm="1">
        <f t="array" ref="L283">_xlfn.IFS(H283&lt;=2,"bad",H283&lt;=2.5,"neutral",H283&gt;2.5,"good")</f>
        <v>good</v>
      </c>
      <c r="M283" t="str" cm="1">
        <f t="array" ref="M283">_xlfn.IFS(F283&lt;30,"short",F283&lt;90,"medium",F283&lt;180,"long",F283&gt;180,"very long")</f>
        <v>medium</v>
      </c>
      <c r="N283" t="str">
        <f>LEFT(Table1[[#This Row],[Activity_Type]],3)</f>
        <v>Pho</v>
      </c>
      <c r="O283" t="str">
        <f>UPPER(Table1[[#This Row],[Column2]])</f>
        <v>NAIR</v>
      </c>
      <c r="P283">
        <f>LEN(Table1[[#This Row],[Visitor_Name]])</f>
        <v>5</v>
      </c>
      <c r="S283">
        <f>ROUND(Table1[[#This Row],[Rating]],0)</f>
        <v>4</v>
      </c>
      <c r="T283" t="s">
        <v>70</v>
      </c>
      <c r="U283" t="s">
        <v>60</v>
      </c>
      <c r="V283" s="5" t="s">
        <v>17</v>
      </c>
      <c r="W283">
        <v>67</v>
      </c>
    </row>
    <row r="284" spans="1:23" x14ac:dyDescent="0.25">
      <c r="A284">
        <v>1283</v>
      </c>
      <c r="B284" t="s">
        <v>97</v>
      </c>
      <c r="C284" t="s">
        <v>96</v>
      </c>
      <c r="D284" t="s">
        <v>18</v>
      </c>
      <c r="E284" s="1">
        <v>45583</v>
      </c>
      <c r="F284">
        <v>155</v>
      </c>
      <c r="G284" t="s">
        <v>25</v>
      </c>
      <c r="H284">
        <v>5</v>
      </c>
      <c r="I284">
        <v>118</v>
      </c>
      <c r="J284" t="s">
        <v>29</v>
      </c>
      <c r="L284" t="str" cm="1">
        <f t="array" ref="L284">_xlfn.IFS(H284&lt;=2,"bad",H284&lt;=2.5,"neutral",H284&gt;2.5,"good")</f>
        <v>good</v>
      </c>
      <c r="M284" t="str" cm="1">
        <f t="array" ref="M284">_xlfn.IFS(F284&lt;30,"short",F284&lt;90,"medium",F284&lt;180,"long",F284&gt;180,"very long")</f>
        <v>long</v>
      </c>
      <c r="N284" t="str">
        <f>LEFT(Table1[[#This Row],[Activity_Type]],3)</f>
        <v>Pho</v>
      </c>
      <c r="O284" t="str">
        <f>UPPER(Table1[[#This Row],[Column2]])</f>
        <v>SHARMA</v>
      </c>
      <c r="P284">
        <f>LEN(Table1[[#This Row],[Visitor_Name]])</f>
        <v>5</v>
      </c>
      <c r="S284">
        <f>ROUND(Table1[[#This Row],[Rating]],0)</f>
        <v>5</v>
      </c>
      <c r="T284" t="s">
        <v>76</v>
      </c>
      <c r="U284" t="s">
        <v>65</v>
      </c>
      <c r="V284" s="5" t="s">
        <v>11</v>
      </c>
      <c r="W284">
        <v>72</v>
      </c>
    </row>
    <row r="285" spans="1:23" x14ac:dyDescent="0.25">
      <c r="A285">
        <v>1284</v>
      </c>
      <c r="B285" t="s">
        <v>91</v>
      </c>
      <c r="C285" t="s">
        <v>81</v>
      </c>
      <c r="D285" t="s">
        <v>23</v>
      </c>
      <c r="E285" s="1">
        <v>45579</v>
      </c>
      <c r="F285">
        <v>223</v>
      </c>
      <c r="G285" t="s">
        <v>26</v>
      </c>
      <c r="H285">
        <v>2.8</v>
      </c>
      <c r="I285">
        <v>399</v>
      </c>
      <c r="J285" t="s">
        <v>35</v>
      </c>
      <c r="L285" t="str" cm="1">
        <f t="array" ref="L285">_xlfn.IFS(H285&lt;=2,"bad",H285&lt;=2.5,"neutral",H285&gt;2.5,"good")</f>
        <v>good</v>
      </c>
      <c r="M285" t="str" cm="1">
        <f t="array" ref="M285">_xlfn.IFS(F285&lt;30,"short",F285&lt;90,"medium",F285&lt;180,"long",F285&gt;180,"very long")</f>
        <v>very long</v>
      </c>
      <c r="N285" t="str">
        <f>LEFT(Table1[[#This Row],[Activity_Type]],3)</f>
        <v>Boa</v>
      </c>
      <c r="O285" t="str">
        <f>UPPER(Table1[[#This Row],[Column2]])</f>
        <v>PATEL</v>
      </c>
      <c r="P285">
        <f>LEN(Table1[[#This Row],[Visitor_Name]])</f>
        <v>5</v>
      </c>
      <c r="S285">
        <f>ROUND(Table1[[#This Row],[Rating]],0)</f>
        <v>3</v>
      </c>
      <c r="T285" t="s">
        <v>69</v>
      </c>
      <c r="U285" t="s">
        <v>61</v>
      </c>
      <c r="V285" s="5" t="s">
        <v>16</v>
      </c>
      <c r="W285">
        <v>74</v>
      </c>
    </row>
    <row r="286" spans="1:23" x14ac:dyDescent="0.25">
      <c r="A286">
        <v>1285</v>
      </c>
      <c r="B286" t="s">
        <v>94</v>
      </c>
      <c r="C286" t="s">
        <v>96</v>
      </c>
      <c r="D286" t="s">
        <v>23</v>
      </c>
      <c r="E286" s="1">
        <v>45505</v>
      </c>
      <c r="F286">
        <v>34</v>
      </c>
      <c r="G286" t="s">
        <v>24</v>
      </c>
      <c r="H286">
        <v>4.7</v>
      </c>
      <c r="I286">
        <v>193</v>
      </c>
      <c r="J286" t="s">
        <v>28</v>
      </c>
      <c r="L286" t="str" cm="1">
        <f t="array" ref="L286">_xlfn.IFS(H286&lt;=2,"bad",H286&lt;=2.5,"neutral",H286&gt;2.5,"good")</f>
        <v>good</v>
      </c>
      <c r="M286" t="str" cm="1">
        <f t="array" ref="M286">_xlfn.IFS(F286&lt;30,"short",F286&lt;90,"medium",F286&lt;180,"long",F286&gt;180,"very long")</f>
        <v>medium</v>
      </c>
      <c r="N286" t="str">
        <f>LEFT(Table1[[#This Row],[Activity_Type]],3)</f>
        <v>Boa</v>
      </c>
      <c r="O286" t="str">
        <f>UPPER(Table1[[#This Row],[Column2]])</f>
        <v>SHARMA</v>
      </c>
      <c r="P286">
        <f>LEN(Table1[[#This Row],[Visitor_Name]])</f>
        <v>5</v>
      </c>
      <c r="S286">
        <f>ROUND(Table1[[#This Row],[Rating]],0)</f>
        <v>5</v>
      </c>
      <c r="T286" t="s">
        <v>76</v>
      </c>
      <c r="U286" t="s">
        <v>64</v>
      </c>
      <c r="V286" s="5" t="s">
        <v>17</v>
      </c>
      <c r="W286">
        <v>79</v>
      </c>
    </row>
    <row r="287" spans="1:23" x14ac:dyDescent="0.25">
      <c r="A287">
        <v>1286</v>
      </c>
      <c r="B287" t="s">
        <v>92</v>
      </c>
      <c r="C287" t="s">
        <v>81</v>
      </c>
      <c r="D287" t="s">
        <v>23</v>
      </c>
      <c r="E287" s="1">
        <v>45315</v>
      </c>
      <c r="F287">
        <v>34</v>
      </c>
      <c r="G287" t="s">
        <v>25</v>
      </c>
      <c r="H287">
        <v>3.7</v>
      </c>
      <c r="I287">
        <v>274</v>
      </c>
      <c r="J287" t="s">
        <v>29</v>
      </c>
      <c r="L287" t="str" cm="1">
        <f t="array" ref="L287">_xlfn.IFS(H287&lt;=2,"bad",H287&lt;=2.5,"neutral",H287&gt;2.5,"good")</f>
        <v>good</v>
      </c>
      <c r="M287" t="str" cm="1">
        <f t="array" ref="M287">_xlfn.IFS(F287&lt;30,"short",F287&lt;90,"medium",F287&lt;180,"long",F287&gt;180,"very long")</f>
        <v>medium</v>
      </c>
      <c r="N287" t="str">
        <f>LEFT(Table1[[#This Row],[Activity_Type]],3)</f>
        <v>Boa</v>
      </c>
      <c r="O287" t="str">
        <f>UPPER(Table1[[#This Row],[Column2]])</f>
        <v>PATEL</v>
      </c>
      <c r="P287">
        <f>LEN(Table1[[#This Row],[Visitor_Name]])</f>
        <v>5</v>
      </c>
      <c r="S287">
        <f>ROUND(Table1[[#This Row],[Rating]],0)</f>
        <v>4</v>
      </c>
      <c r="T287" t="s">
        <v>69</v>
      </c>
      <c r="U287" t="s">
        <v>62</v>
      </c>
      <c r="V287" s="5" t="s">
        <v>13</v>
      </c>
      <c r="W287">
        <v>79</v>
      </c>
    </row>
    <row r="288" spans="1:23" x14ac:dyDescent="0.25">
      <c r="A288">
        <v>1287</v>
      </c>
      <c r="B288" t="s">
        <v>92</v>
      </c>
      <c r="C288" t="s">
        <v>93</v>
      </c>
      <c r="D288" t="s">
        <v>22</v>
      </c>
      <c r="E288" s="1">
        <v>45574</v>
      </c>
      <c r="F288">
        <v>227</v>
      </c>
      <c r="G288" t="s">
        <v>24</v>
      </c>
      <c r="H288">
        <v>4.0999999999999996</v>
      </c>
      <c r="I288">
        <v>270</v>
      </c>
      <c r="J288" t="s">
        <v>34</v>
      </c>
      <c r="L288" t="str" cm="1">
        <f t="array" ref="L288">_xlfn.IFS(H288&lt;=2,"bad",H288&lt;=2.5,"neutral",H288&gt;2.5,"good")</f>
        <v>good</v>
      </c>
      <c r="M288" t="str" cm="1">
        <f t="array" ref="M288">_xlfn.IFS(F288&lt;30,"short",F288&lt;90,"medium",F288&lt;180,"long",F288&gt;180,"very long")</f>
        <v>very long</v>
      </c>
      <c r="N288" t="str">
        <f>LEFT(Table1[[#This Row],[Activity_Type]],3)</f>
        <v>Cam</v>
      </c>
      <c r="O288" t="str">
        <f>UPPER(Table1[[#This Row],[Column2]])</f>
        <v>IYER</v>
      </c>
      <c r="P288">
        <f>LEN(Table1[[#This Row],[Visitor_Name]])</f>
        <v>5</v>
      </c>
      <c r="S288">
        <f>ROUND(Table1[[#This Row],[Rating]],0)</f>
        <v>4</v>
      </c>
      <c r="T288" t="s">
        <v>74</v>
      </c>
      <c r="U288" t="s">
        <v>62</v>
      </c>
      <c r="V288" s="5" t="s">
        <v>13</v>
      </c>
      <c r="W288">
        <v>83</v>
      </c>
    </row>
    <row r="289" spans="1:23" x14ac:dyDescent="0.25">
      <c r="A289">
        <v>1288</v>
      </c>
      <c r="B289" t="s">
        <v>92</v>
      </c>
      <c r="C289" t="s">
        <v>96</v>
      </c>
      <c r="D289" t="s">
        <v>18</v>
      </c>
      <c r="E289" s="1">
        <v>45419</v>
      </c>
      <c r="F289">
        <v>166</v>
      </c>
      <c r="G289" t="s">
        <v>26</v>
      </c>
      <c r="H289">
        <v>3.3</v>
      </c>
      <c r="I289">
        <v>212</v>
      </c>
      <c r="J289" t="s">
        <v>34</v>
      </c>
      <c r="L289" t="str" cm="1">
        <f t="array" ref="L289">_xlfn.IFS(H289&lt;=2,"bad",H289&lt;=2.5,"neutral",H289&gt;2.5,"good")</f>
        <v>good</v>
      </c>
      <c r="M289" t="str" cm="1">
        <f t="array" ref="M289">_xlfn.IFS(F289&lt;30,"short",F289&lt;90,"medium",F289&lt;180,"long",F289&gt;180,"very long")</f>
        <v>long</v>
      </c>
      <c r="N289" t="str">
        <f>LEFT(Table1[[#This Row],[Activity_Type]],3)</f>
        <v>Pho</v>
      </c>
      <c r="O289" t="str">
        <f>UPPER(Table1[[#This Row],[Column2]])</f>
        <v>SHARMA</v>
      </c>
      <c r="P289">
        <f>LEN(Table1[[#This Row],[Visitor_Name]])</f>
        <v>5</v>
      </c>
      <c r="S289">
        <f>ROUND(Table1[[#This Row],[Rating]],0)</f>
        <v>3</v>
      </c>
      <c r="T289" t="s">
        <v>76</v>
      </c>
      <c r="U289" t="s">
        <v>62</v>
      </c>
      <c r="V289" s="5" t="s">
        <v>10</v>
      </c>
      <c r="W289">
        <v>83</v>
      </c>
    </row>
    <row r="290" spans="1:23" x14ac:dyDescent="0.25">
      <c r="A290">
        <v>1289</v>
      </c>
      <c r="B290" t="s">
        <v>91</v>
      </c>
      <c r="C290" t="s">
        <v>87</v>
      </c>
      <c r="D290" t="s">
        <v>18</v>
      </c>
      <c r="E290" s="1">
        <v>45496</v>
      </c>
      <c r="F290">
        <v>198</v>
      </c>
      <c r="G290" t="s">
        <v>27</v>
      </c>
      <c r="H290">
        <v>4.0999999999999996</v>
      </c>
      <c r="I290">
        <v>206</v>
      </c>
      <c r="J290" t="s">
        <v>36</v>
      </c>
      <c r="L290" t="str" cm="1">
        <f t="array" ref="L290">_xlfn.IFS(H290&lt;=2,"bad",H290&lt;=2.5,"neutral",H290&gt;2.5,"good")</f>
        <v>good</v>
      </c>
      <c r="M290" t="str" cm="1">
        <f t="array" ref="M290">_xlfn.IFS(F290&lt;30,"short",F290&lt;90,"medium",F290&lt;180,"long",F290&gt;180,"very long")</f>
        <v>very long</v>
      </c>
      <c r="N290" t="str">
        <f>LEFT(Table1[[#This Row],[Activity_Type]],3)</f>
        <v>Pho</v>
      </c>
      <c r="O290" t="str">
        <f>UPPER(Table1[[#This Row],[Column2]])</f>
        <v>VERMA</v>
      </c>
      <c r="P290">
        <f>LEN(Table1[[#This Row],[Visitor_Name]])</f>
        <v>5</v>
      </c>
      <c r="S290">
        <f>ROUND(Table1[[#This Row],[Rating]],0)</f>
        <v>4</v>
      </c>
      <c r="T290" t="s">
        <v>72</v>
      </c>
      <c r="U290" t="s">
        <v>61</v>
      </c>
      <c r="V290" s="5" t="s">
        <v>15</v>
      </c>
      <c r="W290">
        <v>85</v>
      </c>
    </row>
    <row r="291" spans="1:23" x14ac:dyDescent="0.25">
      <c r="A291">
        <v>1290</v>
      </c>
      <c r="B291" t="s">
        <v>79</v>
      </c>
      <c r="C291" t="s">
        <v>81</v>
      </c>
      <c r="D291" t="s">
        <v>21</v>
      </c>
      <c r="E291" s="1">
        <v>45646</v>
      </c>
      <c r="F291">
        <v>85</v>
      </c>
      <c r="G291" t="s">
        <v>24</v>
      </c>
      <c r="H291">
        <v>3</v>
      </c>
      <c r="I291">
        <v>124</v>
      </c>
      <c r="J291" t="s">
        <v>32</v>
      </c>
      <c r="L291" t="str" cm="1">
        <f t="array" ref="L291">_xlfn.IFS(H291&lt;=2,"bad",H291&lt;=2.5,"neutral",H291&gt;2.5,"good")</f>
        <v>good</v>
      </c>
      <c r="M291" t="str" cm="1">
        <f t="array" ref="M291">_xlfn.IFS(F291&lt;30,"short",F291&lt;90,"medium",F291&lt;180,"long",F291&gt;180,"very long")</f>
        <v>medium</v>
      </c>
      <c r="N291" t="str">
        <f>LEFT(Table1[[#This Row],[Activity_Type]],3)</f>
        <v>Bir</v>
      </c>
      <c r="O291" t="str">
        <f>UPPER(Table1[[#This Row],[Column2]])</f>
        <v>PATEL</v>
      </c>
      <c r="P291">
        <f>LEN(Table1[[#This Row],[Visitor_Name]])</f>
        <v>5</v>
      </c>
      <c r="S291">
        <f>ROUND(Table1[[#This Row],[Rating]],0)</f>
        <v>3</v>
      </c>
      <c r="T291" t="s">
        <v>69</v>
      </c>
      <c r="U291" t="s">
        <v>58</v>
      </c>
      <c r="V291" s="5" t="s">
        <v>10</v>
      </c>
      <c r="W291">
        <v>87</v>
      </c>
    </row>
    <row r="292" spans="1:23" x14ac:dyDescent="0.25">
      <c r="A292">
        <v>1291</v>
      </c>
      <c r="B292" t="s">
        <v>84</v>
      </c>
      <c r="C292" t="s">
        <v>95</v>
      </c>
      <c r="D292" t="s">
        <v>23</v>
      </c>
      <c r="E292" s="1">
        <v>45444</v>
      </c>
      <c r="F292">
        <v>135</v>
      </c>
      <c r="G292" t="s">
        <v>25</v>
      </c>
      <c r="H292">
        <v>4.2</v>
      </c>
      <c r="I292">
        <v>315</v>
      </c>
      <c r="J292" t="s">
        <v>30</v>
      </c>
      <c r="L292" t="str" cm="1">
        <f t="array" ref="L292">_xlfn.IFS(H292&lt;=2,"bad",H292&lt;=2.5,"neutral",H292&gt;2.5,"good")</f>
        <v>good</v>
      </c>
      <c r="M292" t="str" cm="1">
        <f t="array" ref="M292">_xlfn.IFS(F292&lt;30,"short",F292&lt;90,"medium",F292&lt;180,"long",F292&gt;180,"very long")</f>
        <v>long</v>
      </c>
      <c r="N292" t="str">
        <f>LEFT(Table1[[#This Row],[Activity_Type]],3)</f>
        <v>Boa</v>
      </c>
      <c r="O292" t="str">
        <f>UPPER(Table1[[#This Row],[Column2]])</f>
        <v>SINGH</v>
      </c>
      <c r="P292">
        <f>LEN(Table1[[#This Row],[Visitor_Name]])</f>
        <v>5</v>
      </c>
      <c r="S292">
        <f>ROUND(Table1[[#This Row],[Rating]],0)</f>
        <v>4</v>
      </c>
      <c r="T292" t="s">
        <v>75</v>
      </c>
      <c r="U292" t="s">
        <v>63</v>
      </c>
      <c r="V292" s="5" t="s">
        <v>16</v>
      </c>
      <c r="W292">
        <v>101</v>
      </c>
    </row>
    <row r="293" spans="1:23" x14ac:dyDescent="0.25">
      <c r="A293">
        <v>1292</v>
      </c>
      <c r="B293" t="s">
        <v>82</v>
      </c>
      <c r="C293" t="s">
        <v>80</v>
      </c>
      <c r="D293" t="s">
        <v>23</v>
      </c>
      <c r="E293" s="1">
        <v>45636</v>
      </c>
      <c r="F293">
        <v>169</v>
      </c>
      <c r="G293" t="s">
        <v>26</v>
      </c>
      <c r="H293">
        <v>2.6</v>
      </c>
      <c r="I293">
        <v>216</v>
      </c>
      <c r="J293" t="s">
        <v>37</v>
      </c>
      <c r="L293" t="str" cm="1">
        <f t="array" ref="L293">_xlfn.IFS(H293&lt;=2,"bad",H293&lt;=2.5,"neutral",H293&gt;2.5,"good")</f>
        <v>good</v>
      </c>
      <c r="M293" t="str" cm="1">
        <f t="array" ref="M293">_xlfn.IFS(F293&lt;30,"short",F293&lt;90,"medium",F293&lt;180,"long",F293&gt;180,"very long")</f>
        <v>long</v>
      </c>
      <c r="N293" t="str">
        <f>LEFT(Table1[[#This Row],[Activity_Type]],3)</f>
        <v>Boa</v>
      </c>
      <c r="O293" t="str">
        <f>UPPER(Table1[[#This Row],[Column2]])</f>
        <v>MEHTA</v>
      </c>
      <c r="P293">
        <f>LEN(Table1[[#This Row],[Visitor_Name]])</f>
        <v>5</v>
      </c>
      <c r="S293">
        <f>ROUND(Table1[[#This Row],[Rating]],0)</f>
        <v>3</v>
      </c>
      <c r="T293" t="s">
        <v>68</v>
      </c>
      <c r="U293" t="s">
        <v>59</v>
      </c>
      <c r="V293" s="5" t="s">
        <v>17</v>
      </c>
      <c r="W293">
        <v>113</v>
      </c>
    </row>
    <row r="294" spans="1:23" x14ac:dyDescent="0.25">
      <c r="A294">
        <v>1293</v>
      </c>
      <c r="B294" t="s">
        <v>92</v>
      </c>
      <c r="C294" t="s">
        <v>83</v>
      </c>
      <c r="D294" t="s">
        <v>23</v>
      </c>
      <c r="E294" s="1">
        <v>45318</v>
      </c>
      <c r="F294">
        <v>122</v>
      </c>
      <c r="G294" t="s">
        <v>26</v>
      </c>
      <c r="H294">
        <v>3.1</v>
      </c>
      <c r="I294">
        <v>219</v>
      </c>
      <c r="J294" t="s">
        <v>35</v>
      </c>
      <c r="L294" t="str" cm="1">
        <f t="array" ref="L294">_xlfn.IFS(H294&lt;=2,"bad",H294&lt;=2.5,"neutral",H294&gt;2.5,"good")</f>
        <v>good</v>
      </c>
      <c r="M294" t="str" cm="1">
        <f t="array" ref="M294">_xlfn.IFS(F294&lt;30,"short",F294&lt;90,"medium",F294&lt;180,"long",F294&gt;180,"very long")</f>
        <v>long</v>
      </c>
      <c r="N294" t="str">
        <f>LEFT(Table1[[#This Row],[Activity_Type]],3)</f>
        <v>Boa</v>
      </c>
      <c r="O294" t="str">
        <f>UPPER(Table1[[#This Row],[Column2]])</f>
        <v>NAIR</v>
      </c>
      <c r="P294">
        <f>LEN(Table1[[#This Row],[Visitor_Name]])</f>
        <v>5</v>
      </c>
      <c r="S294">
        <f>ROUND(Table1[[#This Row],[Rating]],0)</f>
        <v>3</v>
      </c>
      <c r="T294" t="s">
        <v>70</v>
      </c>
      <c r="U294" t="s">
        <v>62</v>
      </c>
      <c r="V294" s="5" t="s">
        <v>14</v>
      </c>
      <c r="W294">
        <v>113</v>
      </c>
    </row>
    <row r="295" spans="1:23" x14ac:dyDescent="0.25">
      <c r="A295">
        <v>1294</v>
      </c>
      <c r="B295" t="s">
        <v>90</v>
      </c>
      <c r="C295" t="s">
        <v>96</v>
      </c>
      <c r="D295" t="s">
        <v>21</v>
      </c>
      <c r="E295" s="1">
        <v>45451</v>
      </c>
      <c r="F295">
        <v>67</v>
      </c>
      <c r="G295" t="s">
        <v>27</v>
      </c>
      <c r="H295">
        <v>2.7</v>
      </c>
      <c r="I295">
        <v>378</v>
      </c>
      <c r="J295" t="s">
        <v>32</v>
      </c>
      <c r="L295" t="str" cm="1">
        <f t="array" ref="L295">_xlfn.IFS(H295&lt;=2,"bad",H295&lt;=2.5,"neutral",H295&gt;2.5,"good")</f>
        <v>good</v>
      </c>
      <c r="M295" t="str" cm="1">
        <f t="array" ref="M295">_xlfn.IFS(F295&lt;30,"short",F295&lt;90,"medium",F295&lt;180,"long",F295&gt;180,"very long")</f>
        <v>medium</v>
      </c>
      <c r="N295" t="str">
        <f>LEFT(Table1[[#This Row],[Activity_Type]],3)</f>
        <v>Bir</v>
      </c>
      <c r="O295" t="str">
        <f>UPPER(Table1[[#This Row],[Column2]])</f>
        <v>SHARMA</v>
      </c>
      <c r="P295">
        <f>LEN(Table1[[#This Row],[Visitor_Name]])</f>
        <v>5</v>
      </c>
      <c r="S295">
        <f>ROUND(Table1[[#This Row],[Rating]],0)</f>
        <v>3</v>
      </c>
      <c r="T295" t="s">
        <v>76</v>
      </c>
      <c r="U295" t="s">
        <v>60</v>
      </c>
      <c r="V295" s="5" t="s">
        <v>13</v>
      </c>
      <c r="W295">
        <v>116</v>
      </c>
    </row>
    <row r="296" spans="1:23" x14ac:dyDescent="0.25">
      <c r="A296">
        <v>1295</v>
      </c>
      <c r="B296" t="s">
        <v>90</v>
      </c>
      <c r="C296" t="s">
        <v>85</v>
      </c>
      <c r="D296" t="s">
        <v>22</v>
      </c>
      <c r="E296" s="1">
        <v>45618</v>
      </c>
      <c r="F296">
        <v>216</v>
      </c>
      <c r="G296" t="s">
        <v>25</v>
      </c>
      <c r="H296">
        <v>4.9000000000000004</v>
      </c>
      <c r="I296">
        <v>281</v>
      </c>
      <c r="J296" t="s">
        <v>34</v>
      </c>
      <c r="L296" t="str" cm="1">
        <f t="array" ref="L296">_xlfn.IFS(H296&lt;=2,"bad",H296&lt;=2.5,"neutral",H296&gt;2.5,"good")</f>
        <v>good</v>
      </c>
      <c r="M296" t="str" cm="1">
        <f t="array" ref="M296">_xlfn.IFS(F296&lt;30,"short",F296&lt;90,"medium",F296&lt;180,"long",F296&gt;180,"very long")</f>
        <v>very long</v>
      </c>
      <c r="N296" t="str">
        <f>LEFT(Table1[[#This Row],[Activity_Type]],3)</f>
        <v>Cam</v>
      </c>
      <c r="O296" t="str">
        <f>UPPER(Table1[[#This Row],[Column2]])</f>
        <v>DAS</v>
      </c>
      <c r="P296">
        <f>LEN(Table1[[#This Row],[Visitor_Name]])</f>
        <v>5</v>
      </c>
      <c r="S296">
        <f>ROUND(Table1[[#This Row],[Rating]],0)</f>
        <v>5</v>
      </c>
      <c r="T296" t="s">
        <v>71</v>
      </c>
      <c r="U296" t="s">
        <v>60</v>
      </c>
      <c r="V296" s="5" t="s">
        <v>16</v>
      </c>
      <c r="W296">
        <v>122</v>
      </c>
    </row>
    <row r="297" spans="1:23" x14ac:dyDescent="0.25">
      <c r="A297">
        <v>1296</v>
      </c>
      <c r="B297" t="s">
        <v>91</v>
      </c>
      <c r="C297" t="s">
        <v>83</v>
      </c>
      <c r="D297" t="s">
        <v>21</v>
      </c>
      <c r="E297" s="1">
        <v>45535</v>
      </c>
      <c r="F297">
        <v>54</v>
      </c>
      <c r="G297" t="s">
        <v>24</v>
      </c>
      <c r="H297">
        <v>2.6</v>
      </c>
      <c r="I297">
        <v>341</v>
      </c>
      <c r="J297" t="s">
        <v>35</v>
      </c>
      <c r="L297" t="str" cm="1">
        <f t="array" ref="L297">_xlfn.IFS(H297&lt;=2,"bad",H297&lt;=2.5,"neutral",H297&gt;2.5,"good")</f>
        <v>good</v>
      </c>
      <c r="M297" t="str" cm="1">
        <f t="array" ref="M297">_xlfn.IFS(F297&lt;30,"short",F297&lt;90,"medium",F297&lt;180,"long",F297&gt;180,"very long")</f>
        <v>medium</v>
      </c>
      <c r="N297" t="str">
        <f>LEFT(Table1[[#This Row],[Activity_Type]],3)</f>
        <v>Bir</v>
      </c>
      <c r="O297" t="str">
        <f>UPPER(Table1[[#This Row],[Column2]])</f>
        <v>NAIR</v>
      </c>
      <c r="P297">
        <f>LEN(Table1[[#This Row],[Visitor_Name]])</f>
        <v>5</v>
      </c>
      <c r="S297">
        <f>ROUND(Table1[[#This Row],[Rating]],0)</f>
        <v>3</v>
      </c>
      <c r="T297" t="s">
        <v>70</v>
      </c>
      <c r="U297" t="s">
        <v>61</v>
      </c>
      <c r="V297" s="5" t="s">
        <v>11</v>
      </c>
      <c r="W297">
        <v>125</v>
      </c>
    </row>
    <row r="298" spans="1:23" x14ac:dyDescent="0.25">
      <c r="A298">
        <v>1297</v>
      </c>
      <c r="B298" t="s">
        <v>84</v>
      </c>
      <c r="C298" t="s">
        <v>81</v>
      </c>
      <c r="D298" t="s">
        <v>22</v>
      </c>
      <c r="E298" s="1">
        <v>45370</v>
      </c>
      <c r="F298">
        <v>65</v>
      </c>
      <c r="G298" t="s">
        <v>26</v>
      </c>
      <c r="H298">
        <v>3.7</v>
      </c>
      <c r="I298">
        <v>166</v>
      </c>
      <c r="J298" t="s">
        <v>28</v>
      </c>
      <c r="L298" t="str" cm="1">
        <f t="array" ref="L298">_xlfn.IFS(H298&lt;=2,"bad",H298&lt;=2.5,"neutral",H298&gt;2.5,"good")</f>
        <v>good</v>
      </c>
      <c r="M298" t="str" cm="1">
        <f t="array" ref="M298">_xlfn.IFS(F298&lt;30,"short",F298&lt;90,"medium",F298&lt;180,"long",F298&gt;180,"very long")</f>
        <v>medium</v>
      </c>
      <c r="N298" t="str">
        <f>LEFT(Table1[[#This Row],[Activity_Type]],3)</f>
        <v>Cam</v>
      </c>
      <c r="O298" t="str">
        <f>UPPER(Table1[[#This Row],[Column2]])</f>
        <v>PATEL</v>
      </c>
      <c r="P298">
        <f>LEN(Table1[[#This Row],[Visitor_Name]])</f>
        <v>5</v>
      </c>
      <c r="S298">
        <f>ROUND(Table1[[#This Row],[Rating]],0)</f>
        <v>4</v>
      </c>
      <c r="T298" t="s">
        <v>69</v>
      </c>
      <c r="U298" t="s">
        <v>63</v>
      </c>
      <c r="V298" s="5" t="s">
        <v>12</v>
      </c>
      <c r="W298">
        <v>135</v>
      </c>
    </row>
    <row r="299" spans="1:23" x14ac:dyDescent="0.25">
      <c r="A299">
        <v>1298</v>
      </c>
      <c r="B299" t="s">
        <v>79</v>
      </c>
      <c r="C299" t="s">
        <v>89</v>
      </c>
      <c r="D299" t="s">
        <v>19</v>
      </c>
      <c r="E299" s="1">
        <v>45634</v>
      </c>
      <c r="F299">
        <v>83</v>
      </c>
      <c r="G299" t="s">
        <v>27</v>
      </c>
      <c r="H299">
        <v>3</v>
      </c>
      <c r="I299">
        <v>388</v>
      </c>
      <c r="J299" t="s">
        <v>34</v>
      </c>
      <c r="L299" t="str" cm="1">
        <f t="array" ref="L299">_xlfn.IFS(H299&lt;=2,"bad",H299&lt;=2.5,"neutral",H299&gt;2.5,"good")</f>
        <v>good</v>
      </c>
      <c r="M299" t="str" cm="1">
        <f t="array" ref="M299">_xlfn.IFS(F299&lt;30,"short",F299&lt;90,"medium",F299&lt;180,"long",F299&gt;180,"very long")</f>
        <v>medium</v>
      </c>
      <c r="N299" t="str">
        <f>LEFT(Table1[[#This Row],[Activity_Type]],3)</f>
        <v>Saf</v>
      </c>
      <c r="O299" t="str">
        <f>UPPER(Table1[[#This Row],[Column2]])</f>
        <v>MENON</v>
      </c>
      <c r="P299">
        <f>LEN(Table1[[#This Row],[Visitor_Name]])</f>
        <v>5</v>
      </c>
      <c r="S299">
        <f>ROUND(Table1[[#This Row],[Rating]],0)</f>
        <v>3</v>
      </c>
      <c r="T299" t="s">
        <v>73</v>
      </c>
      <c r="U299" t="s">
        <v>58</v>
      </c>
      <c r="V299" s="5" t="s">
        <v>11</v>
      </c>
      <c r="W299">
        <v>137</v>
      </c>
    </row>
    <row r="300" spans="1:23" x14ac:dyDescent="0.25">
      <c r="A300">
        <v>1299</v>
      </c>
      <c r="B300" t="s">
        <v>86</v>
      </c>
      <c r="C300" t="s">
        <v>98</v>
      </c>
      <c r="D300" t="s">
        <v>18</v>
      </c>
      <c r="E300" s="1">
        <v>45472</v>
      </c>
      <c r="F300">
        <v>138</v>
      </c>
      <c r="G300" t="s">
        <v>26</v>
      </c>
      <c r="H300">
        <v>3</v>
      </c>
      <c r="I300">
        <v>258</v>
      </c>
      <c r="J300" t="s">
        <v>34</v>
      </c>
      <c r="L300" t="str" cm="1">
        <f t="array" ref="L300">_xlfn.IFS(H300&lt;=2,"bad",H300&lt;=2.5,"neutral",H300&gt;2.5,"good")</f>
        <v>good</v>
      </c>
      <c r="M300" t="str" cm="1">
        <f t="array" ref="M300">_xlfn.IFS(F300&lt;30,"short",F300&lt;90,"medium",F300&lt;180,"long",F300&gt;180,"very long")</f>
        <v>long</v>
      </c>
      <c r="N300" t="str">
        <f>LEFT(Table1[[#This Row],[Activity_Type]],3)</f>
        <v>Pho</v>
      </c>
      <c r="O300" t="str">
        <f>UPPER(Table1[[#This Row],[Column2]])</f>
        <v>REDDY</v>
      </c>
      <c r="P300">
        <f>LEN(Table1[[#This Row],[Visitor_Name]])</f>
        <v>6</v>
      </c>
      <c r="S300">
        <f>ROUND(Table1[[#This Row],[Rating]],0)</f>
        <v>3</v>
      </c>
      <c r="T300" t="s">
        <v>77</v>
      </c>
      <c r="U300" t="s">
        <v>66</v>
      </c>
      <c r="V300" s="5" t="s">
        <v>13</v>
      </c>
      <c r="W300">
        <v>138</v>
      </c>
    </row>
    <row r="301" spans="1:23" x14ac:dyDescent="0.25">
      <c r="A301">
        <v>1300</v>
      </c>
      <c r="B301" t="s">
        <v>94</v>
      </c>
      <c r="C301" t="s">
        <v>80</v>
      </c>
      <c r="D301" t="s">
        <v>23</v>
      </c>
      <c r="E301" s="1">
        <v>45379</v>
      </c>
      <c r="F301">
        <v>24</v>
      </c>
      <c r="G301" t="s">
        <v>27</v>
      </c>
      <c r="H301">
        <v>2.7</v>
      </c>
      <c r="I301">
        <v>276</v>
      </c>
      <c r="J301" t="s">
        <v>30</v>
      </c>
      <c r="L301" t="str" cm="1">
        <f t="array" ref="L301">_xlfn.IFS(H301&lt;=2,"bad",H301&lt;=2.5,"neutral",H301&gt;2.5,"good")</f>
        <v>good</v>
      </c>
      <c r="M301" t="str" cm="1">
        <f t="array" ref="M301">_xlfn.IFS(F301&lt;30,"short",F301&lt;90,"medium",F301&lt;180,"long",F301&gt;180,"very long")</f>
        <v>short</v>
      </c>
      <c r="N301" t="str">
        <f>LEFT(Table1[[#This Row],[Activity_Type]],3)</f>
        <v>Boa</v>
      </c>
      <c r="O301" t="str">
        <f>UPPER(Table1[[#This Row],[Column2]])</f>
        <v>MEHTA</v>
      </c>
      <c r="P301">
        <f>LEN(Table1[[#This Row],[Visitor_Name]])</f>
        <v>5</v>
      </c>
      <c r="S301">
        <f>ROUND(Table1[[#This Row],[Rating]],0)</f>
        <v>3</v>
      </c>
      <c r="T301" t="s">
        <v>68</v>
      </c>
      <c r="U301" t="s">
        <v>64</v>
      </c>
      <c r="V301" s="5" t="s">
        <v>14</v>
      </c>
      <c r="W301">
        <v>149</v>
      </c>
    </row>
    <row r="302" spans="1:23" x14ac:dyDescent="0.25">
      <c r="A302">
        <v>1301</v>
      </c>
      <c r="B302" t="s">
        <v>94</v>
      </c>
      <c r="C302" t="s">
        <v>85</v>
      </c>
      <c r="D302" t="s">
        <v>21</v>
      </c>
      <c r="E302" s="1">
        <v>45395</v>
      </c>
      <c r="F302">
        <v>32</v>
      </c>
      <c r="G302" t="s">
        <v>24</v>
      </c>
      <c r="H302">
        <v>3</v>
      </c>
      <c r="I302">
        <v>296</v>
      </c>
      <c r="J302" t="s">
        <v>30</v>
      </c>
      <c r="L302" t="str" cm="1">
        <f t="array" ref="L302">_xlfn.IFS(H302&lt;=2,"bad",H302&lt;=2.5,"neutral",H302&gt;2.5,"good")</f>
        <v>good</v>
      </c>
      <c r="M302" t="str" cm="1">
        <f t="array" ref="M302">_xlfn.IFS(F302&lt;30,"short",F302&lt;90,"medium",F302&lt;180,"long",F302&gt;180,"very long")</f>
        <v>medium</v>
      </c>
      <c r="N302" t="str">
        <f>LEFT(Table1[[#This Row],[Activity_Type]],3)</f>
        <v>Bir</v>
      </c>
      <c r="O302" t="str">
        <f>UPPER(Table1[[#This Row],[Column2]])</f>
        <v>DAS</v>
      </c>
      <c r="P302">
        <f>LEN(Table1[[#This Row],[Visitor_Name]])</f>
        <v>5</v>
      </c>
      <c r="S302">
        <f>ROUND(Table1[[#This Row],[Rating]],0)</f>
        <v>3</v>
      </c>
      <c r="T302" t="s">
        <v>71</v>
      </c>
      <c r="U302" t="s">
        <v>64</v>
      </c>
      <c r="V302" s="5" t="s">
        <v>15</v>
      </c>
      <c r="W302">
        <v>155</v>
      </c>
    </row>
    <row r="303" spans="1:23" x14ac:dyDescent="0.25">
      <c r="A303">
        <v>1302</v>
      </c>
      <c r="B303" t="s">
        <v>92</v>
      </c>
      <c r="C303" t="s">
        <v>96</v>
      </c>
      <c r="D303" t="s">
        <v>21</v>
      </c>
      <c r="E303" s="1">
        <v>45423</v>
      </c>
      <c r="F303">
        <v>22</v>
      </c>
      <c r="G303" t="s">
        <v>25</v>
      </c>
      <c r="H303">
        <v>4.9000000000000004</v>
      </c>
      <c r="I303">
        <v>479</v>
      </c>
      <c r="J303" t="s">
        <v>29</v>
      </c>
      <c r="L303" t="str" cm="1">
        <f t="array" ref="L303">_xlfn.IFS(H303&lt;=2,"bad",H303&lt;=2.5,"neutral",H303&gt;2.5,"good")</f>
        <v>good</v>
      </c>
      <c r="M303" t="str" cm="1">
        <f t="array" ref="M303">_xlfn.IFS(F303&lt;30,"short",F303&lt;90,"medium",F303&lt;180,"long",F303&gt;180,"very long")</f>
        <v>short</v>
      </c>
      <c r="N303" t="str">
        <f>LEFT(Table1[[#This Row],[Activity_Type]],3)</f>
        <v>Bir</v>
      </c>
      <c r="O303" t="str">
        <f>UPPER(Table1[[#This Row],[Column2]])</f>
        <v>SHARMA</v>
      </c>
      <c r="P303">
        <f>LEN(Table1[[#This Row],[Visitor_Name]])</f>
        <v>5</v>
      </c>
      <c r="S303">
        <f>ROUND(Table1[[#This Row],[Rating]],0)</f>
        <v>5</v>
      </c>
      <c r="T303" t="s">
        <v>76</v>
      </c>
      <c r="U303" t="s">
        <v>62</v>
      </c>
      <c r="V303" s="5" t="s">
        <v>12</v>
      </c>
      <c r="W303">
        <v>156</v>
      </c>
    </row>
    <row r="304" spans="1:23" x14ac:dyDescent="0.25">
      <c r="A304">
        <v>1303</v>
      </c>
      <c r="B304" t="s">
        <v>79</v>
      </c>
      <c r="C304" t="s">
        <v>81</v>
      </c>
      <c r="D304" t="s">
        <v>19</v>
      </c>
      <c r="E304" s="1">
        <v>45407</v>
      </c>
      <c r="F304">
        <v>116</v>
      </c>
      <c r="G304" t="s">
        <v>25</v>
      </c>
      <c r="H304">
        <v>4.3</v>
      </c>
      <c r="I304">
        <v>186</v>
      </c>
      <c r="J304" t="s">
        <v>36</v>
      </c>
      <c r="L304" t="str" cm="1">
        <f t="array" ref="L304">_xlfn.IFS(H304&lt;=2,"bad",H304&lt;=2.5,"neutral",H304&gt;2.5,"good")</f>
        <v>good</v>
      </c>
      <c r="M304" t="str" cm="1">
        <f t="array" ref="M304">_xlfn.IFS(F304&lt;30,"short",F304&lt;90,"medium",F304&lt;180,"long",F304&gt;180,"very long")</f>
        <v>long</v>
      </c>
      <c r="N304" t="str">
        <f>LEFT(Table1[[#This Row],[Activity_Type]],3)</f>
        <v>Saf</v>
      </c>
      <c r="O304" t="str">
        <f>UPPER(Table1[[#This Row],[Column2]])</f>
        <v>PATEL</v>
      </c>
      <c r="P304">
        <f>LEN(Table1[[#This Row],[Visitor_Name]])</f>
        <v>5</v>
      </c>
      <c r="S304">
        <f>ROUND(Table1[[#This Row],[Rating]],0)</f>
        <v>4</v>
      </c>
      <c r="T304" t="s">
        <v>69</v>
      </c>
      <c r="U304" t="s">
        <v>58</v>
      </c>
      <c r="V304" s="5" t="s">
        <v>14</v>
      </c>
      <c r="W304">
        <v>165</v>
      </c>
    </row>
    <row r="305" spans="1:23" x14ac:dyDescent="0.25">
      <c r="A305">
        <v>1304</v>
      </c>
      <c r="B305" t="s">
        <v>82</v>
      </c>
      <c r="C305" t="s">
        <v>98</v>
      </c>
      <c r="D305" t="s">
        <v>23</v>
      </c>
      <c r="E305" s="1">
        <v>45540</v>
      </c>
      <c r="F305">
        <v>113</v>
      </c>
      <c r="G305" t="s">
        <v>26</v>
      </c>
      <c r="H305">
        <v>3.3</v>
      </c>
      <c r="I305">
        <v>157</v>
      </c>
      <c r="J305" t="s">
        <v>32</v>
      </c>
      <c r="L305" t="str" cm="1">
        <f t="array" ref="L305">_xlfn.IFS(H305&lt;=2,"bad",H305&lt;=2.5,"neutral",H305&gt;2.5,"good")</f>
        <v>good</v>
      </c>
      <c r="M305" t="str" cm="1">
        <f t="array" ref="M305">_xlfn.IFS(F305&lt;30,"short",F305&lt;90,"medium",F305&lt;180,"long",F305&gt;180,"very long")</f>
        <v>long</v>
      </c>
      <c r="N305" t="str">
        <f>LEFT(Table1[[#This Row],[Activity_Type]],3)</f>
        <v>Boa</v>
      </c>
      <c r="O305" t="str">
        <f>UPPER(Table1[[#This Row],[Column2]])</f>
        <v>REDDY</v>
      </c>
      <c r="P305">
        <f>LEN(Table1[[#This Row],[Visitor_Name]])</f>
        <v>5</v>
      </c>
      <c r="S305">
        <f>ROUND(Table1[[#This Row],[Rating]],0)</f>
        <v>3</v>
      </c>
      <c r="T305" t="s">
        <v>77</v>
      </c>
      <c r="U305" t="s">
        <v>59</v>
      </c>
      <c r="V305" s="5" t="s">
        <v>11</v>
      </c>
      <c r="W305">
        <v>166</v>
      </c>
    </row>
    <row r="306" spans="1:23" x14ac:dyDescent="0.25">
      <c r="A306">
        <v>1305</v>
      </c>
      <c r="B306" t="s">
        <v>86</v>
      </c>
      <c r="C306" t="s">
        <v>87</v>
      </c>
      <c r="D306" t="s">
        <v>20</v>
      </c>
      <c r="E306" s="1">
        <v>45437</v>
      </c>
      <c r="F306">
        <v>74</v>
      </c>
      <c r="G306" t="s">
        <v>27</v>
      </c>
      <c r="H306">
        <v>3.5</v>
      </c>
      <c r="I306">
        <v>304</v>
      </c>
      <c r="J306" t="s">
        <v>33</v>
      </c>
      <c r="L306" t="str" cm="1">
        <f t="array" ref="L306">_xlfn.IFS(H306&lt;=2,"bad",H306&lt;=2.5,"neutral",H306&gt;2.5,"good")</f>
        <v>good</v>
      </c>
      <c r="M306" t="str" cm="1">
        <f t="array" ref="M306">_xlfn.IFS(F306&lt;30,"short",F306&lt;90,"medium",F306&lt;180,"long",F306&gt;180,"very long")</f>
        <v>medium</v>
      </c>
      <c r="N306" t="str">
        <f>LEFT(Table1[[#This Row],[Activity_Type]],3)</f>
        <v>Hik</v>
      </c>
      <c r="O306" t="str">
        <f>UPPER(Table1[[#This Row],[Column2]])</f>
        <v>VERMA</v>
      </c>
      <c r="P306">
        <f>LEN(Table1[[#This Row],[Visitor_Name]])</f>
        <v>6</v>
      </c>
      <c r="S306">
        <f>ROUND(Table1[[#This Row],[Rating]],0)</f>
        <v>4</v>
      </c>
      <c r="T306" t="s">
        <v>72</v>
      </c>
      <c r="U306" t="s">
        <v>66</v>
      </c>
      <c r="V306" s="5" t="s">
        <v>11</v>
      </c>
      <c r="W306">
        <v>169</v>
      </c>
    </row>
    <row r="307" spans="1:23" x14ac:dyDescent="0.25">
      <c r="A307">
        <v>1306</v>
      </c>
      <c r="B307" t="s">
        <v>88</v>
      </c>
      <c r="C307" t="s">
        <v>87</v>
      </c>
      <c r="D307" t="s">
        <v>21</v>
      </c>
      <c r="E307" s="1">
        <v>45479</v>
      </c>
      <c r="F307">
        <v>237</v>
      </c>
      <c r="G307" t="s">
        <v>27</v>
      </c>
      <c r="H307">
        <v>4.8</v>
      </c>
      <c r="I307">
        <v>149</v>
      </c>
      <c r="J307" t="s">
        <v>31</v>
      </c>
      <c r="L307" t="str" cm="1">
        <f t="array" ref="L307">_xlfn.IFS(H307&lt;=2,"bad",H307&lt;=2.5,"neutral",H307&gt;2.5,"good")</f>
        <v>good</v>
      </c>
      <c r="M307" t="str" cm="1">
        <f t="array" ref="M307">_xlfn.IFS(F307&lt;30,"short",F307&lt;90,"medium",F307&lt;180,"long",F307&gt;180,"very long")</f>
        <v>very long</v>
      </c>
      <c r="N307" t="str">
        <f>LEFT(Table1[[#This Row],[Activity_Type]],3)</f>
        <v>Bir</v>
      </c>
      <c r="O307" t="str">
        <f>UPPER(Table1[[#This Row],[Column2]])</f>
        <v>VERMA</v>
      </c>
      <c r="P307">
        <f>LEN(Table1[[#This Row],[Visitor_Name]])</f>
        <v>6</v>
      </c>
      <c r="S307">
        <f>ROUND(Table1[[#This Row],[Rating]],0)</f>
        <v>5</v>
      </c>
      <c r="T307" t="s">
        <v>72</v>
      </c>
      <c r="U307" t="s">
        <v>67</v>
      </c>
      <c r="V307" s="5" t="s">
        <v>16</v>
      </c>
      <c r="W307">
        <v>178</v>
      </c>
    </row>
    <row r="308" spans="1:23" x14ac:dyDescent="0.25">
      <c r="A308">
        <v>1307</v>
      </c>
      <c r="B308" t="s">
        <v>90</v>
      </c>
      <c r="C308" t="s">
        <v>95</v>
      </c>
      <c r="D308" t="s">
        <v>20</v>
      </c>
      <c r="E308" s="1">
        <v>45347</v>
      </c>
      <c r="F308">
        <v>83</v>
      </c>
      <c r="G308" t="s">
        <v>25</v>
      </c>
      <c r="H308">
        <v>3.7</v>
      </c>
      <c r="I308">
        <v>397</v>
      </c>
      <c r="J308" t="s">
        <v>28</v>
      </c>
      <c r="L308" t="str" cm="1">
        <f t="array" ref="L308">_xlfn.IFS(H308&lt;=2,"bad",H308&lt;=2.5,"neutral",H308&gt;2.5,"good")</f>
        <v>good</v>
      </c>
      <c r="M308" t="str" cm="1">
        <f t="array" ref="M308">_xlfn.IFS(F308&lt;30,"short",F308&lt;90,"medium",F308&lt;180,"long",F308&gt;180,"very long")</f>
        <v>medium</v>
      </c>
      <c r="N308" t="str">
        <f>LEFT(Table1[[#This Row],[Activity_Type]],3)</f>
        <v>Hik</v>
      </c>
      <c r="O308" t="str">
        <f>UPPER(Table1[[#This Row],[Column2]])</f>
        <v>SINGH</v>
      </c>
      <c r="P308">
        <f>LEN(Table1[[#This Row],[Visitor_Name]])</f>
        <v>5</v>
      </c>
      <c r="S308">
        <f>ROUND(Table1[[#This Row],[Rating]],0)</f>
        <v>4</v>
      </c>
      <c r="T308" t="s">
        <v>75</v>
      </c>
      <c r="U308" t="s">
        <v>60</v>
      </c>
      <c r="V308" s="5" t="s">
        <v>16</v>
      </c>
      <c r="W308">
        <v>179</v>
      </c>
    </row>
    <row r="309" spans="1:23" x14ac:dyDescent="0.25">
      <c r="A309">
        <v>1308</v>
      </c>
      <c r="B309" t="s">
        <v>90</v>
      </c>
      <c r="C309" t="s">
        <v>85</v>
      </c>
      <c r="D309" t="s">
        <v>23</v>
      </c>
      <c r="E309" s="1">
        <v>45578</v>
      </c>
      <c r="F309">
        <v>113</v>
      </c>
      <c r="G309" t="s">
        <v>25</v>
      </c>
      <c r="H309">
        <v>3.6</v>
      </c>
      <c r="I309">
        <v>124</v>
      </c>
      <c r="J309" t="s">
        <v>36</v>
      </c>
      <c r="L309" t="str" cm="1">
        <f t="array" ref="L309">_xlfn.IFS(H309&lt;=2,"bad",H309&lt;=2.5,"neutral",H309&gt;2.5,"good")</f>
        <v>good</v>
      </c>
      <c r="M309" t="str" cm="1">
        <f t="array" ref="M309">_xlfn.IFS(F309&lt;30,"short",F309&lt;90,"medium",F309&lt;180,"long",F309&gt;180,"very long")</f>
        <v>long</v>
      </c>
      <c r="N309" t="str">
        <f>LEFT(Table1[[#This Row],[Activity_Type]],3)</f>
        <v>Boa</v>
      </c>
      <c r="O309" t="str">
        <f>UPPER(Table1[[#This Row],[Column2]])</f>
        <v>DAS</v>
      </c>
      <c r="P309">
        <f>LEN(Table1[[#This Row],[Visitor_Name]])</f>
        <v>5</v>
      </c>
      <c r="S309">
        <f>ROUND(Table1[[#This Row],[Rating]],0)</f>
        <v>4</v>
      </c>
      <c r="T309" t="s">
        <v>71</v>
      </c>
      <c r="U309" t="s">
        <v>60</v>
      </c>
      <c r="V309" s="5" t="s">
        <v>11</v>
      </c>
      <c r="W309">
        <v>198</v>
      </c>
    </row>
    <row r="310" spans="1:23" x14ac:dyDescent="0.25">
      <c r="A310">
        <v>1309</v>
      </c>
      <c r="B310" t="s">
        <v>86</v>
      </c>
      <c r="C310" t="s">
        <v>98</v>
      </c>
      <c r="D310" t="s">
        <v>20</v>
      </c>
      <c r="E310" s="1">
        <v>45634</v>
      </c>
      <c r="F310">
        <v>79</v>
      </c>
      <c r="G310" t="s">
        <v>26</v>
      </c>
      <c r="H310">
        <v>3.8</v>
      </c>
      <c r="I310">
        <v>115</v>
      </c>
      <c r="J310" t="s">
        <v>36</v>
      </c>
      <c r="L310" t="str" cm="1">
        <f t="array" ref="L310">_xlfn.IFS(H310&lt;=2,"bad",H310&lt;=2.5,"neutral",H310&gt;2.5,"good")</f>
        <v>good</v>
      </c>
      <c r="M310" t="str" cm="1">
        <f t="array" ref="M310">_xlfn.IFS(F310&lt;30,"short",F310&lt;90,"medium",F310&lt;180,"long",F310&gt;180,"very long")</f>
        <v>medium</v>
      </c>
      <c r="N310" t="str">
        <f>LEFT(Table1[[#This Row],[Activity_Type]],3)</f>
        <v>Hik</v>
      </c>
      <c r="O310" t="str">
        <f>UPPER(Table1[[#This Row],[Column2]])</f>
        <v>REDDY</v>
      </c>
      <c r="P310">
        <f>LEN(Table1[[#This Row],[Visitor_Name]])</f>
        <v>6</v>
      </c>
      <c r="S310">
        <f>ROUND(Table1[[#This Row],[Rating]],0)</f>
        <v>4</v>
      </c>
      <c r="T310" t="s">
        <v>77</v>
      </c>
      <c r="U310" t="s">
        <v>66</v>
      </c>
      <c r="V310" s="5" t="s">
        <v>10</v>
      </c>
      <c r="W310">
        <v>204</v>
      </c>
    </row>
    <row r="311" spans="1:23" x14ac:dyDescent="0.25">
      <c r="A311">
        <v>1310</v>
      </c>
      <c r="B311" t="s">
        <v>84</v>
      </c>
      <c r="C311" t="s">
        <v>87</v>
      </c>
      <c r="D311" t="s">
        <v>19</v>
      </c>
      <c r="E311" s="1">
        <v>45624</v>
      </c>
      <c r="F311">
        <v>179</v>
      </c>
      <c r="G311" t="s">
        <v>24</v>
      </c>
      <c r="H311">
        <v>4.5</v>
      </c>
      <c r="I311">
        <v>411</v>
      </c>
      <c r="J311" t="s">
        <v>35</v>
      </c>
      <c r="L311" t="str" cm="1">
        <f t="array" ref="L311">_xlfn.IFS(H311&lt;=2,"bad",H311&lt;=2.5,"neutral",H311&gt;2.5,"good")</f>
        <v>good</v>
      </c>
      <c r="M311" t="str" cm="1">
        <f t="array" ref="M311">_xlfn.IFS(F311&lt;30,"short",F311&lt;90,"medium",F311&lt;180,"long",F311&gt;180,"very long")</f>
        <v>long</v>
      </c>
      <c r="N311" t="str">
        <f>LEFT(Table1[[#This Row],[Activity_Type]],3)</f>
        <v>Saf</v>
      </c>
      <c r="O311" t="str">
        <f>UPPER(Table1[[#This Row],[Column2]])</f>
        <v>VERMA</v>
      </c>
      <c r="P311">
        <f>LEN(Table1[[#This Row],[Visitor_Name]])</f>
        <v>5</v>
      </c>
      <c r="S311">
        <f>ROUND(Table1[[#This Row],[Rating]],0)</f>
        <v>5</v>
      </c>
      <c r="T311" t="s">
        <v>72</v>
      </c>
      <c r="U311" t="s">
        <v>63</v>
      </c>
      <c r="V311" s="5" t="s">
        <v>15</v>
      </c>
      <c r="W311">
        <v>208</v>
      </c>
    </row>
    <row r="312" spans="1:23" x14ac:dyDescent="0.25">
      <c r="A312">
        <v>1311</v>
      </c>
      <c r="B312" t="s">
        <v>79</v>
      </c>
      <c r="C312" t="s">
        <v>80</v>
      </c>
      <c r="D312" t="s">
        <v>21</v>
      </c>
      <c r="E312" s="1">
        <v>45338</v>
      </c>
      <c r="F312">
        <v>137</v>
      </c>
      <c r="G312" t="s">
        <v>27</v>
      </c>
      <c r="H312">
        <v>4.3</v>
      </c>
      <c r="I312">
        <v>448</v>
      </c>
      <c r="J312" t="s">
        <v>29</v>
      </c>
      <c r="L312" t="str" cm="1">
        <f t="array" ref="L312">_xlfn.IFS(H312&lt;=2,"bad",H312&lt;=2.5,"neutral",H312&gt;2.5,"good")</f>
        <v>good</v>
      </c>
      <c r="M312" t="str" cm="1">
        <f t="array" ref="M312">_xlfn.IFS(F312&lt;30,"short",F312&lt;90,"medium",F312&lt;180,"long",F312&gt;180,"very long")</f>
        <v>long</v>
      </c>
      <c r="N312" t="str">
        <f>LEFT(Table1[[#This Row],[Activity_Type]],3)</f>
        <v>Bir</v>
      </c>
      <c r="O312" t="str">
        <f>UPPER(Table1[[#This Row],[Column2]])</f>
        <v>MEHTA</v>
      </c>
      <c r="P312">
        <f>LEN(Table1[[#This Row],[Visitor_Name]])</f>
        <v>5</v>
      </c>
      <c r="S312">
        <f>ROUND(Table1[[#This Row],[Rating]],0)</f>
        <v>4</v>
      </c>
      <c r="T312" t="s">
        <v>68</v>
      </c>
      <c r="U312" t="s">
        <v>58</v>
      </c>
      <c r="V312" s="5" t="s">
        <v>10</v>
      </c>
      <c r="W312">
        <v>216</v>
      </c>
    </row>
    <row r="313" spans="1:23" x14ac:dyDescent="0.25">
      <c r="A313">
        <v>1312</v>
      </c>
      <c r="B313" t="s">
        <v>79</v>
      </c>
      <c r="C313" t="s">
        <v>93</v>
      </c>
      <c r="D313" t="s">
        <v>23</v>
      </c>
      <c r="E313" s="1">
        <v>45325</v>
      </c>
      <c r="F313">
        <v>178</v>
      </c>
      <c r="G313" t="s">
        <v>24</v>
      </c>
      <c r="H313">
        <v>3</v>
      </c>
      <c r="I313">
        <v>247</v>
      </c>
      <c r="J313" t="s">
        <v>31</v>
      </c>
      <c r="L313" t="str" cm="1">
        <f t="array" ref="L313">_xlfn.IFS(H313&lt;=2,"bad",H313&lt;=2.5,"neutral",H313&gt;2.5,"good")</f>
        <v>good</v>
      </c>
      <c r="M313" t="str" cm="1">
        <f t="array" ref="M313">_xlfn.IFS(F313&lt;30,"short",F313&lt;90,"medium",F313&lt;180,"long",F313&gt;180,"very long")</f>
        <v>long</v>
      </c>
      <c r="N313" t="str">
        <f>LEFT(Table1[[#This Row],[Activity_Type]],3)</f>
        <v>Boa</v>
      </c>
      <c r="O313" t="str">
        <f>UPPER(Table1[[#This Row],[Column2]])</f>
        <v>IYER</v>
      </c>
      <c r="P313">
        <f>LEN(Table1[[#This Row],[Visitor_Name]])</f>
        <v>5</v>
      </c>
      <c r="S313">
        <f>ROUND(Table1[[#This Row],[Rating]],0)</f>
        <v>3</v>
      </c>
      <c r="T313" t="s">
        <v>74</v>
      </c>
      <c r="U313" t="s">
        <v>58</v>
      </c>
      <c r="V313" s="5" t="s">
        <v>16</v>
      </c>
      <c r="W313">
        <v>219</v>
      </c>
    </row>
    <row r="314" spans="1:23" x14ac:dyDescent="0.25">
      <c r="A314">
        <v>1313</v>
      </c>
      <c r="B314" t="s">
        <v>86</v>
      </c>
      <c r="C314" t="s">
        <v>83</v>
      </c>
      <c r="D314" t="s">
        <v>23</v>
      </c>
      <c r="E314" s="1">
        <v>45331</v>
      </c>
      <c r="F314">
        <v>204</v>
      </c>
      <c r="G314" t="s">
        <v>24</v>
      </c>
      <c r="H314">
        <v>4.0999999999999996</v>
      </c>
      <c r="I314">
        <v>237</v>
      </c>
      <c r="J314" t="s">
        <v>34</v>
      </c>
      <c r="L314" t="str" cm="1">
        <f t="array" ref="L314">_xlfn.IFS(H314&lt;=2,"bad",H314&lt;=2.5,"neutral",H314&gt;2.5,"good")</f>
        <v>good</v>
      </c>
      <c r="M314" t="str" cm="1">
        <f t="array" ref="M314">_xlfn.IFS(F314&lt;30,"short",F314&lt;90,"medium",F314&lt;180,"long",F314&gt;180,"very long")</f>
        <v>very long</v>
      </c>
      <c r="N314" t="str">
        <f>LEFT(Table1[[#This Row],[Activity_Type]],3)</f>
        <v>Boa</v>
      </c>
      <c r="O314" t="str">
        <f>UPPER(Table1[[#This Row],[Column2]])</f>
        <v>NAIR</v>
      </c>
      <c r="P314">
        <f>LEN(Table1[[#This Row],[Visitor_Name]])</f>
        <v>6</v>
      </c>
      <c r="S314">
        <f>ROUND(Table1[[#This Row],[Rating]],0)</f>
        <v>4</v>
      </c>
      <c r="T314" t="s">
        <v>70</v>
      </c>
      <c r="U314" t="s">
        <v>66</v>
      </c>
      <c r="V314" s="5" t="s">
        <v>11</v>
      </c>
      <c r="W314">
        <v>223</v>
      </c>
    </row>
    <row r="315" spans="1:23" x14ac:dyDescent="0.25">
      <c r="A315">
        <v>1314</v>
      </c>
      <c r="B315" t="s">
        <v>90</v>
      </c>
      <c r="C315" t="s">
        <v>81</v>
      </c>
      <c r="D315" t="s">
        <v>19</v>
      </c>
      <c r="E315" s="1">
        <v>45294</v>
      </c>
      <c r="F315">
        <v>165</v>
      </c>
      <c r="G315" t="s">
        <v>24</v>
      </c>
      <c r="H315">
        <v>4.5</v>
      </c>
      <c r="I315">
        <v>124</v>
      </c>
      <c r="J315" t="s">
        <v>36</v>
      </c>
      <c r="L315" t="str" cm="1">
        <f t="array" ref="L315">_xlfn.IFS(H315&lt;=2,"bad",H315&lt;=2.5,"neutral",H315&gt;2.5,"good")</f>
        <v>good</v>
      </c>
      <c r="M315" t="str" cm="1">
        <f t="array" ref="M315">_xlfn.IFS(F315&lt;30,"short",F315&lt;90,"medium",F315&lt;180,"long",F315&gt;180,"very long")</f>
        <v>long</v>
      </c>
      <c r="N315" t="str">
        <f>LEFT(Table1[[#This Row],[Activity_Type]],3)</f>
        <v>Saf</v>
      </c>
      <c r="O315" t="str">
        <f>UPPER(Table1[[#This Row],[Column2]])</f>
        <v>PATEL</v>
      </c>
      <c r="P315">
        <f>LEN(Table1[[#This Row],[Visitor_Name]])</f>
        <v>5</v>
      </c>
      <c r="S315">
        <f>ROUND(Table1[[#This Row],[Rating]],0)</f>
        <v>5</v>
      </c>
      <c r="T315" t="s">
        <v>69</v>
      </c>
      <c r="U315" t="s">
        <v>60</v>
      </c>
      <c r="V315" s="5" t="s">
        <v>11</v>
      </c>
      <c r="W315">
        <v>227</v>
      </c>
    </row>
    <row r="316" spans="1:23" x14ac:dyDescent="0.25">
      <c r="A316">
        <v>1315</v>
      </c>
      <c r="B316" t="s">
        <v>79</v>
      </c>
      <c r="C316" t="s">
        <v>87</v>
      </c>
      <c r="D316" t="s">
        <v>21</v>
      </c>
      <c r="E316" s="1">
        <v>45632</v>
      </c>
      <c r="F316">
        <v>49</v>
      </c>
      <c r="G316" t="s">
        <v>26</v>
      </c>
      <c r="H316">
        <v>3.7</v>
      </c>
      <c r="I316">
        <v>365</v>
      </c>
      <c r="J316" t="s">
        <v>32</v>
      </c>
      <c r="L316" t="str" cm="1">
        <f t="array" ref="L316">_xlfn.IFS(H316&lt;=2,"bad",H316&lt;=2.5,"neutral",H316&gt;2.5,"good")</f>
        <v>good</v>
      </c>
      <c r="M316" t="str" cm="1">
        <f t="array" ref="M316">_xlfn.IFS(F316&lt;30,"short",F316&lt;90,"medium",F316&lt;180,"long",F316&gt;180,"very long")</f>
        <v>medium</v>
      </c>
      <c r="N316" t="str">
        <f>LEFT(Table1[[#This Row],[Activity_Type]],3)</f>
        <v>Bir</v>
      </c>
      <c r="O316" t="str">
        <f>UPPER(Table1[[#This Row],[Column2]])</f>
        <v>VERMA</v>
      </c>
      <c r="P316">
        <f>LEN(Table1[[#This Row],[Visitor_Name]])</f>
        <v>5</v>
      </c>
      <c r="S316">
        <f>ROUND(Table1[[#This Row],[Rating]],0)</f>
        <v>4</v>
      </c>
      <c r="T316" t="s">
        <v>72</v>
      </c>
      <c r="U316" t="s">
        <v>58</v>
      </c>
      <c r="V316" s="5" t="s">
        <v>14</v>
      </c>
      <c r="W316">
        <v>235</v>
      </c>
    </row>
    <row r="317" spans="1:23" x14ac:dyDescent="0.25">
      <c r="A317">
        <v>1316</v>
      </c>
      <c r="B317" t="s">
        <v>91</v>
      </c>
      <c r="C317" t="s">
        <v>83</v>
      </c>
      <c r="D317" t="s">
        <v>18</v>
      </c>
      <c r="E317" s="1">
        <v>45333</v>
      </c>
      <c r="F317">
        <v>149</v>
      </c>
      <c r="G317" t="s">
        <v>26</v>
      </c>
      <c r="H317">
        <v>4.5999999999999996</v>
      </c>
      <c r="I317">
        <v>153</v>
      </c>
      <c r="J317" t="s">
        <v>35</v>
      </c>
      <c r="L317" t="str" cm="1">
        <f t="array" ref="L317">_xlfn.IFS(H317&lt;=2,"bad",H317&lt;=2.5,"neutral",H317&gt;2.5,"good")</f>
        <v>good</v>
      </c>
      <c r="M317" t="str" cm="1">
        <f t="array" ref="M317">_xlfn.IFS(F317&lt;30,"short",F317&lt;90,"medium",F317&lt;180,"long",F317&gt;180,"very long")</f>
        <v>long</v>
      </c>
      <c r="N317" t="str">
        <f>LEFT(Table1[[#This Row],[Activity_Type]],3)</f>
        <v>Pho</v>
      </c>
      <c r="O317" t="str">
        <f>UPPER(Table1[[#This Row],[Column2]])</f>
        <v>NAIR</v>
      </c>
      <c r="P317">
        <f>LEN(Table1[[#This Row],[Visitor_Name]])</f>
        <v>5</v>
      </c>
      <c r="S317">
        <f>ROUND(Table1[[#This Row],[Rating]],0)</f>
        <v>5</v>
      </c>
      <c r="T317" t="s">
        <v>70</v>
      </c>
      <c r="U317" t="s">
        <v>61</v>
      </c>
      <c r="V317" s="5" t="s">
        <v>10</v>
      </c>
      <c r="W317">
        <v>237</v>
      </c>
    </row>
    <row r="318" spans="1:23" x14ac:dyDescent="0.25">
      <c r="A318">
        <v>1317</v>
      </c>
      <c r="B318" t="s">
        <v>84</v>
      </c>
      <c r="C318" t="s">
        <v>83</v>
      </c>
      <c r="D318" t="s">
        <v>22</v>
      </c>
      <c r="E318" s="1">
        <v>45480</v>
      </c>
      <c r="F318">
        <v>125</v>
      </c>
      <c r="G318" t="s">
        <v>26</v>
      </c>
      <c r="H318">
        <v>2.8</v>
      </c>
      <c r="I318">
        <v>294</v>
      </c>
      <c r="J318" t="s">
        <v>36</v>
      </c>
      <c r="L318" t="str" cm="1">
        <f t="array" ref="L318">_xlfn.IFS(H318&lt;=2,"bad",H318&lt;=2.5,"neutral",H318&gt;2.5,"good")</f>
        <v>good</v>
      </c>
      <c r="M318" t="str" cm="1">
        <f t="array" ref="M318">_xlfn.IFS(F318&lt;30,"short",F318&lt;90,"medium",F318&lt;180,"long",F318&gt;180,"very long")</f>
        <v>long</v>
      </c>
      <c r="N318" t="str">
        <f>LEFT(Table1[[#This Row],[Activity_Type]],3)</f>
        <v>Cam</v>
      </c>
      <c r="O318" t="str">
        <f>UPPER(Table1[[#This Row],[Column2]])</f>
        <v>NAIR</v>
      </c>
      <c r="P318">
        <f>LEN(Table1[[#This Row],[Visitor_Name]])</f>
        <v>5</v>
      </c>
      <c r="S318">
        <f>ROUND(Table1[[#This Row],[Rating]],0)</f>
        <v>3</v>
      </c>
      <c r="T318" t="s">
        <v>70</v>
      </c>
      <c r="U318" t="s">
        <v>63</v>
      </c>
      <c r="V318" s="5" t="s">
        <v>14</v>
      </c>
      <c r="W318">
        <v>240</v>
      </c>
    </row>
    <row r="319" spans="1:23" x14ac:dyDescent="0.25">
      <c r="A319">
        <v>1318</v>
      </c>
      <c r="B319" t="s">
        <v>94</v>
      </c>
      <c r="C319" t="s">
        <v>83</v>
      </c>
      <c r="D319" t="s">
        <v>21</v>
      </c>
      <c r="E319" s="1">
        <v>45379</v>
      </c>
      <c r="F319">
        <v>41</v>
      </c>
      <c r="G319" t="s">
        <v>25</v>
      </c>
      <c r="H319">
        <v>3</v>
      </c>
      <c r="I319">
        <v>299</v>
      </c>
      <c r="J319" t="s">
        <v>33</v>
      </c>
      <c r="L319" t="str" cm="1">
        <f t="array" ref="L319">_xlfn.IFS(H319&lt;=2,"bad",H319&lt;=2.5,"neutral",H319&gt;2.5,"good")</f>
        <v>good</v>
      </c>
      <c r="M319" t="str" cm="1">
        <f t="array" ref="M319">_xlfn.IFS(F319&lt;30,"short",F319&lt;90,"medium",F319&lt;180,"long",F319&gt;180,"very long")</f>
        <v>medium</v>
      </c>
      <c r="N319" t="str">
        <f>LEFT(Table1[[#This Row],[Activity_Type]],3)</f>
        <v>Bir</v>
      </c>
      <c r="O319" t="str">
        <f>UPPER(Table1[[#This Row],[Column2]])</f>
        <v>NAIR</v>
      </c>
      <c r="P319">
        <f>LEN(Table1[[#This Row],[Visitor_Name]])</f>
        <v>5</v>
      </c>
      <c r="S319">
        <f>ROUND(Table1[[#This Row],[Rating]],0)</f>
        <v>3</v>
      </c>
      <c r="T319" t="s">
        <v>70</v>
      </c>
      <c r="U319" t="s">
        <v>64</v>
      </c>
      <c r="V319" s="5" t="s">
        <v>10</v>
      </c>
      <c r="W319">
        <v>21</v>
      </c>
    </row>
    <row r="320" spans="1:23" x14ac:dyDescent="0.25">
      <c r="A320">
        <v>1319</v>
      </c>
      <c r="B320" t="s">
        <v>91</v>
      </c>
      <c r="C320" t="s">
        <v>85</v>
      </c>
      <c r="D320" t="s">
        <v>19</v>
      </c>
      <c r="E320" s="1">
        <v>45580</v>
      </c>
      <c r="F320">
        <v>174</v>
      </c>
      <c r="G320" t="s">
        <v>27</v>
      </c>
      <c r="H320">
        <v>2.5</v>
      </c>
      <c r="I320">
        <v>402</v>
      </c>
      <c r="J320" t="s">
        <v>28</v>
      </c>
      <c r="L320" t="str" cm="1">
        <f t="array" ref="L320">_xlfn.IFS(H320&lt;=2,"bad",H320&lt;=2.5,"neutral",H320&gt;2.5,"good")</f>
        <v>neutral</v>
      </c>
      <c r="M320" t="str" cm="1">
        <f t="array" ref="M320">_xlfn.IFS(F320&lt;30,"short",F320&lt;90,"medium",F320&lt;180,"long",F320&gt;180,"very long")</f>
        <v>long</v>
      </c>
      <c r="N320" t="str">
        <f>LEFT(Table1[[#This Row],[Activity_Type]],3)</f>
        <v>Saf</v>
      </c>
      <c r="O320" t="str">
        <f>UPPER(Table1[[#This Row],[Column2]])</f>
        <v>DAS</v>
      </c>
      <c r="P320">
        <f>LEN(Table1[[#This Row],[Visitor_Name]])</f>
        <v>5</v>
      </c>
      <c r="S320">
        <f>ROUND(Table1[[#This Row],[Rating]],0)</f>
        <v>3</v>
      </c>
      <c r="T320" t="s">
        <v>71</v>
      </c>
      <c r="U320" t="s">
        <v>61</v>
      </c>
      <c r="V320" s="5" t="s">
        <v>17</v>
      </c>
      <c r="W320">
        <v>22</v>
      </c>
    </row>
    <row r="321" spans="1:23" x14ac:dyDescent="0.25">
      <c r="A321">
        <v>1320</v>
      </c>
      <c r="B321" t="s">
        <v>91</v>
      </c>
      <c r="C321" t="s">
        <v>83</v>
      </c>
      <c r="D321" t="s">
        <v>19</v>
      </c>
      <c r="E321" s="1">
        <v>45569</v>
      </c>
      <c r="F321">
        <v>200</v>
      </c>
      <c r="G321" t="s">
        <v>25</v>
      </c>
      <c r="H321">
        <v>2.6</v>
      </c>
      <c r="I321">
        <v>415</v>
      </c>
      <c r="J321" t="s">
        <v>35</v>
      </c>
      <c r="L321" t="str" cm="1">
        <f t="array" ref="L321">_xlfn.IFS(H321&lt;=2,"bad",H321&lt;=2.5,"neutral",H321&gt;2.5,"good")</f>
        <v>good</v>
      </c>
      <c r="M321" t="str" cm="1">
        <f t="array" ref="M321">_xlfn.IFS(F321&lt;30,"short",F321&lt;90,"medium",F321&lt;180,"long",F321&gt;180,"very long")</f>
        <v>very long</v>
      </c>
      <c r="N321" t="str">
        <f>LEFT(Table1[[#This Row],[Activity_Type]],3)</f>
        <v>Saf</v>
      </c>
      <c r="O321" t="str">
        <f>UPPER(Table1[[#This Row],[Column2]])</f>
        <v>NAIR</v>
      </c>
      <c r="P321">
        <f>LEN(Table1[[#This Row],[Visitor_Name]])</f>
        <v>5</v>
      </c>
      <c r="S321">
        <f>ROUND(Table1[[#This Row],[Rating]],0)</f>
        <v>3</v>
      </c>
      <c r="T321" t="s">
        <v>70</v>
      </c>
      <c r="U321" t="s">
        <v>61</v>
      </c>
      <c r="V321" s="5" t="s">
        <v>11</v>
      </c>
      <c r="W321">
        <v>24</v>
      </c>
    </row>
    <row r="322" spans="1:23" x14ac:dyDescent="0.25">
      <c r="A322">
        <v>1321</v>
      </c>
      <c r="B322" t="s">
        <v>88</v>
      </c>
      <c r="C322" t="s">
        <v>85</v>
      </c>
      <c r="D322" t="s">
        <v>18</v>
      </c>
      <c r="E322" s="1">
        <v>45360</v>
      </c>
      <c r="F322">
        <v>181</v>
      </c>
      <c r="G322" t="s">
        <v>27</v>
      </c>
      <c r="H322">
        <v>2.6</v>
      </c>
      <c r="I322">
        <v>432</v>
      </c>
      <c r="J322" t="s">
        <v>33</v>
      </c>
      <c r="L322" t="str" cm="1">
        <f t="array" ref="L322">_xlfn.IFS(H322&lt;=2,"bad",H322&lt;=2.5,"neutral",H322&gt;2.5,"good")</f>
        <v>good</v>
      </c>
      <c r="M322" t="str" cm="1">
        <f t="array" ref="M322">_xlfn.IFS(F322&lt;30,"short",F322&lt;90,"medium",F322&lt;180,"long",F322&gt;180,"very long")</f>
        <v>very long</v>
      </c>
      <c r="N322" t="str">
        <f>LEFT(Table1[[#This Row],[Activity_Type]],3)</f>
        <v>Pho</v>
      </c>
      <c r="O322" t="str">
        <f>UPPER(Table1[[#This Row],[Column2]])</f>
        <v>DAS</v>
      </c>
      <c r="P322">
        <f>LEN(Table1[[#This Row],[Visitor_Name]])</f>
        <v>6</v>
      </c>
      <c r="S322">
        <f>ROUND(Table1[[#This Row],[Rating]],0)</f>
        <v>3</v>
      </c>
      <c r="T322" t="s">
        <v>71</v>
      </c>
      <c r="U322" t="s">
        <v>67</v>
      </c>
      <c r="V322" s="5" t="s">
        <v>14</v>
      </c>
      <c r="W322">
        <v>32</v>
      </c>
    </row>
    <row r="323" spans="1:23" x14ac:dyDescent="0.25">
      <c r="A323">
        <v>1322</v>
      </c>
      <c r="B323" t="s">
        <v>92</v>
      </c>
      <c r="C323" t="s">
        <v>83</v>
      </c>
      <c r="D323" t="s">
        <v>18</v>
      </c>
      <c r="E323" s="1">
        <v>45602</v>
      </c>
      <c r="F323">
        <v>87</v>
      </c>
      <c r="G323" t="s">
        <v>25</v>
      </c>
      <c r="H323">
        <v>4.2</v>
      </c>
      <c r="I323">
        <v>233</v>
      </c>
      <c r="J323" t="s">
        <v>37</v>
      </c>
      <c r="L323" t="str" cm="1">
        <f t="array" ref="L323">_xlfn.IFS(H323&lt;=2,"bad",H323&lt;=2.5,"neutral",H323&gt;2.5,"good")</f>
        <v>good</v>
      </c>
      <c r="M323" t="str" cm="1">
        <f t="array" ref="M323">_xlfn.IFS(F323&lt;30,"short",F323&lt;90,"medium",F323&lt;180,"long",F323&gt;180,"very long")</f>
        <v>medium</v>
      </c>
      <c r="N323" t="str">
        <f>LEFT(Table1[[#This Row],[Activity_Type]],3)</f>
        <v>Pho</v>
      </c>
      <c r="O323" t="str">
        <f>UPPER(Table1[[#This Row],[Column2]])</f>
        <v>NAIR</v>
      </c>
      <c r="P323">
        <f>LEN(Table1[[#This Row],[Visitor_Name]])</f>
        <v>5</v>
      </c>
      <c r="S323">
        <f>ROUND(Table1[[#This Row],[Rating]],0)</f>
        <v>4</v>
      </c>
      <c r="T323" t="s">
        <v>70</v>
      </c>
      <c r="U323" t="s">
        <v>62</v>
      </c>
      <c r="V323" s="5" t="s">
        <v>11</v>
      </c>
      <c r="W323">
        <v>35</v>
      </c>
    </row>
    <row r="324" spans="1:23" x14ac:dyDescent="0.25">
      <c r="A324">
        <v>1323</v>
      </c>
      <c r="B324" t="s">
        <v>79</v>
      </c>
      <c r="C324" t="s">
        <v>96</v>
      </c>
      <c r="D324" t="s">
        <v>22</v>
      </c>
      <c r="E324" s="1">
        <v>45652</v>
      </c>
      <c r="F324">
        <v>89</v>
      </c>
      <c r="G324" t="s">
        <v>25</v>
      </c>
      <c r="H324">
        <v>3.5</v>
      </c>
      <c r="I324">
        <v>326</v>
      </c>
      <c r="J324" t="s">
        <v>33</v>
      </c>
      <c r="L324" t="str" cm="1">
        <f t="array" ref="L324">_xlfn.IFS(H324&lt;=2,"bad",H324&lt;=2.5,"neutral",H324&gt;2.5,"good")</f>
        <v>good</v>
      </c>
      <c r="M324" t="str" cm="1">
        <f t="array" ref="M324">_xlfn.IFS(F324&lt;30,"short",F324&lt;90,"medium",F324&lt;180,"long",F324&gt;180,"very long")</f>
        <v>medium</v>
      </c>
      <c r="N324" t="str">
        <f>LEFT(Table1[[#This Row],[Activity_Type]],3)</f>
        <v>Cam</v>
      </c>
      <c r="O324" t="str">
        <f>UPPER(Table1[[#This Row],[Column2]])</f>
        <v>SHARMA</v>
      </c>
      <c r="P324">
        <f>LEN(Table1[[#This Row],[Visitor_Name]])</f>
        <v>5</v>
      </c>
      <c r="S324">
        <f>ROUND(Table1[[#This Row],[Rating]],0)</f>
        <v>4</v>
      </c>
      <c r="T324" t="s">
        <v>76</v>
      </c>
      <c r="U324" t="s">
        <v>58</v>
      </c>
      <c r="V324" s="5" t="s">
        <v>13</v>
      </c>
      <c r="W324">
        <v>36</v>
      </c>
    </row>
    <row r="325" spans="1:23" x14ac:dyDescent="0.25">
      <c r="A325">
        <v>1324</v>
      </c>
      <c r="B325" t="s">
        <v>91</v>
      </c>
      <c r="C325" t="s">
        <v>80</v>
      </c>
      <c r="D325" t="s">
        <v>20</v>
      </c>
      <c r="E325" s="1">
        <v>45322</v>
      </c>
      <c r="F325">
        <v>24</v>
      </c>
      <c r="G325" t="s">
        <v>25</v>
      </c>
      <c r="H325">
        <v>3.8</v>
      </c>
      <c r="I325">
        <v>316</v>
      </c>
      <c r="J325" t="s">
        <v>31</v>
      </c>
      <c r="L325" t="str" cm="1">
        <f t="array" ref="L325">_xlfn.IFS(H325&lt;=2,"bad",H325&lt;=2.5,"neutral",H325&gt;2.5,"good")</f>
        <v>good</v>
      </c>
      <c r="M325" t="str" cm="1">
        <f t="array" ref="M325">_xlfn.IFS(F325&lt;30,"short",F325&lt;90,"medium",F325&lt;180,"long",F325&gt;180,"very long")</f>
        <v>short</v>
      </c>
      <c r="N325" t="str">
        <f>LEFT(Table1[[#This Row],[Activity_Type]],3)</f>
        <v>Hik</v>
      </c>
      <c r="O325" t="str">
        <f>UPPER(Table1[[#This Row],[Column2]])</f>
        <v>MEHTA</v>
      </c>
      <c r="P325">
        <f>LEN(Table1[[#This Row],[Visitor_Name]])</f>
        <v>5</v>
      </c>
      <c r="S325">
        <f>ROUND(Table1[[#This Row],[Rating]],0)</f>
        <v>4</v>
      </c>
      <c r="T325" t="s">
        <v>68</v>
      </c>
      <c r="U325" t="s">
        <v>61</v>
      </c>
      <c r="V325" s="5" t="s">
        <v>12</v>
      </c>
      <c r="W325">
        <v>41</v>
      </c>
    </row>
    <row r="326" spans="1:23" x14ac:dyDescent="0.25">
      <c r="A326">
        <v>1325</v>
      </c>
      <c r="B326" t="s">
        <v>94</v>
      </c>
      <c r="C326" t="s">
        <v>93</v>
      </c>
      <c r="D326" t="s">
        <v>18</v>
      </c>
      <c r="E326" s="1">
        <v>45349</v>
      </c>
      <c r="F326">
        <v>47</v>
      </c>
      <c r="G326" t="s">
        <v>24</v>
      </c>
      <c r="H326">
        <v>3.4</v>
      </c>
      <c r="I326">
        <v>196</v>
      </c>
      <c r="J326" t="s">
        <v>30</v>
      </c>
      <c r="L326" t="str" cm="1">
        <f t="array" ref="L326">_xlfn.IFS(H326&lt;=2,"bad",H326&lt;=2.5,"neutral",H326&gt;2.5,"good")</f>
        <v>good</v>
      </c>
      <c r="M326" t="str" cm="1">
        <f t="array" ref="M326">_xlfn.IFS(F326&lt;30,"short",F326&lt;90,"medium",F326&lt;180,"long",F326&gt;180,"very long")</f>
        <v>medium</v>
      </c>
      <c r="N326" t="str">
        <f>LEFT(Table1[[#This Row],[Activity_Type]],3)</f>
        <v>Pho</v>
      </c>
      <c r="O326" t="str">
        <f>UPPER(Table1[[#This Row],[Column2]])</f>
        <v>IYER</v>
      </c>
      <c r="P326">
        <f>LEN(Table1[[#This Row],[Visitor_Name]])</f>
        <v>5</v>
      </c>
      <c r="S326">
        <f>ROUND(Table1[[#This Row],[Rating]],0)</f>
        <v>3</v>
      </c>
      <c r="T326" t="s">
        <v>74</v>
      </c>
      <c r="U326" t="s">
        <v>64</v>
      </c>
      <c r="V326" s="5" t="s">
        <v>14</v>
      </c>
      <c r="W326">
        <v>47</v>
      </c>
    </row>
    <row r="327" spans="1:23" x14ac:dyDescent="0.25">
      <c r="A327">
        <v>1326</v>
      </c>
      <c r="B327" t="s">
        <v>91</v>
      </c>
      <c r="C327" t="s">
        <v>93</v>
      </c>
      <c r="D327" t="s">
        <v>22</v>
      </c>
      <c r="E327" s="1">
        <v>45524</v>
      </c>
      <c r="F327">
        <v>227</v>
      </c>
      <c r="G327" t="s">
        <v>25</v>
      </c>
      <c r="H327">
        <v>5</v>
      </c>
      <c r="I327">
        <v>412</v>
      </c>
      <c r="J327" t="s">
        <v>31</v>
      </c>
      <c r="L327" t="str" cm="1">
        <f t="array" ref="L327">_xlfn.IFS(H327&lt;=2,"bad",H327&lt;=2.5,"neutral",H327&gt;2.5,"good")</f>
        <v>good</v>
      </c>
      <c r="M327" t="str" cm="1">
        <f t="array" ref="M327">_xlfn.IFS(F327&lt;30,"short",F327&lt;90,"medium",F327&lt;180,"long",F327&gt;180,"very long")</f>
        <v>very long</v>
      </c>
      <c r="N327" t="str">
        <f>LEFT(Table1[[#This Row],[Activity_Type]],3)</f>
        <v>Cam</v>
      </c>
      <c r="O327" t="str">
        <f>UPPER(Table1[[#This Row],[Column2]])</f>
        <v>IYER</v>
      </c>
      <c r="P327">
        <f>LEN(Table1[[#This Row],[Visitor_Name]])</f>
        <v>5</v>
      </c>
      <c r="S327">
        <f>ROUND(Table1[[#This Row],[Rating]],0)</f>
        <v>5</v>
      </c>
      <c r="T327" t="s">
        <v>74</v>
      </c>
      <c r="U327" t="s">
        <v>61</v>
      </c>
      <c r="V327" s="5" t="s">
        <v>13</v>
      </c>
      <c r="W327">
        <v>49</v>
      </c>
    </row>
    <row r="328" spans="1:23" x14ac:dyDescent="0.25">
      <c r="A328">
        <v>1327</v>
      </c>
      <c r="B328" t="s">
        <v>84</v>
      </c>
      <c r="C328" t="s">
        <v>85</v>
      </c>
      <c r="D328" t="s">
        <v>21</v>
      </c>
      <c r="E328" s="1">
        <v>45477</v>
      </c>
      <c r="F328">
        <v>222</v>
      </c>
      <c r="G328" t="s">
        <v>26</v>
      </c>
      <c r="H328">
        <v>3</v>
      </c>
      <c r="I328">
        <v>228</v>
      </c>
      <c r="J328" t="s">
        <v>33</v>
      </c>
      <c r="L328" t="str" cm="1">
        <f t="array" ref="L328">_xlfn.IFS(H328&lt;=2,"bad",H328&lt;=2.5,"neutral",H328&gt;2.5,"good")</f>
        <v>good</v>
      </c>
      <c r="M328" t="str" cm="1">
        <f t="array" ref="M328">_xlfn.IFS(F328&lt;30,"short",F328&lt;90,"medium",F328&lt;180,"long",F328&gt;180,"very long")</f>
        <v>very long</v>
      </c>
      <c r="N328" t="str">
        <f>LEFT(Table1[[#This Row],[Activity_Type]],3)</f>
        <v>Bir</v>
      </c>
      <c r="O328" t="str">
        <f>UPPER(Table1[[#This Row],[Column2]])</f>
        <v>DAS</v>
      </c>
      <c r="P328">
        <f>LEN(Table1[[#This Row],[Visitor_Name]])</f>
        <v>5</v>
      </c>
      <c r="S328">
        <f>ROUND(Table1[[#This Row],[Rating]],0)</f>
        <v>3</v>
      </c>
      <c r="T328" t="s">
        <v>71</v>
      </c>
      <c r="U328" t="s">
        <v>63</v>
      </c>
      <c r="V328" s="5" t="s">
        <v>13</v>
      </c>
      <c r="W328">
        <v>50</v>
      </c>
    </row>
    <row r="329" spans="1:23" x14ac:dyDescent="0.25">
      <c r="A329">
        <v>1328</v>
      </c>
      <c r="B329" t="s">
        <v>82</v>
      </c>
      <c r="C329" t="s">
        <v>85</v>
      </c>
      <c r="D329" t="s">
        <v>18</v>
      </c>
      <c r="E329" s="1">
        <v>45405</v>
      </c>
      <c r="F329">
        <v>73</v>
      </c>
      <c r="G329" t="s">
        <v>25</v>
      </c>
      <c r="H329">
        <v>4.8</v>
      </c>
      <c r="I329">
        <v>291</v>
      </c>
      <c r="J329" t="s">
        <v>36</v>
      </c>
      <c r="L329" t="str" cm="1">
        <f t="array" ref="L329">_xlfn.IFS(H329&lt;=2,"bad",H329&lt;=2.5,"neutral",H329&gt;2.5,"good")</f>
        <v>good</v>
      </c>
      <c r="M329" t="str" cm="1">
        <f t="array" ref="M329">_xlfn.IFS(F329&lt;30,"short",F329&lt;90,"medium",F329&lt;180,"long",F329&gt;180,"very long")</f>
        <v>medium</v>
      </c>
      <c r="N329" t="str">
        <f>LEFT(Table1[[#This Row],[Activity_Type]],3)</f>
        <v>Pho</v>
      </c>
      <c r="O329" t="str">
        <f>UPPER(Table1[[#This Row],[Column2]])</f>
        <v>DAS</v>
      </c>
      <c r="P329">
        <f>LEN(Table1[[#This Row],[Visitor_Name]])</f>
        <v>5</v>
      </c>
      <c r="S329">
        <f>ROUND(Table1[[#This Row],[Rating]],0)</f>
        <v>5</v>
      </c>
      <c r="T329" t="s">
        <v>71</v>
      </c>
      <c r="U329" t="s">
        <v>59</v>
      </c>
      <c r="V329" s="5" t="s">
        <v>10</v>
      </c>
      <c r="W329">
        <v>58</v>
      </c>
    </row>
    <row r="330" spans="1:23" x14ac:dyDescent="0.25">
      <c r="A330">
        <v>1329</v>
      </c>
      <c r="B330" t="s">
        <v>88</v>
      </c>
      <c r="C330" t="s">
        <v>93</v>
      </c>
      <c r="D330" t="s">
        <v>22</v>
      </c>
      <c r="E330" s="1">
        <v>45631</v>
      </c>
      <c r="F330">
        <v>174</v>
      </c>
      <c r="G330" t="s">
        <v>25</v>
      </c>
      <c r="H330">
        <v>4.8</v>
      </c>
      <c r="I330">
        <v>481</v>
      </c>
      <c r="J330" t="s">
        <v>37</v>
      </c>
      <c r="L330" t="str" cm="1">
        <f t="array" ref="L330">_xlfn.IFS(H330&lt;=2,"bad",H330&lt;=2.5,"neutral",H330&gt;2.5,"good")</f>
        <v>good</v>
      </c>
      <c r="M330" t="str" cm="1">
        <f t="array" ref="M330">_xlfn.IFS(F330&lt;30,"short",F330&lt;90,"medium",F330&lt;180,"long",F330&gt;180,"very long")</f>
        <v>long</v>
      </c>
      <c r="N330" t="str">
        <f>LEFT(Table1[[#This Row],[Activity_Type]],3)</f>
        <v>Cam</v>
      </c>
      <c r="O330" t="str">
        <f>UPPER(Table1[[#This Row],[Column2]])</f>
        <v>IYER</v>
      </c>
      <c r="P330">
        <f>LEN(Table1[[#This Row],[Visitor_Name]])</f>
        <v>6</v>
      </c>
      <c r="S330">
        <f>ROUND(Table1[[#This Row],[Rating]],0)</f>
        <v>5</v>
      </c>
      <c r="T330" t="s">
        <v>74</v>
      </c>
      <c r="U330" t="s">
        <v>67</v>
      </c>
      <c r="V330" s="5" t="s">
        <v>12</v>
      </c>
      <c r="W330">
        <v>70</v>
      </c>
    </row>
    <row r="331" spans="1:23" x14ac:dyDescent="0.25">
      <c r="A331">
        <v>1330</v>
      </c>
      <c r="B331" t="s">
        <v>90</v>
      </c>
      <c r="C331" t="s">
        <v>83</v>
      </c>
      <c r="D331" t="s">
        <v>22</v>
      </c>
      <c r="E331" s="1">
        <v>45570</v>
      </c>
      <c r="F331">
        <v>132</v>
      </c>
      <c r="G331" t="s">
        <v>25</v>
      </c>
      <c r="H331">
        <v>4.8</v>
      </c>
      <c r="I331">
        <v>180</v>
      </c>
      <c r="J331" t="s">
        <v>30</v>
      </c>
      <c r="L331" t="str" cm="1">
        <f t="array" ref="L331">_xlfn.IFS(H331&lt;=2,"bad",H331&lt;=2.5,"neutral",H331&gt;2.5,"good")</f>
        <v>good</v>
      </c>
      <c r="M331" t="str" cm="1">
        <f t="array" ref="M331">_xlfn.IFS(F331&lt;30,"short",F331&lt;90,"medium",F331&lt;180,"long",F331&gt;180,"very long")</f>
        <v>long</v>
      </c>
      <c r="N331" t="str">
        <f>LEFT(Table1[[#This Row],[Activity_Type]],3)</f>
        <v>Cam</v>
      </c>
      <c r="O331" t="str">
        <f>UPPER(Table1[[#This Row],[Column2]])</f>
        <v>NAIR</v>
      </c>
      <c r="P331">
        <f>LEN(Table1[[#This Row],[Visitor_Name]])</f>
        <v>5</v>
      </c>
      <c r="S331">
        <f>ROUND(Table1[[#This Row],[Rating]],0)</f>
        <v>5</v>
      </c>
      <c r="T331" t="s">
        <v>70</v>
      </c>
      <c r="U331" t="s">
        <v>60</v>
      </c>
      <c r="V331" s="5" t="s">
        <v>11</v>
      </c>
      <c r="W331">
        <v>73</v>
      </c>
    </row>
    <row r="332" spans="1:23" x14ac:dyDescent="0.25">
      <c r="A332">
        <v>1331</v>
      </c>
      <c r="B332" t="s">
        <v>82</v>
      </c>
      <c r="C332" t="s">
        <v>89</v>
      </c>
      <c r="D332" t="s">
        <v>20</v>
      </c>
      <c r="E332" s="1">
        <v>45481</v>
      </c>
      <c r="F332">
        <v>86</v>
      </c>
      <c r="G332" t="s">
        <v>26</v>
      </c>
      <c r="H332">
        <v>3.2</v>
      </c>
      <c r="I332">
        <v>473</v>
      </c>
      <c r="J332" t="s">
        <v>32</v>
      </c>
      <c r="L332" t="str" cm="1">
        <f t="array" ref="L332">_xlfn.IFS(H332&lt;=2,"bad",H332&lt;=2.5,"neutral",H332&gt;2.5,"good")</f>
        <v>good</v>
      </c>
      <c r="M332" t="str" cm="1">
        <f t="array" ref="M332">_xlfn.IFS(F332&lt;30,"short",F332&lt;90,"medium",F332&lt;180,"long",F332&gt;180,"very long")</f>
        <v>medium</v>
      </c>
      <c r="N332" t="str">
        <f>LEFT(Table1[[#This Row],[Activity_Type]],3)</f>
        <v>Hik</v>
      </c>
      <c r="O332" t="str">
        <f>UPPER(Table1[[#This Row],[Column2]])</f>
        <v>MENON</v>
      </c>
      <c r="P332">
        <f>LEN(Table1[[#This Row],[Visitor_Name]])</f>
        <v>5</v>
      </c>
      <c r="S332">
        <f>ROUND(Table1[[#This Row],[Rating]],0)</f>
        <v>3</v>
      </c>
      <c r="T332" t="s">
        <v>73</v>
      </c>
      <c r="U332" t="s">
        <v>59</v>
      </c>
      <c r="V332" s="5" t="s">
        <v>11</v>
      </c>
      <c r="W332">
        <v>73</v>
      </c>
    </row>
    <row r="333" spans="1:23" x14ac:dyDescent="0.25">
      <c r="A333">
        <v>1332</v>
      </c>
      <c r="B333" t="s">
        <v>94</v>
      </c>
      <c r="C333" t="s">
        <v>95</v>
      </c>
      <c r="D333" t="s">
        <v>19</v>
      </c>
      <c r="E333" s="1">
        <v>45579</v>
      </c>
      <c r="F333">
        <v>225</v>
      </c>
      <c r="G333" t="s">
        <v>25</v>
      </c>
      <c r="H333">
        <v>4.7</v>
      </c>
      <c r="I333">
        <v>434</v>
      </c>
      <c r="J333" t="s">
        <v>28</v>
      </c>
      <c r="L333" t="str" cm="1">
        <f t="array" ref="L333">_xlfn.IFS(H333&lt;=2,"bad",H333&lt;=2.5,"neutral",H333&gt;2.5,"good")</f>
        <v>good</v>
      </c>
      <c r="M333" t="str" cm="1">
        <f t="array" ref="M333">_xlfn.IFS(F333&lt;30,"short",F333&lt;90,"medium",F333&lt;180,"long",F333&gt;180,"very long")</f>
        <v>very long</v>
      </c>
      <c r="N333" t="str">
        <f>LEFT(Table1[[#This Row],[Activity_Type]],3)</f>
        <v>Saf</v>
      </c>
      <c r="O333" t="str">
        <f>UPPER(Table1[[#This Row],[Column2]])</f>
        <v>SINGH</v>
      </c>
      <c r="P333">
        <f>LEN(Table1[[#This Row],[Visitor_Name]])</f>
        <v>5</v>
      </c>
      <c r="S333">
        <f>ROUND(Table1[[#This Row],[Rating]],0)</f>
        <v>5</v>
      </c>
      <c r="T333" t="s">
        <v>75</v>
      </c>
      <c r="U333" t="s">
        <v>64</v>
      </c>
      <c r="V333" s="5" t="s">
        <v>14</v>
      </c>
      <c r="W333">
        <v>86</v>
      </c>
    </row>
    <row r="334" spans="1:23" x14ac:dyDescent="0.25">
      <c r="A334">
        <v>1333</v>
      </c>
      <c r="B334" t="s">
        <v>88</v>
      </c>
      <c r="C334" t="s">
        <v>87</v>
      </c>
      <c r="D334" t="s">
        <v>23</v>
      </c>
      <c r="E334" s="1">
        <v>45610</v>
      </c>
      <c r="F334">
        <v>163</v>
      </c>
      <c r="G334" t="s">
        <v>24</v>
      </c>
      <c r="H334">
        <v>2.7</v>
      </c>
      <c r="I334">
        <v>289</v>
      </c>
      <c r="J334" t="s">
        <v>35</v>
      </c>
      <c r="L334" t="str" cm="1">
        <f t="array" ref="L334">_xlfn.IFS(H334&lt;=2,"bad",H334&lt;=2.5,"neutral",H334&gt;2.5,"good")</f>
        <v>good</v>
      </c>
      <c r="M334" t="str" cm="1">
        <f t="array" ref="M334">_xlfn.IFS(F334&lt;30,"short",F334&lt;90,"medium",F334&lt;180,"long",F334&gt;180,"very long")</f>
        <v>long</v>
      </c>
      <c r="N334" t="str">
        <f>LEFT(Table1[[#This Row],[Activity_Type]],3)</f>
        <v>Boa</v>
      </c>
      <c r="O334" t="str">
        <f>UPPER(Table1[[#This Row],[Column2]])</f>
        <v>VERMA</v>
      </c>
      <c r="P334">
        <f>LEN(Table1[[#This Row],[Visitor_Name]])</f>
        <v>6</v>
      </c>
      <c r="S334">
        <f>ROUND(Table1[[#This Row],[Rating]],0)</f>
        <v>3</v>
      </c>
      <c r="T334" t="s">
        <v>72</v>
      </c>
      <c r="U334" t="s">
        <v>67</v>
      </c>
      <c r="V334" s="5" t="s">
        <v>11</v>
      </c>
      <c r="W334">
        <v>87</v>
      </c>
    </row>
    <row r="335" spans="1:23" x14ac:dyDescent="0.25">
      <c r="A335">
        <v>1334</v>
      </c>
      <c r="B335" t="s">
        <v>90</v>
      </c>
      <c r="C335" t="s">
        <v>96</v>
      </c>
      <c r="D335" t="s">
        <v>21</v>
      </c>
      <c r="E335" s="1">
        <v>45300</v>
      </c>
      <c r="F335">
        <v>121</v>
      </c>
      <c r="G335" t="s">
        <v>24</v>
      </c>
      <c r="H335">
        <v>3.7</v>
      </c>
      <c r="I335">
        <v>239</v>
      </c>
      <c r="J335" t="s">
        <v>36</v>
      </c>
      <c r="L335" t="str" cm="1">
        <f t="array" ref="L335">_xlfn.IFS(H335&lt;=2,"bad",H335&lt;=2.5,"neutral",H335&gt;2.5,"good")</f>
        <v>good</v>
      </c>
      <c r="M335" t="str" cm="1">
        <f t="array" ref="M335">_xlfn.IFS(F335&lt;30,"short",F335&lt;90,"medium",F335&lt;180,"long",F335&gt;180,"very long")</f>
        <v>long</v>
      </c>
      <c r="N335" t="str">
        <f>LEFT(Table1[[#This Row],[Activity_Type]],3)</f>
        <v>Bir</v>
      </c>
      <c r="O335" t="str">
        <f>UPPER(Table1[[#This Row],[Column2]])</f>
        <v>SHARMA</v>
      </c>
      <c r="P335">
        <f>LEN(Table1[[#This Row],[Visitor_Name]])</f>
        <v>5</v>
      </c>
      <c r="S335">
        <f>ROUND(Table1[[#This Row],[Rating]],0)</f>
        <v>4</v>
      </c>
      <c r="T335" t="s">
        <v>76</v>
      </c>
      <c r="U335" t="s">
        <v>60</v>
      </c>
      <c r="V335" s="5" t="s">
        <v>15</v>
      </c>
      <c r="W335">
        <v>89</v>
      </c>
    </row>
    <row r="336" spans="1:23" x14ac:dyDescent="0.25">
      <c r="A336">
        <v>1335</v>
      </c>
      <c r="B336" t="s">
        <v>84</v>
      </c>
      <c r="C336" t="s">
        <v>85</v>
      </c>
      <c r="D336" t="s">
        <v>18</v>
      </c>
      <c r="E336" s="1">
        <v>45305</v>
      </c>
      <c r="F336">
        <v>198</v>
      </c>
      <c r="G336" t="s">
        <v>26</v>
      </c>
      <c r="H336">
        <v>3.2</v>
      </c>
      <c r="I336">
        <v>359</v>
      </c>
      <c r="J336" t="s">
        <v>30</v>
      </c>
      <c r="L336" t="str" cm="1">
        <f t="array" ref="L336">_xlfn.IFS(H336&lt;=2,"bad",H336&lt;=2.5,"neutral",H336&gt;2.5,"good")</f>
        <v>good</v>
      </c>
      <c r="M336" t="str" cm="1">
        <f t="array" ref="M336">_xlfn.IFS(F336&lt;30,"short",F336&lt;90,"medium",F336&lt;180,"long",F336&gt;180,"very long")</f>
        <v>very long</v>
      </c>
      <c r="N336" t="str">
        <f>LEFT(Table1[[#This Row],[Activity_Type]],3)</f>
        <v>Pho</v>
      </c>
      <c r="O336" t="str">
        <f>UPPER(Table1[[#This Row],[Column2]])</f>
        <v>DAS</v>
      </c>
      <c r="P336">
        <f>LEN(Table1[[#This Row],[Visitor_Name]])</f>
        <v>5</v>
      </c>
      <c r="S336">
        <f>ROUND(Table1[[#This Row],[Rating]],0)</f>
        <v>3</v>
      </c>
      <c r="T336" t="s">
        <v>71</v>
      </c>
      <c r="U336" t="s">
        <v>63</v>
      </c>
      <c r="V336" s="5" t="s">
        <v>11</v>
      </c>
      <c r="W336">
        <v>91</v>
      </c>
    </row>
    <row r="337" spans="1:23" x14ac:dyDescent="0.25">
      <c r="A337">
        <v>1336</v>
      </c>
      <c r="B337" t="s">
        <v>79</v>
      </c>
      <c r="C337" t="s">
        <v>81</v>
      </c>
      <c r="D337" t="s">
        <v>23</v>
      </c>
      <c r="E337" s="1">
        <v>45380</v>
      </c>
      <c r="F337">
        <v>32</v>
      </c>
      <c r="G337" t="s">
        <v>24</v>
      </c>
      <c r="H337">
        <v>4.5999999999999996</v>
      </c>
      <c r="I337">
        <v>178</v>
      </c>
      <c r="J337" t="s">
        <v>33</v>
      </c>
      <c r="L337" t="str" cm="1">
        <f t="array" ref="L337">_xlfn.IFS(H337&lt;=2,"bad",H337&lt;=2.5,"neutral",H337&gt;2.5,"good")</f>
        <v>good</v>
      </c>
      <c r="M337" t="str" cm="1">
        <f t="array" ref="M337">_xlfn.IFS(F337&lt;30,"short",F337&lt;90,"medium",F337&lt;180,"long",F337&gt;180,"very long")</f>
        <v>medium</v>
      </c>
      <c r="N337" t="str">
        <f>LEFT(Table1[[#This Row],[Activity_Type]],3)</f>
        <v>Boa</v>
      </c>
      <c r="O337" t="str">
        <f>UPPER(Table1[[#This Row],[Column2]])</f>
        <v>PATEL</v>
      </c>
      <c r="P337">
        <f>LEN(Table1[[#This Row],[Visitor_Name]])</f>
        <v>5</v>
      </c>
      <c r="S337">
        <f>ROUND(Table1[[#This Row],[Rating]],0)</f>
        <v>5</v>
      </c>
      <c r="T337" t="s">
        <v>69</v>
      </c>
      <c r="U337" t="s">
        <v>58</v>
      </c>
      <c r="V337" s="5" t="s">
        <v>12</v>
      </c>
      <c r="W337">
        <v>95</v>
      </c>
    </row>
    <row r="338" spans="1:23" x14ac:dyDescent="0.25">
      <c r="A338">
        <v>1337</v>
      </c>
      <c r="B338" t="s">
        <v>92</v>
      </c>
      <c r="C338" t="s">
        <v>83</v>
      </c>
      <c r="D338" t="s">
        <v>22</v>
      </c>
      <c r="E338" s="1">
        <v>45408</v>
      </c>
      <c r="F338">
        <v>128</v>
      </c>
      <c r="G338" t="s">
        <v>24</v>
      </c>
      <c r="H338">
        <v>3.9</v>
      </c>
      <c r="I338">
        <v>448</v>
      </c>
      <c r="J338" t="s">
        <v>35</v>
      </c>
      <c r="L338" t="str" cm="1">
        <f t="array" ref="L338">_xlfn.IFS(H338&lt;=2,"bad",H338&lt;=2.5,"neutral",H338&gt;2.5,"good")</f>
        <v>good</v>
      </c>
      <c r="M338" t="str" cm="1">
        <f t="array" ref="M338">_xlfn.IFS(F338&lt;30,"short",F338&lt;90,"medium",F338&lt;180,"long",F338&gt;180,"very long")</f>
        <v>long</v>
      </c>
      <c r="N338" t="str">
        <f>LEFT(Table1[[#This Row],[Activity_Type]],3)</f>
        <v>Cam</v>
      </c>
      <c r="O338" t="str">
        <f>UPPER(Table1[[#This Row],[Column2]])</f>
        <v>NAIR</v>
      </c>
      <c r="P338">
        <f>LEN(Table1[[#This Row],[Visitor_Name]])</f>
        <v>5</v>
      </c>
      <c r="S338">
        <f>ROUND(Table1[[#This Row],[Rating]],0)</f>
        <v>4</v>
      </c>
      <c r="T338" t="s">
        <v>70</v>
      </c>
      <c r="U338" t="s">
        <v>62</v>
      </c>
      <c r="V338" s="5" t="s">
        <v>10</v>
      </c>
      <c r="W338">
        <v>96</v>
      </c>
    </row>
    <row r="339" spans="1:23" x14ac:dyDescent="0.25">
      <c r="A339">
        <v>1338</v>
      </c>
      <c r="B339" t="s">
        <v>82</v>
      </c>
      <c r="C339" t="s">
        <v>93</v>
      </c>
      <c r="D339" t="s">
        <v>18</v>
      </c>
      <c r="E339" s="1">
        <v>45476</v>
      </c>
      <c r="F339">
        <v>227</v>
      </c>
      <c r="G339" t="s">
        <v>24</v>
      </c>
      <c r="H339">
        <v>5</v>
      </c>
      <c r="I339">
        <v>265</v>
      </c>
      <c r="J339" t="s">
        <v>36</v>
      </c>
      <c r="L339" t="str" cm="1">
        <f t="array" ref="L339">_xlfn.IFS(H339&lt;=2,"bad",H339&lt;=2.5,"neutral",H339&gt;2.5,"good")</f>
        <v>good</v>
      </c>
      <c r="M339" t="str" cm="1">
        <f t="array" ref="M339">_xlfn.IFS(F339&lt;30,"short",F339&lt;90,"medium",F339&lt;180,"long",F339&gt;180,"very long")</f>
        <v>very long</v>
      </c>
      <c r="N339" t="str">
        <f>LEFT(Table1[[#This Row],[Activity_Type]],3)</f>
        <v>Pho</v>
      </c>
      <c r="O339" t="str">
        <f>UPPER(Table1[[#This Row],[Column2]])</f>
        <v>IYER</v>
      </c>
      <c r="P339">
        <f>LEN(Table1[[#This Row],[Visitor_Name]])</f>
        <v>5</v>
      </c>
      <c r="S339">
        <f>ROUND(Table1[[#This Row],[Rating]],0)</f>
        <v>5</v>
      </c>
      <c r="T339" t="s">
        <v>74</v>
      </c>
      <c r="U339" t="s">
        <v>59</v>
      </c>
      <c r="V339" s="5" t="s">
        <v>13</v>
      </c>
      <c r="W339">
        <v>96</v>
      </c>
    </row>
    <row r="340" spans="1:23" x14ac:dyDescent="0.25">
      <c r="A340">
        <v>1339</v>
      </c>
      <c r="B340" t="s">
        <v>79</v>
      </c>
      <c r="C340" t="s">
        <v>85</v>
      </c>
      <c r="D340" t="s">
        <v>23</v>
      </c>
      <c r="E340" s="1">
        <v>45557</v>
      </c>
      <c r="F340">
        <v>114</v>
      </c>
      <c r="G340" t="s">
        <v>27</v>
      </c>
      <c r="H340">
        <v>4.3</v>
      </c>
      <c r="I340">
        <v>265</v>
      </c>
      <c r="J340" t="s">
        <v>33</v>
      </c>
      <c r="L340" t="str" cm="1">
        <f t="array" ref="L340">_xlfn.IFS(H340&lt;=2,"bad",H340&lt;=2.5,"neutral",H340&gt;2.5,"good")</f>
        <v>good</v>
      </c>
      <c r="M340" t="str" cm="1">
        <f t="array" ref="M340">_xlfn.IFS(F340&lt;30,"short",F340&lt;90,"medium",F340&lt;180,"long",F340&gt;180,"very long")</f>
        <v>long</v>
      </c>
      <c r="N340" t="str">
        <f>LEFT(Table1[[#This Row],[Activity_Type]],3)</f>
        <v>Boa</v>
      </c>
      <c r="O340" t="str">
        <f>UPPER(Table1[[#This Row],[Column2]])</f>
        <v>DAS</v>
      </c>
      <c r="P340">
        <f>LEN(Table1[[#This Row],[Visitor_Name]])</f>
        <v>5</v>
      </c>
      <c r="S340">
        <f>ROUND(Table1[[#This Row],[Rating]],0)</f>
        <v>4</v>
      </c>
      <c r="T340" t="s">
        <v>71</v>
      </c>
      <c r="U340" t="s">
        <v>58</v>
      </c>
      <c r="V340" s="5" t="s">
        <v>10</v>
      </c>
      <c r="W340">
        <v>99</v>
      </c>
    </row>
    <row r="341" spans="1:23" x14ac:dyDescent="0.25">
      <c r="A341">
        <v>1340</v>
      </c>
      <c r="B341" t="s">
        <v>97</v>
      </c>
      <c r="C341" t="s">
        <v>83</v>
      </c>
      <c r="D341" t="s">
        <v>19</v>
      </c>
      <c r="E341" s="1">
        <v>45304</v>
      </c>
      <c r="F341">
        <v>184</v>
      </c>
      <c r="G341" t="s">
        <v>27</v>
      </c>
      <c r="H341">
        <v>3.8</v>
      </c>
      <c r="I341">
        <v>316</v>
      </c>
      <c r="J341" t="s">
        <v>33</v>
      </c>
      <c r="L341" t="str" cm="1">
        <f t="array" ref="L341">_xlfn.IFS(H341&lt;=2,"bad",H341&lt;=2.5,"neutral",H341&gt;2.5,"good")</f>
        <v>good</v>
      </c>
      <c r="M341" t="str" cm="1">
        <f t="array" ref="M341">_xlfn.IFS(F341&lt;30,"short",F341&lt;90,"medium",F341&lt;180,"long",F341&gt;180,"very long")</f>
        <v>very long</v>
      </c>
      <c r="N341" t="str">
        <f>LEFT(Table1[[#This Row],[Activity_Type]],3)</f>
        <v>Saf</v>
      </c>
      <c r="O341" t="str">
        <f>UPPER(Table1[[#This Row],[Column2]])</f>
        <v>NAIR</v>
      </c>
      <c r="P341">
        <f>LEN(Table1[[#This Row],[Visitor_Name]])</f>
        <v>5</v>
      </c>
      <c r="S341">
        <f>ROUND(Table1[[#This Row],[Rating]],0)</f>
        <v>4</v>
      </c>
      <c r="T341" t="s">
        <v>70</v>
      </c>
      <c r="U341" t="s">
        <v>65</v>
      </c>
      <c r="V341" s="5" t="s">
        <v>17</v>
      </c>
      <c r="W341">
        <v>99</v>
      </c>
    </row>
    <row r="342" spans="1:23" x14ac:dyDescent="0.25">
      <c r="A342">
        <v>1341</v>
      </c>
      <c r="B342" t="s">
        <v>79</v>
      </c>
      <c r="C342" t="s">
        <v>89</v>
      </c>
      <c r="D342" t="s">
        <v>21</v>
      </c>
      <c r="E342" s="1">
        <v>45360</v>
      </c>
      <c r="F342">
        <v>58</v>
      </c>
      <c r="G342" t="s">
        <v>26</v>
      </c>
      <c r="H342">
        <v>4</v>
      </c>
      <c r="I342">
        <v>402</v>
      </c>
      <c r="J342" t="s">
        <v>36</v>
      </c>
      <c r="L342" t="str" cm="1">
        <f t="array" ref="L342">_xlfn.IFS(H342&lt;=2,"bad",H342&lt;=2.5,"neutral",H342&gt;2.5,"good")</f>
        <v>good</v>
      </c>
      <c r="M342" t="str" cm="1">
        <f t="array" ref="M342">_xlfn.IFS(F342&lt;30,"short",F342&lt;90,"medium",F342&lt;180,"long",F342&gt;180,"very long")</f>
        <v>medium</v>
      </c>
      <c r="N342" t="str">
        <f>LEFT(Table1[[#This Row],[Activity_Type]],3)</f>
        <v>Bir</v>
      </c>
      <c r="O342" t="str">
        <f>UPPER(Table1[[#This Row],[Column2]])</f>
        <v>MENON</v>
      </c>
      <c r="P342">
        <f>LEN(Table1[[#This Row],[Visitor_Name]])</f>
        <v>5</v>
      </c>
      <c r="S342">
        <f>ROUND(Table1[[#This Row],[Rating]],0)</f>
        <v>4</v>
      </c>
      <c r="T342" t="s">
        <v>73</v>
      </c>
      <c r="U342" t="s">
        <v>58</v>
      </c>
      <c r="V342" s="5" t="s">
        <v>17</v>
      </c>
      <c r="W342">
        <v>101</v>
      </c>
    </row>
    <row r="343" spans="1:23" x14ac:dyDescent="0.25">
      <c r="A343">
        <v>1342</v>
      </c>
      <c r="B343" t="s">
        <v>82</v>
      </c>
      <c r="C343" t="s">
        <v>81</v>
      </c>
      <c r="D343" t="s">
        <v>18</v>
      </c>
      <c r="E343" s="1">
        <v>45516</v>
      </c>
      <c r="F343">
        <v>228</v>
      </c>
      <c r="G343" t="s">
        <v>27</v>
      </c>
      <c r="H343">
        <v>4.5</v>
      </c>
      <c r="I343">
        <v>236</v>
      </c>
      <c r="J343" t="s">
        <v>34</v>
      </c>
      <c r="L343" t="str" cm="1">
        <f t="array" ref="L343">_xlfn.IFS(H343&lt;=2,"bad",H343&lt;=2.5,"neutral",H343&gt;2.5,"good")</f>
        <v>good</v>
      </c>
      <c r="M343" t="str" cm="1">
        <f t="array" ref="M343">_xlfn.IFS(F343&lt;30,"short",F343&lt;90,"medium",F343&lt;180,"long",F343&gt;180,"very long")</f>
        <v>very long</v>
      </c>
      <c r="N343" t="str">
        <f>LEFT(Table1[[#This Row],[Activity_Type]],3)</f>
        <v>Pho</v>
      </c>
      <c r="O343" t="str">
        <f>UPPER(Table1[[#This Row],[Column2]])</f>
        <v>PATEL</v>
      </c>
      <c r="P343">
        <f>LEN(Table1[[#This Row],[Visitor_Name]])</f>
        <v>5</v>
      </c>
      <c r="S343">
        <f>ROUND(Table1[[#This Row],[Rating]],0)</f>
        <v>5</v>
      </c>
      <c r="T343" t="s">
        <v>69</v>
      </c>
      <c r="U343" t="s">
        <v>59</v>
      </c>
      <c r="V343" s="5" t="s">
        <v>10</v>
      </c>
      <c r="W343">
        <v>113</v>
      </c>
    </row>
    <row r="344" spans="1:23" x14ac:dyDescent="0.25">
      <c r="A344">
        <v>1343</v>
      </c>
      <c r="B344" t="s">
        <v>94</v>
      </c>
      <c r="C344" t="s">
        <v>83</v>
      </c>
      <c r="D344" t="s">
        <v>19</v>
      </c>
      <c r="E344" s="1">
        <v>45599</v>
      </c>
      <c r="F344">
        <v>126</v>
      </c>
      <c r="G344" t="s">
        <v>24</v>
      </c>
      <c r="H344">
        <v>4.5999999999999996</v>
      </c>
      <c r="I344">
        <v>404</v>
      </c>
      <c r="J344" t="s">
        <v>30</v>
      </c>
      <c r="L344" t="str" cm="1">
        <f t="array" ref="L344">_xlfn.IFS(H344&lt;=2,"bad",H344&lt;=2.5,"neutral",H344&gt;2.5,"good")</f>
        <v>good</v>
      </c>
      <c r="M344" t="str" cm="1">
        <f t="array" ref="M344">_xlfn.IFS(F344&lt;30,"short",F344&lt;90,"medium",F344&lt;180,"long",F344&gt;180,"very long")</f>
        <v>long</v>
      </c>
      <c r="N344" t="str">
        <f>LEFT(Table1[[#This Row],[Activity_Type]],3)</f>
        <v>Saf</v>
      </c>
      <c r="O344" t="str">
        <f>UPPER(Table1[[#This Row],[Column2]])</f>
        <v>NAIR</v>
      </c>
      <c r="P344">
        <f>LEN(Table1[[#This Row],[Visitor_Name]])</f>
        <v>5</v>
      </c>
      <c r="S344">
        <f>ROUND(Table1[[#This Row],[Rating]],0)</f>
        <v>5</v>
      </c>
      <c r="T344" t="s">
        <v>70</v>
      </c>
      <c r="U344" t="s">
        <v>64</v>
      </c>
      <c r="V344" s="5" t="s">
        <v>11</v>
      </c>
      <c r="W344">
        <v>113</v>
      </c>
    </row>
    <row r="345" spans="1:23" x14ac:dyDescent="0.25">
      <c r="A345">
        <v>1344</v>
      </c>
      <c r="B345" t="s">
        <v>92</v>
      </c>
      <c r="C345" t="s">
        <v>87</v>
      </c>
      <c r="D345" t="s">
        <v>19</v>
      </c>
      <c r="E345" s="1">
        <v>45605</v>
      </c>
      <c r="F345">
        <v>162</v>
      </c>
      <c r="G345" t="s">
        <v>25</v>
      </c>
      <c r="H345">
        <v>4.4000000000000004</v>
      </c>
      <c r="I345">
        <v>453</v>
      </c>
      <c r="J345" t="s">
        <v>34</v>
      </c>
      <c r="L345" t="str" cm="1">
        <f t="array" ref="L345">_xlfn.IFS(H345&lt;=2,"bad",H345&lt;=2.5,"neutral",H345&gt;2.5,"good")</f>
        <v>good</v>
      </c>
      <c r="M345" t="str" cm="1">
        <f t="array" ref="M345">_xlfn.IFS(F345&lt;30,"short",F345&lt;90,"medium",F345&lt;180,"long",F345&gt;180,"very long")</f>
        <v>long</v>
      </c>
      <c r="N345" t="str">
        <f>LEFT(Table1[[#This Row],[Activity_Type]],3)</f>
        <v>Saf</v>
      </c>
      <c r="O345" t="str">
        <f>UPPER(Table1[[#This Row],[Column2]])</f>
        <v>VERMA</v>
      </c>
      <c r="P345">
        <f>LEN(Table1[[#This Row],[Visitor_Name]])</f>
        <v>5</v>
      </c>
      <c r="S345">
        <f>ROUND(Table1[[#This Row],[Rating]],0)</f>
        <v>4</v>
      </c>
      <c r="T345" t="s">
        <v>72</v>
      </c>
      <c r="U345" t="s">
        <v>62</v>
      </c>
      <c r="V345" s="5" t="s">
        <v>14</v>
      </c>
      <c r="W345">
        <v>114</v>
      </c>
    </row>
    <row r="346" spans="1:23" x14ac:dyDescent="0.25">
      <c r="A346">
        <v>1345</v>
      </c>
      <c r="B346" t="s">
        <v>82</v>
      </c>
      <c r="C346" t="s">
        <v>81</v>
      </c>
      <c r="D346" t="s">
        <v>18</v>
      </c>
      <c r="E346" s="1">
        <v>45372</v>
      </c>
      <c r="F346">
        <v>164</v>
      </c>
      <c r="G346" t="s">
        <v>26</v>
      </c>
      <c r="H346">
        <v>3.7</v>
      </c>
      <c r="I346">
        <v>101</v>
      </c>
      <c r="J346" t="s">
        <v>29</v>
      </c>
      <c r="L346" t="str" cm="1">
        <f t="array" ref="L346">_xlfn.IFS(H346&lt;=2,"bad",H346&lt;=2.5,"neutral",H346&gt;2.5,"good")</f>
        <v>good</v>
      </c>
      <c r="M346" t="str" cm="1">
        <f t="array" ref="M346">_xlfn.IFS(F346&lt;30,"short",F346&lt;90,"medium",F346&lt;180,"long",F346&gt;180,"very long")</f>
        <v>long</v>
      </c>
      <c r="N346" t="str">
        <f>LEFT(Table1[[#This Row],[Activity_Type]],3)</f>
        <v>Pho</v>
      </c>
      <c r="O346" t="str">
        <f>UPPER(Table1[[#This Row],[Column2]])</f>
        <v>PATEL</v>
      </c>
      <c r="P346">
        <f>LEN(Table1[[#This Row],[Visitor_Name]])</f>
        <v>5</v>
      </c>
      <c r="S346">
        <f>ROUND(Table1[[#This Row],[Rating]],0)</f>
        <v>4</v>
      </c>
      <c r="T346" t="s">
        <v>69</v>
      </c>
      <c r="U346" t="s">
        <v>59</v>
      </c>
      <c r="V346" s="5" t="s">
        <v>13</v>
      </c>
      <c r="W346">
        <v>117</v>
      </c>
    </row>
    <row r="347" spans="1:23" x14ac:dyDescent="0.25">
      <c r="A347">
        <v>1346</v>
      </c>
      <c r="B347" t="s">
        <v>90</v>
      </c>
      <c r="C347" t="s">
        <v>89</v>
      </c>
      <c r="D347" t="s">
        <v>22</v>
      </c>
      <c r="E347" s="1">
        <v>45591</v>
      </c>
      <c r="F347">
        <v>91</v>
      </c>
      <c r="G347" t="s">
        <v>24</v>
      </c>
      <c r="H347">
        <v>4.2</v>
      </c>
      <c r="I347">
        <v>364</v>
      </c>
      <c r="J347" t="s">
        <v>32</v>
      </c>
      <c r="L347" t="str" cm="1">
        <f t="array" ref="L347">_xlfn.IFS(H347&lt;=2,"bad",H347&lt;=2.5,"neutral",H347&gt;2.5,"good")</f>
        <v>good</v>
      </c>
      <c r="M347" t="str" cm="1">
        <f t="array" ref="M347">_xlfn.IFS(F347&lt;30,"short",F347&lt;90,"medium",F347&lt;180,"long",F347&gt;180,"very long")</f>
        <v>long</v>
      </c>
      <c r="N347" t="str">
        <f>LEFT(Table1[[#This Row],[Activity_Type]],3)</f>
        <v>Cam</v>
      </c>
      <c r="O347" t="str">
        <f>UPPER(Table1[[#This Row],[Column2]])</f>
        <v>MENON</v>
      </c>
      <c r="P347">
        <f>LEN(Table1[[#This Row],[Visitor_Name]])</f>
        <v>5</v>
      </c>
      <c r="S347">
        <f>ROUND(Table1[[#This Row],[Rating]],0)</f>
        <v>4</v>
      </c>
      <c r="T347" t="s">
        <v>73</v>
      </c>
      <c r="U347" t="s">
        <v>60</v>
      </c>
      <c r="V347" s="5" t="s">
        <v>10</v>
      </c>
      <c r="W347">
        <v>121</v>
      </c>
    </row>
    <row r="348" spans="1:23" x14ac:dyDescent="0.25">
      <c r="A348">
        <v>1347</v>
      </c>
      <c r="B348" t="s">
        <v>79</v>
      </c>
      <c r="C348" t="s">
        <v>81</v>
      </c>
      <c r="D348" t="s">
        <v>21</v>
      </c>
      <c r="E348" s="1">
        <v>45544</v>
      </c>
      <c r="F348">
        <v>99</v>
      </c>
      <c r="G348" t="s">
        <v>27</v>
      </c>
      <c r="H348">
        <v>3.6</v>
      </c>
      <c r="I348">
        <v>209</v>
      </c>
      <c r="J348" t="s">
        <v>28</v>
      </c>
      <c r="L348" t="str" cm="1">
        <f t="array" ref="L348">_xlfn.IFS(H348&lt;=2,"bad",H348&lt;=2.5,"neutral",H348&gt;2.5,"good")</f>
        <v>good</v>
      </c>
      <c r="M348" t="str" cm="1">
        <f t="array" ref="M348">_xlfn.IFS(F348&lt;30,"short",F348&lt;90,"medium",F348&lt;180,"long",F348&gt;180,"very long")</f>
        <v>long</v>
      </c>
      <c r="N348" t="str">
        <f>LEFT(Table1[[#This Row],[Activity_Type]],3)</f>
        <v>Bir</v>
      </c>
      <c r="O348" t="str">
        <f>UPPER(Table1[[#This Row],[Column2]])</f>
        <v>PATEL</v>
      </c>
      <c r="P348">
        <f>LEN(Table1[[#This Row],[Visitor_Name]])</f>
        <v>5</v>
      </c>
      <c r="S348">
        <f>ROUND(Table1[[#This Row],[Rating]],0)</f>
        <v>4</v>
      </c>
      <c r="T348" t="s">
        <v>69</v>
      </c>
      <c r="U348" t="s">
        <v>58</v>
      </c>
      <c r="V348" s="5" t="s">
        <v>15</v>
      </c>
      <c r="W348">
        <v>126</v>
      </c>
    </row>
    <row r="349" spans="1:23" x14ac:dyDescent="0.25">
      <c r="A349">
        <v>1348</v>
      </c>
      <c r="B349" t="s">
        <v>88</v>
      </c>
      <c r="C349" t="s">
        <v>95</v>
      </c>
      <c r="D349" t="s">
        <v>23</v>
      </c>
      <c r="E349" s="1">
        <v>45610</v>
      </c>
      <c r="F349">
        <v>49</v>
      </c>
      <c r="G349" t="s">
        <v>24</v>
      </c>
      <c r="H349">
        <v>4</v>
      </c>
      <c r="I349">
        <v>151</v>
      </c>
      <c r="J349" t="s">
        <v>30</v>
      </c>
      <c r="L349" t="str" cm="1">
        <f t="array" ref="L349">_xlfn.IFS(H349&lt;=2,"bad",H349&lt;=2.5,"neutral",H349&gt;2.5,"good")</f>
        <v>good</v>
      </c>
      <c r="M349" t="str" cm="1">
        <f t="array" ref="M349">_xlfn.IFS(F349&lt;30,"short",F349&lt;90,"medium",F349&lt;180,"long",F349&gt;180,"very long")</f>
        <v>medium</v>
      </c>
      <c r="N349" t="str">
        <f>LEFT(Table1[[#This Row],[Activity_Type]],3)</f>
        <v>Boa</v>
      </c>
      <c r="O349" t="str">
        <f>UPPER(Table1[[#This Row],[Column2]])</f>
        <v>SINGH</v>
      </c>
      <c r="P349">
        <f>LEN(Table1[[#This Row],[Visitor_Name]])</f>
        <v>6</v>
      </c>
      <c r="S349">
        <f>ROUND(Table1[[#This Row],[Rating]],0)</f>
        <v>4</v>
      </c>
      <c r="T349" t="s">
        <v>75</v>
      </c>
      <c r="U349" t="s">
        <v>67</v>
      </c>
      <c r="V349" s="5" t="s">
        <v>16</v>
      </c>
      <c r="W349">
        <v>128</v>
      </c>
    </row>
    <row r="350" spans="1:23" x14ac:dyDescent="0.25">
      <c r="A350">
        <v>1349</v>
      </c>
      <c r="B350" t="s">
        <v>79</v>
      </c>
      <c r="C350" t="s">
        <v>80</v>
      </c>
      <c r="D350" t="s">
        <v>20</v>
      </c>
      <c r="E350" s="1">
        <v>45481</v>
      </c>
      <c r="F350">
        <v>142</v>
      </c>
      <c r="G350" t="s">
        <v>26</v>
      </c>
      <c r="H350">
        <v>3.1</v>
      </c>
      <c r="I350">
        <v>140</v>
      </c>
      <c r="J350" t="s">
        <v>31</v>
      </c>
      <c r="L350" t="str" cm="1">
        <f t="array" ref="L350">_xlfn.IFS(H350&lt;=2,"bad",H350&lt;=2.5,"neutral",H350&gt;2.5,"good")</f>
        <v>good</v>
      </c>
      <c r="M350" t="str" cm="1">
        <f t="array" ref="M350">_xlfn.IFS(F350&lt;30,"short",F350&lt;90,"medium",F350&lt;180,"long",F350&gt;180,"very long")</f>
        <v>long</v>
      </c>
      <c r="N350" t="str">
        <f>LEFT(Table1[[#This Row],[Activity_Type]],3)</f>
        <v>Hik</v>
      </c>
      <c r="O350" t="str">
        <f>UPPER(Table1[[#This Row],[Column2]])</f>
        <v>MEHTA</v>
      </c>
      <c r="P350">
        <f>LEN(Table1[[#This Row],[Visitor_Name]])</f>
        <v>5</v>
      </c>
      <c r="S350">
        <f>ROUND(Table1[[#This Row],[Rating]],0)</f>
        <v>3</v>
      </c>
      <c r="T350" t="s">
        <v>68</v>
      </c>
      <c r="U350" t="s">
        <v>58</v>
      </c>
      <c r="V350" s="5" t="s">
        <v>16</v>
      </c>
      <c r="W350">
        <v>131</v>
      </c>
    </row>
    <row r="351" spans="1:23" x14ac:dyDescent="0.25">
      <c r="A351">
        <v>1350</v>
      </c>
      <c r="B351" t="s">
        <v>97</v>
      </c>
      <c r="C351" t="s">
        <v>98</v>
      </c>
      <c r="D351" t="s">
        <v>22</v>
      </c>
      <c r="E351" s="1">
        <v>45464</v>
      </c>
      <c r="F351">
        <v>101</v>
      </c>
      <c r="G351" t="s">
        <v>27</v>
      </c>
      <c r="H351">
        <v>2.8</v>
      </c>
      <c r="I351">
        <v>434</v>
      </c>
      <c r="J351" t="s">
        <v>37</v>
      </c>
      <c r="L351" t="str" cm="1">
        <f t="array" ref="L351">_xlfn.IFS(H351&lt;=2,"bad",H351&lt;=2.5,"neutral",H351&gt;2.5,"good")</f>
        <v>good</v>
      </c>
      <c r="M351" t="str" cm="1">
        <f t="array" ref="M351">_xlfn.IFS(F351&lt;30,"short",F351&lt;90,"medium",F351&lt;180,"long",F351&gt;180,"very long")</f>
        <v>long</v>
      </c>
      <c r="N351" t="str">
        <f>LEFT(Table1[[#This Row],[Activity_Type]],3)</f>
        <v>Cam</v>
      </c>
      <c r="O351" t="str">
        <f>UPPER(Table1[[#This Row],[Column2]])</f>
        <v>REDDY</v>
      </c>
      <c r="P351">
        <f>LEN(Table1[[#This Row],[Visitor_Name]])</f>
        <v>5</v>
      </c>
      <c r="S351">
        <f>ROUND(Table1[[#This Row],[Rating]],0)</f>
        <v>3</v>
      </c>
      <c r="T351" t="s">
        <v>77</v>
      </c>
      <c r="U351" t="s">
        <v>65</v>
      </c>
      <c r="V351" s="5" t="s">
        <v>12</v>
      </c>
      <c r="W351">
        <v>132</v>
      </c>
    </row>
    <row r="352" spans="1:23" x14ac:dyDescent="0.25">
      <c r="A352">
        <v>1351</v>
      </c>
      <c r="B352" t="s">
        <v>97</v>
      </c>
      <c r="C352" t="s">
        <v>85</v>
      </c>
      <c r="D352" t="s">
        <v>21</v>
      </c>
      <c r="E352" s="1">
        <v>45633</v>
      </c>
      <c r="F352">
        <v>144</v>
      </c>
      <c r="G352" t="s">
        <v>27</v>
      </c>
      <c r="H352">
        <v>4.2</v>
      </c>
      <c r="I352">
        <v>459</v>
      </c>
      <c r="J352" t="s">
        <v>36</v>
      </c>
      <c r="L352" t="str" cm="1">
        <f t="array" ref="L352">_xlfn.IFS(H352&lt;=2,"bad",H352&lt;=2.5,"neutral",H352&gt;2.5,"good")</f>
        <v>good</v>
      </c>
      <c r="M352" t="str" cm="1">
        <f t="array" ref="M352">_xlfn.IFS(F352&lt;30,"short",F352&lt;90,"medium",F352&lt;180,"long",F352&gt;180,"very long")</f>
        <v>long</v>
      </c>
      <c r="N352" t="str">
        <f>LEFT(Table1[[#This Row],[Activity_Type]],3)</f>
        <v>Bir</v>
      </c>
      <c r="O352" t="str">
        <f>UPPER(Table1[[#This Row],[Column2]])</f>
        <v>DAS</v>
      </c>
      <c r="P352">
        <f>LEN(Table1[[#This Row],[Visitor_Name]])</f>
        <v>5</v>
      </c>
      <c r="S352">
        <f>ROUND(Table1[[#This Row],[Rating]],0)</f>
        <v>4</v>
      </c>
      <c r="T352" t="s">
        <v>71</v>
      </c>
      <c r="U352" t="s">
        <v>65</v>
      </c>
      <c r="V352" s="5" t="s">
        <v>15</v>
      </c>
      <c r="W352">
        <v>142</v>
      </c>
    </row>
    <row r="353" spans="1:23" x14ac:dyDescent="0.25">
      <c r="A353">
        <v>1352</v>
      </c>
      <c r="B353" t="s">
        <v>91</v>
      </c>
      <c r="C353" t="s">
        <v>80</v>
      </c>
      <c r="D353" t="s">
        <v>23</v>
      </c>
      <c r="E353" s="1">
        <v>45533</v>
      </c>
      <c r="F353">
        <v>158</v>
      </c>
      <c r="G353" t="s">
        <v>24</v>
      </c>
      <c r="H353">
        <v>4.7</v>
      </c>
      <c r="I353">
        <v>425</v>
      </c>
      <c r="J353" t="s">
        <v>33</v>
      </c>
      <c r="L353" t="str" cm="1">
        <f t="array" ref="L353">_xlfn.IFS(H353&lt;=2,"bad",H353&lt;=2.5,"neutral",H353&gt;2.5,"good")</f>
        <v>good</v>
      </c>
      <c r="M353" t="str" cm="1">
        <f t="array" ref="M353">_xlfn.IFS(F353&lt;30,"short",F353&lt;90,"medium",F353&lt;180,"long",F353&gt;180,"very long")</f>
        <v>long</v>
      </c>
      <c r="N353" t="str">
        <f>LEFT(Table1[[#This Row],[Activity_Type]],3)</f>
        <v>Boa</v>
      </c>
      <c r="O353" t="str">
        <f>UPPER(Table1[[#This Row],[Column2]])</f>
        <v>MEHTA</v>
      </c>
      <c r="P353">
        <f>LEN(Table1[[#This Row],[Visitor_Name]])</f>
        <v>5</v>
      </c>
      <c r="S353">
        <f>ROUND(Table1[[#This Row],[Rating]],0)</f>
        <v>5</v>
      </c>
      <c r="T353" t="s">
        <v>68</v>
      </c>
      <c r="U353" t="s">
        <v>61</v>
      </c>
      <c r="V353" s="5" t="s">
        <v>12</v>
      </c>
      <c r="W353">
        <v>144</v>
      </c>
    </row>
    <row r="354" spans="1:23" x14ac:dyDescent="0.25">
      <c r="A354">
        <v>1353</v>
      </c>
      <c r="B354" t="s">
        <v>91</v>
      </c>
      <c r="C354" t="s">
        <v>96</v>
      </c>
      <c r="D354" t="s">
        <v>22</v>
      </c>
      <c r="E354" s="1">
        <v>45522</v>
      </c>
      <c r="F354">
        <v>188</v>
      </c>
      <c r="G354" t="s">
        <v>26</v>
      </c>
      <c r="H354">
        <v>4</v>
      </c>
      <c r="I354">
        <v>313</v>
      </c>
      <c r="J354" t="s">
        <v>33</v>
      </c>
      <c r="L354" t="str" cm="1">
        <f t="array" ref="L354">_xlfn.IFS(H354&lt;=2,"bad",H354&lt;=2.5,"neutral",H354&gt;2.5,"good")</f>
        <v>good</v>
      </c>
      <c r="M354" t="str" cm="1">
        <f t="array" ref="M354">_xlfn.IFS(F354&lt;30,"short",F354&lt;90,"medium",F354&lt;180,"long",F354&gt;180,"very long")</f>
        <v>very long</v>
      </c>
      <c r="N354" t="str">
        <f>LEFT(Table1[[#This Row],[Activity_Type]],3)</f>
        <v>Cam</v>
      </c>
      <c r="O354" t="str">
        <f>UPPER(Table1[[#This Row],[Column2]])</f>
        <v>SHARMA</v>
      </c>
      <c r="P354">
        <f>LEN(Table1[[#This Row],[Visitor_Name]])</f>
        <v>5</v>
      </c>
      <c r="S354">
        <f>ROUND(Table1[[#This Row],[Rating]],0)</f>
        <v>4</v>
      </c>
      <c r="T354" t="s">
        <v>76</v>
      </c>
      <c r="U354" t="s">
        <v>61</v>
      </c>
      <c r="V354" s="5" t="s">
        <v>17</v>
      </c>
      <c r="W354">
        <v>145</v>
      </c>
    </row>
    <row r="355" spans="1:23" x14ac:dyDescent="0.25">
      <c r="A355">
        <v>1354</v>
      </c>
      <c r="B355" t="s">
        <v>90</v>
      </c>
      <c r="C355" t="s">
        <v>98</v>
      </c>
      <c r="D355" t="s">
        <v>23</v>
      </c>
      <c r="E355" s="1">
        <v>45353</v>
      </c>
      <c r="F355">
        <v>145</v>
      </c>
      <c r="G355" t="s">
        <v>24</v>
      </c>
      <c r="H355">
        <v>3.1</v>
      </c>
      <c r="I355">
        <v>381</v>
      </c>
      <c r="J355" t="s">
        <v>35</v>
      </c>
      <c r="L355" t="str" cm="1">
        <f t="array" ref="L355">_xlfn.IFS(H355&lt;=2,"bad",H355&lt;=2.5,"neutral",H355&gt;2.5,"good")</f>
        <v>good</v>
      </c>
      <c r="M355" t="str" cm="1">
        <f t="array" ref="M355">_xlfn.IFS(F355&lt;30,"short",F355&lt;90,"medium",F355&lt;180,"long",F355&gt;180,"very long")</f>
        <v>long</v>
      </c>
      <c r="N355" t="str">
        <f>LEFT(Table1[[#This Row],[Activity_Type]],3)</f>
        <v>Boa</v>
      </c>
      <c r="O355" t="str">
        <f>UPPER(Table1[[#This Row],[Column2]])</f>
        <v>REDDY</v>
      </c>
      <c r="P355">
        <f>LEN(Table1[[#This Row],[Visitor_Name]])</f>
        <v>5</v>
      </c>
      <c r="S355">
        <f>ROUND(Table1[[#This Row],[Rating]],0)</f>
        <v>3</v>
      </c>
      <c r="T355" t="s">
        <v>77</v>
      </c>
      <c r="U355" t="s">
        <v>60</v>
      </c>
      <c r="V355" s="5" t="s">
        <v>14</v>
      </c>
      <c r="W355">
        <v>147</v>
      </c>
    </row>
    <row r="356" spans="1:23" x14ac:dyDescent="0.25">
      <c r="A356">
        <v>1355</v>
      </c>
      <c r="B356" t="s">
        <v>92</v>
      </c>
      <c r="C356" t="s">
        <v>87</v>
      </c>
      <c r="D356" t="s">
        <v>21</v>
      </c>
      <c r="E356" s="1">
        <v>45525</v>
      </c>
      <c r="F356">
        <v>70</v>
      </c>
      <c r="G356" t="s">
        <v>27</v>
      </c>
      <c r="H356">
        <v>2.6</v>
      </c>
      <c r="I356">
        <v>416</v>
      </c>
      <c r="J356" t="s">
        <v>30</v>
      </c>
      <c r="L356" t="str" cm="1">
        <f t="array" ref="L356">_xlfn.IFS(H356&lt;=2,"bad",H356&lt;=2.5,"neutral",H356&gt;2.5,"good")</f>
        <v>good</v>
      </c>
      <c r="M356" t="str" cm="1">
        <f t="array" ref="M356">_xlfn.IFS(F356&lt;30,"short",F356&lt;90,"medium",F356&lt;180,"long",F356&gt;180,"very long")</f>
        <v>medium</v>
      </c>
      <c r="N356" t="str">
        <f>LEFT(Table1[[#This Row],[Activity_Type]],3)</f>
        <v>Bir</v>
      </c>
      <c r="O356" t="str">
        <f>UPPER(Table1[[#This Row],[Column2]])</f>
        <v>VERMA</v>
      </c>
      <c r="P356">
        <f>LEN(Table1[[#This Row],[Visitor_Name]])</f>
        <v>5</v>
      </c>
      <c r="S356">
        <f>ROUND(Table1[[#This Row],[Rating]],0)</f>
        <v>3</v>
      </c>
      <c r="T356" t="s">
        <v>72</v>
      </c>
      <c r="U356" t="s">
        <v>62</v>
      </c>
      <c r="V356" s="5" t="s">
        <v>17</v>
      </c>
      <c r="W356">
        <v>154</v>
      </c>
    </row>
    <row r="357" spans="1:23" x14ac:dyDescent="0.25">
      <c r="A357">
        <v>1356</v>
      </c>
      <c r="B357" t="s">
        <v>97</v>
      </c>
      <c r="C357" t="s">
        <v>85</v>
      </c>
      <c r="D357" t="s">
        <v>19</v>
      </c>
      <c r="E357" s="1">
        <v>45443</v>
      </c>
      <c r="F357">
        <v>22</v>
      </c>
      <c r="G357" t="s">
        <v>26</v>
      </c>
      <c r="H357">
        <v>2.7</v>
      </c>
      <c r="I357">
        <v>263</v>
      </c>
      <c r="J357" t="s">
        <v>31</v>
      </c>
      <c r="L357" t="str" cm="1">
        <f t="array" ref="L357">_xlfn.IFS(H357&lt;=2,"bad",H357&lt;=2.5,"neutral",H357&gt;2.5,"good")</f>
        <v>good</v>
      </c>
      <c r="M357" t="str" cm="1">
        <f t="array" ref="M357">_xlfn.IFS(F357&lt;30,"short",F357&lt;90,"medium",F357&lt;180,"long",F357&gt;180,"very long")</f>
        <v>short</v>
      </c>
      <c r="N357" t="str">
        <f>LEFT(Table1[[#This Row],[Activity_Type]],3)</f>
        <v>Saf</v>
      </c>
      <c r="O357" t="str">
        <f>UPPER(Table1[[#This Row],[Column2]])</f>
        <v>DAS</v>
      </c>
      <c r="P357">
        <f>LEN(Table1[[#This Row],[Visitor_Name]])</f>
        <v>5</v>
      </c>
      <c r="S357">
        <f>ROUND(Table1[[#This Row],[Rating]],0)</f>
        <v>3</v>
      </c>
      <c r="T357" t="s">
        <v>71</v>
      </c>
      <c r="U357" t="s">
        <v>65</v>
      </c>
      <c r="V357" s="5" t="s">
        <v>15</v>
      </c>
      <c r="W357">
        <v>158</v>
      </c>
    </row>
    <row r="358" spans="1:23" x14ac:dyDescent="0.25">
      <c r="A358">
        <v>1357</v>
      </c>
      <c r="B358" t="s">
        <v>94</v>
      </c>
      <c r="C358" t="s">
        <v>85</v>
      </c>
      <c r="D358" t="s">
        <v>19</v>
      </c>
      <c r="E358" s="1">
        <v>45657</v>
      </c>
      <c r="F358">
        <v>36</v>
      </c>
      <c r="G358" t="s">
        <v>24</v>
      </c>
      <c r="H358">
        <v>3.9</v>
      </c>
      <c r="I358">
        <v>115</v>
      </c>
      <c r="J358" t="s">
        <v>34</v>
      </c>
      <c r="L358" t="str" cm="1">
        <f t="array" ref="L358">_xlfn.IFS(H358&lt;=2,"bad",H358&lt;=2.5,"neutral",H358&gt;2.5,"good")</f>
        <v>good</v>
      </c>
      <c r="M358" t="str" cm="1">
        <f t="array" ref="M358">_xlfn.IFS(F358&lt;30,"short",F358&lt;90,"medium",F358&lt;180,"long",F358&gt;180,"very long")</f>
        <v>medium</v>
      </c>
      <c r="N358" t="str">
        <f>LEFT(Table1[[#This Row],[Activity_Type]],3)</f>
        <v>Saf</v>
      </c>
      <c r="O358" t="str">
        <f>UPPER(Table1[[#This Row],[Column2]])</f>
        <v>DAS</v>
      </c>
      <c r="P358">
        <f>LEN(Table1[[#This Row],[Visitor_Name]])</f>
        <v>5</v>
      </c>
      <c r="S358">
        <f>ROUND(Table1[[#This Row],[Rating]],0)</f>
        <v>4</v>
      </c>
      <c r="T358" t="s">
        <v>71</v>
      </c>
      <c r="U358" t="s">
        <v>64</v>
      </c>
      <c r="V358" s="5" t="s">
        <v>16</v>
      </c>
      <c r="W358">
        <v>162</v>
      </c>
    </row>
    <row r="359" spans="1:23" x14ac:dyDescent="0.25">
      <c r="A359">
        <v>1358</v>
      </c>
      <c r="B359" t="s">
        <v>86</v>
      </c>
      <c r="C359" t="s">
        <v>87</v>
      </c>
      <c r="D359" t="s">
        <v>22</v>
      </c>
      <c r="E359" s="1">
        <v>45336</v>
      </c>
      <c r="F359">
        <v>96</v>
      </c>
      <c r="G359" t="s">
        <v>26</v>
      </c>
      <c r="H359">
        <v>3</v>
      </c>
      <c r="I359">
        <v>162</v>
      </c>
      <c r="J359" t="s">
        <v>34</v>
      </c>
      <c r="L359" t="str" cm="1">
        <f t="array" ref="L359">_xlfn.IFS(H359&lt;=2,"bad",H359&lt;=2.5,"neutral",H359&gt;2.5,"good")</f>
        <v>good</v>
      </c>
      <c r="M359" t="str" cm="1">
        <f t="array" ref="M359">_xlfn.IFS(F359&lt;30,"short",F359&lt;90,"medium",F359&lt;180,"long",F359&gt;180,"very long")</f>
        <v>long</v>
      </c>
      <c r="N359" t="str">
        <f>LEFT(Table1[[#This Row],[Activity_Type]],3)</f>
        <v>Cam</v>
      </c>
      <c r="O359" t="str">
        <f>UPPER(Table1[[#This Row],[Column2]])</f>
        <v>VERMA</v>
      </c>
      <c r="P359">
        <f>LEN(Table1[[#This Row],[Visitor_Name]])</f>
        <v>6</v>
      </c>
      <c r="S359">
        <f>ROUND(Table1[[#This Row],[Rating]],0)</f>
        <v>3</v>
      </c>
      <c r="T359" t="s">
        <v>72</v>
      </c>
      <c r="U359" t="s">
        <v>66</v>
      </c>
      <c r="V359" s="5" t="s">
        <v>11</v>
      </c>
      <c r="W359">
        <v>163</v>
      </c>
    </row>
    <row r="360" spans="1:23" x14ac:dyDescent="0.25">
      <c r="A360">
        <v>1359</v>
      </c>
      <c r="B360" t="s">
        <v>92</v>
      </c>
      <c r="C360" t="s">
        <v>93</v>
      </c>
      <c r="D360" t="s">
        <v>21</v>
      </c>
      <c r="E360" s="1">
        <v>45475</v>
      </c>
      <c r="F360">
        <v>205</v>
      </c>
      <c r="G360" t="s">
        <v>26</v>
      </c>
      <c r="H360">
        <v>2.6</v>
      </c>
      <c r="I360">
        <v>464</v>
      </c>
      <c r="J360" t="s">
        <v>29</v>
      </c>
      <c r="L360" t="str" cm="1">
        <f t="array" ref="L360">_xlfn.IFS(H360&lt;=2,"bad",H360&lt;=2.5,"neutral",H360&gt;2.5,"good")</f>
        <v>good</v>
      </c>
      <c r="M360" t="str" cm="1">
        <f t="array" ref="M360">_xlfn.IFS(F360&lt;30,"short",F360&lt;90,"medium",F360&lt;180,"long",F360&gt;180,"very long")</f>
        <v>very long</v>
      </c>
      <c r="N360" t="str">
        <f>LEFT(Table1[[#This Row],[Activity_Type]],3)</f>
        <v>Bir</v>
      </c>
      <c r="O360" t="str">
        <f>UPPER(Table1[[#This Row],[Column2]])</f>
        <v>IYER</v>
      </c>
      <c r="P360">
        <f>LEN(Table1[[#This Row],[Visitor_Name]])</f>
        <v>5</v>
      </c>
      <c r="S360">
        <f>ROUND(Table1[[#This Row],[Rating]],0)</f>
        <v>3</v>
      </c>
      <c r="T360" t="s">
        <v>74</v>
      </c>
      <c r="U360" t="s">
        <v>62</v>
      </c>
      <c r="V360" s="5" t="s">
        <v>10</v>
      </c>
      <c r="W360">
        <v>164</v>
      </c>
    </row>
    <row r="361" spans="1:23" x14ac:dyDescent="0.25">
      <c r="A361">
        <v>1360</v>
      </c>
      <c r="B361" t="s">
        <v>90</v>
      </c>
      <c r="C361" t="s">
        <v>89</v>
      </c>
      <c r="D361" t="s">
        <v>22</v>
      </c>
      <c r="E361" s="1">
        <v>45376</v>
      </c>
      <c r="F361">
        <v>183</v>
      </c>
      <c r="G361" t="s">
        <v>26</v>
      </c>
      <c r="H361">
        <v>3.3</v>
      </c>
      <c r="I361">
        <v>137</v>
      </c>
      <c r="J361" t="s">
        <v>30</v>
      </c>
      <c r="L361" t="str" cm="1">
        <f t="array" ref="L361">_xlfn.IFS(H361&lt;=2,"bad",H361&lt;=2.5,"neutral",H361&gt;2.5,"good")</f>
        <v>good</v>
      </c>
      <c r="M361" t="str" cm="1">
        <f t="array" ref="M361">_xlfn.IFS(F361&lt;30,"short",F361&lt;90,"medium",F361&lt;180,"long",F361&gt;180,"very long")</f>
        <v>very long</v>
      </c>
      <c r="N361" t="str">
        <f>LEFT(Table1[[#This Row],[Activity_Type]],3)</f>
        <v>Cam</v>
      </c>
      <c r="O361" t="str">
        <f>UPPER(Table1[[#This Row],[Column2]])</f>
        <v>MENON</v>
      </c>
      <c r="P361">
        <f>LEN(Table1[[#This Row],[Visitor_Name]])</f>
        <v>5</v>
      </c>
      <c r="S361">
        <f>ROUND(Table1[[#This Row],[Rating]],0)</f>
        <v>3</v>
      </c>
      <c r="T361" t="s">
        <v>73</v>
      </c>
      <c r="U361" t="s">
        <v>60</v>
      </c>
      <c r="V361" s="5" t="s">
        <v>13</v>
      </c>
      <c r="W361">
        <v>164</v>
      </c>
    </row>
    <row r="362" spans="1:23" x14ac:dyDescent="0.25">
      <c r="A362">
        <v>1361</v>
      </c>
      <c r="B362" t="s">
        <v>84</v>
      </c>
      <c r="C362" t="s">
        <v>96</v>
      </c>
      <c r="D362" t="s">
        <v>20</v>
      </c>
      <c r="E362" s="1">
        <v>45475</v>
      </c>
      <c r="F362">
        <v>220</v>
      </c>
      <c r="G362" t="s">
        <v>26</v>
      </c>
      <c r="H362">
        <v>5</v>
      </c>
      <c r="I362">
        <v>166</v>
      </c>
      <c r="J362" t="s">
        <v>32</v>
      </c>
      <c r="L362" t="str" cm="1">
        <f t="array" ref="L362">_xlfn.IFS(H362&lt;=2,"bad",H362&lt;=2.5,"neutral",H362&gt;2.5,"good")</f>
        <v>good</v>
      </c>
      <c r="M362" t="str" cm="1">
        <f t="array" ref="M362">_xlfn.IFS(F362&lt;30,"short",F362&lt;90,"medium",F362&lt;180,"long",F362&gt;180,"very long")</f>
        <v>very long</v>
      </c>
      <c r="N362" t="str">
        <f>LEFT(Table1[[#This Row],[Activity_Type]],3)</f>
        <v>Hik</v>
      </c>
      <c r="O362" t="str">
        <f>UPPER(Table1[[#This Row],[Column2]])</f>
        <v>SHARMA</v>
      </c>
      <c r="P362">
        <f>LEN(Table1[[#This Row],[Visitor_Name]])</f>
        <v>5</v>
      </c>
      <c r="S362">
        <f>ROUND(Table1[[#This Row],[Rating]],0)</f>
        <v>5</v>
      </c>
      <c r="T362" t="s">
        <v>76</v>
      </c>
      <c r="U362" t="s">
        <v>63</v>
      </c>
      <c r="V362" s="5" t="s">
        <v>15</v>
      </c>
      <c r="W362">
        <v>174</v>
      </c>
    </row>
    <row r="363" spans="1:23" x14ac:dyDescent="0.25">
      <c r="A363">
        <v>1362</v>
      </c>
      <c r="B363" t="s">
        <v>91</v>
      </c>
      <c r="C363" t="s">
        <v>93</v>
      </c>
      <c r="D363" t="s">
        <v>23</v>
      </c>
      <c r="E363" s="1">
        <v>45327</v>
      </c>
      <c r="F363">
        <v>96</v>
      </c>
      <c r="G363" t="s">
        <v>27</v>
      </c>
      <c r="H363">
        <v>4.0999999999999996</v>
      </c>
      <c r="I363">
        <v>228</v>
      </c>
      <c r="J363" t="s">
        <v>33</v>
      </c>
      <c r="L363" t="str" cm="1">
        <f t="array" ref="L363">_xlfn.IFS(H363&lt;=2,"bad",H363&lt;=2.5,"neutral",H363&gt;2.5,"good")</f>
        <v>good</v>
      </c>
      <c r="M363" t="str" cm="1">
        <f t="array" ref="M363">_xlfn.IFS(F363&lt;30,"short",F363&lt;90,"medium",F363&lt;180,"long",F363&gt;180,"very long")</f>
        <v>long</v>
      </c>
      <c r="N363" t="str">
        <f>LEFT(Table1[[#This Row],[Activity_Type]],3)</f>
        <v>Boa</v>
      </c>
      <c r="O363" t="str">
        <f>UPPER(Table1[[#This Row],[Column2]])</f>
        <v>IYER</v>
      </c>
      <c r="P363">
        <f>LEN(Table1[[#This Row],[Visitor_Name]])</f>
        <v>5</v>
      </c>
      <c r="S363">
        <f>ROUND(Table1[[#This Row],[Rating]],0)</f>
        <v>4</v>
      </c>
      <c r="T363" t="s">
        <v>74</v>
      </c>
      <c r="U363" t="s">
        <v>61</v>
      </c>
      <c r="V363" s="5" t="s">
        <v>10</v>
      </c>
      <c r="W363">
        <v>174</v>
      </c>
    </row>
    <row r="364" spans="1:23" x14ac:dyDescent="0.25">
      <c r="A364">
        <v>1363</v>
      </c>
      <c r="B364" t="s">
        <v>84</v>
      </c>
      <c r="C364" t="s">
        <v>95</v>
      </c>
      <c r="D364" t="s">
        <v>21</v>
      </c>
      <c r="E364" s="1">
        <v>45440</v>
      </c>
      <c r="F364">
        <v>35</v>
      </c>
      <c r="G364" t="s">
        <v>24</v>
      </c>
      <c r="H364">
        <v>2.7</v>
      </c>
      <c r="I364">
        <v>173</v>
      </c>
      <c r="J364" t="s">
        <v>30</v>
      </c>
      <c r="L364" t="str" cm="1">
        <f t="array" ref="L364">_xlfn.IFS(H364&lt;=2,"bad",H364&lt;=2.5,"neutral",H364&gt;2.5,"good")</f>
        <v>good</v>
      </c>
      <c r="M364" t="str" cm="1">
        <f t="array" ref="M364">_xlfn.IFS(F364&lt;30,"short",F364&lt;90,"medium",F364&lt;180,"long",F364&gt;180,"very long")</f>
        <v>medium</v>
      </c>
      <c r="N364" t="str">
        <f>LEFT(Table1[[#This Row],[Activity_Type]],3)</f>
        <v>Bir</v>
      </c>
      <c r="O364" t="str">
        <f>UPPER(Table1[[#This Row],[Column2]])</f>
        <v>SINGH</v>
      </c>
      <c r="P364">
        <f>LEN(Table1[[#This Row],[Visitor_Name]])</f>
        <v>5</v>
      </c>
      <c r="S364">
        <f>ROUND(Table1[[#This Row],[Rating]],0)</f>
        <v>3</v>
      </c>
      <c r="T364" t="s">
        <v>75</v>
      </c>
      <c r="U364" t="s">
        <v>63</v>
      </c>
      <c r="V364" s="5" t="s">
        <v>10</v>
      </c>
      <c r="W364">
        <v>181</v>
      </c>
    </row>
    <row r="365" spans="1:23" x14ac:dyDescent="0.25">
      <c r="A365">
        <v>1364</v>
      </c>
      <c r="B365" t="s">
        <v>79</v>
      </c>
      <c r="C365" t="s">
        <v>95</v>
      </c>
      <c r="D365" t="s">
        <v>18</v>
      </c>
      <c r="E365" s="1">
        <v>45469</v>
      </c>
      <c r="F365">
        <v>21</v>
      </c>
      <c r="G365" t="s">
        <v>27</v>
      </c>
      <c r="H365">
        <v>2.9</v>
      </c>
      <c r="I365">
        <v>330</v>
      </c>
      <c r="J365" t="s">
        <v>31</v>
      </c>
      <c r="L365" t="str" cm="1">
        <f t="array" ref="L365">_xlfn.IFS(H365&lt;=2,"bad",H365&lt;=2.5,"neutral",H365&gt;2.5,"good")</f>
        <v>good</v>
      </c>
      <c r="M365" t="str" cm="1">
        <f t="array" ref="M365">_xlfn.IFS(F365&lt;30,"short",F365&lt;90,"medium",F365&lt;180,"long",F365&gt;180,"very long")</f>
        <v>short</v>
      </c>
      <c r="N365" t="str">
        <f>LEFT(Table1[[#This Row],[Activity_Type]],3)</f>
        <v>Pho</v>
      </c>
      <c r="O365" t="str">
        <f>UPPER(Table1[[#This Row],[Column2]])</f>
        <v>SINGH</v>
      </c>
      <c r="P365">
        <f>LEN(Table1[[#This Row],[Visitor_Name]])</f>
        <v>5</v>
      </c>
      <c r="S365">
        <f>ROUND(Table1[[#This Row],[Rating]],0)</f>
        <v>3</v>
      </c>
      <c r="T365" t="s">
        <v>75</v>
      </c>
      <c r="U365" t="s">
        <v>58</v>
      </c>
      <c r="V365" s="5" t="s">
        <v>17</v>
      </c>
      <c r="W365">
        <v>183</v>
      </c>
    </row>
    <row r="366" spans="1:23" x14ac:dyDescent="0.25">
      <c r="A366">
        <v>1365</v>
      </c>
      <c r="B366" t="s">
        <v>86</v>
      </c>
      <c r="C366" t="s">
        <v>96</v>
      </c>
      <c r="D366" t="s">
        <v>20</v>
      </c>
      <c r="E366" s="1">
        <v>45303</v>
      </c>
      <c r="F366">
        <v>113</v>
      </c>
      <c r="G366" t="s">
        <v>26</v>
      </c>
      <c r="H366">
        <v>4.7</v>
      </c>
      <c r="I366">
        <v>309</v>
      </c>
      <c r="J366" t="s">
        <v>36</v>
      </c>
      <c r="L366" t="str" cm="1">
        <f t="array" ref="L366">_xlfn.IFS(H366&lt;=2,"bad",H366&lt;=2.5,"neutral",H366&gt;2.5,"good")</f>
        <v>good</v>
      </c>
      <c r="M366" t="str" cm="1">
        <f t="array" ref="M366">_xlfn.IFS(F366&lt;30,"short",F366&lt;90,"medium",F366&lt;180,"long",F366&gt;180,"very long")</f>
        <v>long</v>
      </c>
      <c r="N366" t="str">
        <f>LEFT(Table1[[#This Row],[Activity_Type]],3)</f>
        <v>Hik</v>
      </c>
      <c r="O366" t="str">
        <f>UPPER(Table1[[#This Row],[Column2]])</f>
        <v>SHARMA</v>
      </c>
      <c r="P366">
        <f>LEN(Table1[[#This Row],[Visitor_Name]])</f>
        <v>6</v>
      </c>
      <c r="S366">
        <f>ROUND(Table1[[#This Row],[Rating]],0)</f>
        <v>5</v>
      </c>
      <c r="T366" t="s">
        <v>76</v>
      </c>
      <c r="U366" t="s">
        <v>66</v>
      </c>
      <c r="V366" s="5" t="s">
        <v>10</v>
      </c>
      <c r="W366">
        <v>184</v>
      </c>
    </row>
    <row r="367" spans="1:23" x14ac:dyDescent="0.25">
      <c r="A367">
        <v>1366</v>
      </c>
      <c r="B367" t="s">
        <v>94</v>
      </c>
      <c r="C367" t="s">
        <v>87</v>
      </c>
      <c r="D367" t="s">
        <v>18</v>
      </c>
      <c r="E367" s="1">
        <v>45417</v>
      </c>
      <c r="F367">
        <v>95</v>
      </c>
      <c r="G367" t="s">
        <v>26</v>
      </c>
      <c r="H367">
        <v>3.2</v>
      </c>
      <c r="I367">
        <v>276</v>
      </c>
      <c r="J367" t="s">
        <v>30</v>
      </c>
      <c r="L367" t="str" cm="1">
        <f t="array" ref="L367">_xlfn.IFS(H367&lt;=2,"bad",H367&lt;=2.5,"neutral",H367&gt;2.5,"good")</f>
        <v>good</v>
      </c>
      <c r="M367" t="str" cm="1">
        <f t="array" ref="M367">_xlfn.IFS(F367&lt;30,"short",F367&lt;90,"medium",F367&lt;180,"long",F367&gt;180,"very long")</f>
        <v>long</v>
      </c>
      <c r="N367" t="str">
        <f>LEFT(Table1[[#This Row],[Activity_Type]],3)</f>
        <v>Pho</v>
      </c>
      <c r="O367" t="str">
        <f>UPPER(Table1[[#This Row],[Column2]])</f>
        <v>VERMA</v>
      </c>
      <c r="P367">
        <f>LEN(Table1[[#This Row],[Visitor_Name]])</f>
        <v>5</v>
      </c>
      <c r="S367">
        <f>ROUND(Table1[[#This Row],[Rating]],0)</f>
        <v>3</v>
      </c>
      <c r="T367" t="s">
        <v>72</v>
      </c>
      <c r="U367" t="s">
        <v>64</v>
      </c>
      <c r="V367" s="5" t="s">
        <v>17</v>
      </c>
      <c r="W367">
        <v>188</v>
      </c>
    </row>
    <row r="368" spans="1:23" x14ac:dyDescent="0.25">
      <c r="A368">
        <v>1367</v>
      </c>
      <c r="B368" t="s">
        <v>90</v>
      </c>
      <c r="C368" t="s">
        <v>80</v>
      </c>
      <c r="D368" t="s">
        <v>22</v>
      </c>
      <c r="E368" s="1">
        <v>45524</v>
      </c>
      <c r="F368">
        <v>99</v>
      </c>
      <c r="G368" t="s">
        <v>26</v>
      </c>
      <c r="H368">
        <v>4.5999999999999996</v>
      </c>
      <c r="I368">
        <v>471</v>
      </c>
      <c r="J368" t="s">
        <v>37</v>
      </c>
      <c r="L368" t="str" cm="1">
        <f t="array" ref="L368">_xlfn.IFS(H368&lt;=2,"bad",H368&lt;=2.5,"neutral",H368&gt;2.5,"good")</f>
        <v>good</v>
      </c>
      <c r="M368" t="str" cm="1">
        <f t="array" ref="M368">_xlfn.IFS(F368&lt;30,"short",F368&lt;90,"medium",F368&lt;180,"long",F368&gt;180,"very long")</f>
        <v>long</v>
      </c>
      <c r="N368" t="str">
        <f>LEFT(Table1[[#This Row],[Activity_Type]],3)</f>
        <v>Cam</v>
      </c>
      <c r="O368" t="str">
        <f>UPPER(Table1[[#This Row],[Column2]])</f>
        <v>MEHTA</v>
      </c>
      <c r="P368">
        <f>LEN(Table1[[#This Row],[Visitor_Name]])</f>
        <v>5</v>
      </c>
      <c r="S368">
        <f>ROUND(Table1[[#This Row],[Rating]],0)</f>
        <v>5</v>
      </c>
      <c r="T368" t="s">
        <v>68</v>
      </c>
      <c r="U368" t="s">
        <v>60</v>
      </c>
      <c r="V368" s="5" t="s">
        <v>15</v>
      </c>
      <c r="W368">
        <v>198</v>
      </c>
    </row>
    <row r="369" spans="1:23" x14ac:dyDescent="0.25">
      <c r="A369">
        <v>1368</v>
      </c>
      <c r="B369" t="s">
        <v>90</v>
      </c>
      <c r="C369" t="s">
        <v>96</v>
      </c>
      <c r="D369" t="s">
        <v>23</v>
      </c>
      <c r="E369" s="1">
        <v>45539</v>
      </c>
      <c r="F369">
        <v>131</v>
      </c>
      <c r="G369" t="s">
        <v>26</v>
      </c>
      <c r="H369">
        <v>3.2</v>
      </c>
      <c r="I369">
        <v>496</v>
      </c>
      <c r="J369" t="s">
        <v>35</v>
      </c>
      <c r="L369" t="str" cm="1">
        <f t="array" ref="L369">_xlfn.IFS(H369&lt;=2,"bad",H369&lt;=2.5,"neutral",H369&gt;2.5,"good")</f>
        <v>good</v>
      </c>
      <c r="M369" t="str" cm="1">
        <f t="array" ref="M369">_xlfn.IFS(F369&lt;30,"short",F369&lt;90,"medium",F369&lt;180,"long",F369&gt;180,"very long")</f>
        <v>long</v>
      </c>
      <c r="N369" t="str">
        <f>LEFT(Table1[[#This Row],[Activity_Type]],3)</f>
        <v>Boa</v>
      </c>
      <c r="O369" t="str">
        <f>UPPER(Table1[[#This Row],[Column2]])</f>
        <v>SHARMA</v>
      </c>
      <c r="P369">
        <f>LEN(Table1[[#This Row],[Visitor_Name]])</f>
        <v>5</v>
      </c>
      <c r="S369">
        <f>ROUND(Table1[[#This Row],[Rating]],0)</f>
        <v>3</v>
      </c>
      <c r="T369" t="s">
        <v>76</v>
      </c>
      <c r="U369" t="s">
        <v>60</v>
      </c>
      <c r="V369" s="5" t="s">
        <v>11</v>
      </c>
      <c r="W369">
        <v>200</v>
      </c>
    </row>
    <row r="370" spans="1:23" x14ac:dyDescent="0.25">
      <c r="A370">
        <v>1369</v>
      </c>
      <c r="B370" t="s">
        <v>86</v>
      </c>
      <c r="C370" t="s">
        <v>98</v>
      </c>
      <c r="D370" t="s">
        <v>21</v>
      </c>
      <c r="E370" s="1">
        <v>45353</v>
      </c>
      <c r="F370">
        <v>147</v>
      </c>
      <c r="G370" t="s">
        <v>25</v>
      </c>
      <c r="H370">
        <v>3.1</v>
      </c>
      <c r="I370">
        <v>228</v>
      </c>
      <c r="J370" t="s">
        <v>34</v>
      </c>
      <c r="L370" t="str" cm="1">
        <f t="array" ref="L370">_xlfn.IFS(H370&lt;=2,"bad",H370&lt;=2.5,"neutral",H370&gt;2.5,"good")</f>
        <v>good</v>
      </c>
      <c r="M370" t="str" cm="1">
        <f t="array" ref="M370">_xlfn.IFS(F370&lt;30,"short",F370&lt;90,"medium",F370&lt;180,"long",F370&gt;180,"very long")</f>
        <v>long</v>
      </c>
      <c r="N370" t="str">
        <f>LEFT(Table1[[#This Row],[Activity_Type]],3)</f>
        <v>Bir</v>
      </c>
      <c r="O370" t="str">
        <f>UPPER(Table1[[#This Row],[Column2]])</f>
        <v>REDDY</v>
      </c>
      <c r="P370">
        <f>LEN(Table1[[#This Row],[Visitor_Name]])</f>
        <v>6</v>
      </c>
      <c r="S370">
        <f>ROUND(Table1[[#This Row],[Rating]],0)</f>
        <v>3</v>
      </c>
      <c r="T370" t="s">
        <v>77</v>
      </c>
      <c r="U370" t="s">
        <v>66</v>
      </c>
      <c r="V370" s="5" t="s">
        <v>15</v>
      </c>
      <c r="W370">
        <v>205</v>
      </c>
    </row>
    <row r="371" spans="1:23" x14ac:dyDescent="0.25">
      <c r="A371">
        <v>1370</v>
      </c>
      <c r="B371" t="s">
        <v>94</v>
      </c>
      <c r="C371" t="s">
        <v>81</v>
      </c>
      <c r="D371" t="s">
        <v>23</v>
      </c>
      <c r="E371" s="1">
        <v>45392</v>
      </c>
      <c r="F371">
        <v>73</v>
      </c>
      <c r="G371" t="s">
        <v>25</v>
      </c>
      <c r="H371">
        <v>3.8</v>
      </c>
      <c r="I371">
        <v>340</v>
      </c>
      <c r="J371" t="s">
        <v>28</v>
      </c>
      <c r="L371" t="str" cm="1">
        <f t="array" ref="L371">_xlfn.IFS(H371&lt;=2,"bad",H371&lt;=2.5,"neutral",H371&gt;2.5,"good")</f>
        <v>good</v>
      </c>
      <c r="M371" t="str" cm="1">
        <f t="array" ref="M371">_xlfn.IFS(F371&lt;30,"short",F371&lt;90,"medium",F371&lt;180,"long",F371&gt;180,"very long")</f>
        <v>medium</v>
      </c>
      <c r="N371" t="str">
        <f>LEFT(Table1[[#This Row],[Activity_Type]],3)</f>
        <v>Boa</v>
      </c>
      <c r="O371" t="str">
        <f>UPPER(Table1[[#This Row],[Column2]])</f>
        <v>PATEL</v>
      </c>
      <c r="P371">
        <f>LEN(Table1[[#This Row],[Visitor_Name]])</f>
        <v>5</v>
      </c>
      <c r="S371">
        <f>ROUND(Table1[[#This Row],[Rating]],0)</f>
        <v>4</v>
      </c>
      <c r="T371" t="s">
        <v>69</v>
      </c>
      <c r="U371" t="s">
        <v>64</v>
      </c>
      <c r="V371" s="5" t="s">
        <v>11</v>
      </c>
      <c r="W371">
        <v>220</v>
      </c>
    </row>
    <row r="372" spans="1:23" x14ac:dyDescent="0.25">
      <c r="A372">
        <v>1371</v>
      </c>
      <c r="B372" t="s">
        <v>88</v>
      </c>
      <c r="C372" t="s">
        <v>81</v>
      </c>
      <c r="D372" t="s">
        <v>20</v>
      </c>
      <c r="E372" s="1">
        <v>45625</v>
      </c>
      <c r="F372">
        <v>238</v>
      </c>
      <c r="G372" t="s">
        <v>24</v>
      </c>
      <c r="H372">
        <v>4.9000000000000004</v>
      </c>
      <c r="I372">
        <v>111</v>
      </c>
      <c r="J372" t="s">
        <v>29</v>
      </c>
      <c r="L372" t="str" cm="1">
        <f t="array" ref="L372">_xlfn.IFS(H372&lt;=2,"bad",H372&lt;=2.5,"neutral",H372&gt;2.5,"good")</f>
        <v>good</v>
      </c>
      <c r="M372" t="str" cm="1">
        <f t="array" ref="M372">_xlfn.IFS(F372&lt;30,"short",F372&lt;90,"medium",F372&lt;180,"long",F372&gt;180,"very long")</f>
        <v>very long</v>
      </c>
      <c r="N372" t="str">
        <f>LEFT(Table1[[#This Row],[Activity_Type]],3)</f>
        <v>Hik</v>
      </c>
      <c r="O372" t="str">
        <f>UPPER(Table1[[#This Row],[Column2]])</f>
        <v>PATEL</v>
      </c>
      <c r="P372">
        <f>LEN(Table1[[#This Row],[Visitor_Name]])</f>
        <v>6</v>
      </c>
      <c r="S372">
        <f>ROUND(Table1[[#This Row],[Rating]],0)</f>
        <v>5</v>
      </c>
      <c r="T372" t="s">
        <v>69</v>
      </c>
      <c r="U372" t="s">
        <v>67</v>
      </c>
      <c r="V372" s="5" t="s">
        <v>17</v>
      </c>
      <c r="W372">
        <v>222</v>
      </c>
    </row>
    <row r="373" spans="1:23" x14ac:dyDescent="0.25">
      <c r="A373">
        <v>1372</v>
      </c>
      <c r="B373" t="s">
        <v>86</v>
      </c>
      <c r="C373" t="s">
        <v>83</v>
      </c>
      <c r="D373" t="s">
        <v>20</v>
      </c>
      <c r="E373" s="1">
        <v>45498</v>
      </c>
      <c r="F373">
        <v>164</v>
      </c>
      <c r="G373" t="s">
        <v>26</v>
      </c>
      <c r="H373">
        <v>2.6</v>
      </c>
      <c r="I373">
        <v>324</v>
      </c>
      <c r="J373" t="s">
        <v>28</v>
      </c>
      <c r="L373" t="str" cm="1">
        <f t="array" ref="L373">_xlfn.IFS(H373&lt;=2,"bad",H373&lt;=2.5,"neutral",H373&gt;2.5,"good")</f>
        <v>good</v>
      </c>
      <c r="M373" t="str" cm="1">
        <f t="array" ref="M373">_xlfn.IFS(F373&lt;30,"short",F373&lt;90,"medium",F373&lt;180,"long",F373&gt;180,"very long")</f>
        <v>long</v>
      </c>
      <c r="N373" t="str">
        <f>LEFT(Table1[[#This Row],[Activity_Type]],3)</f>
        <v>Hik</v>
      </c>
      <c r="O373" t="str">
        <f>UPPER(Table1[[#This Row],[Column2]])</f>
        <v>NAIR</v>
      </c>
      <c r="P373">
        <f>LEN(Table1[[#This Row],[Visitor_Name]])</f>
        <v>6</v>
      </c>
      <c r="S373">
        <f>ROUND(Table1[[#This Row],[Rating]],0)</f>
        <v>3</v>
      </c>
      <c r="T373" t="s">
        <v>70</v>
      </c>
      <c r="U373" t="s">
        <v>66</v>
      </c>
      <c r="V373" s="5" t="s">
        <v>12</v>
      </c>
      <c r="W373">
        <v>225</v>
      </c>
    </row>
    <row r="374" spans="1:23" x14ac:dyDescent="0.25">
      <c r="A374">
        <v>1373</v>
      </c>
      <c r="B374" t="s">
        <v>94</v>
      </c>
      <c r="C374" t="s">
        <v>93</v>
      </c>
      <c r="D374" t="s">
        <v>20</v>
      </c>
      <c r="E374" s="1">
        <v>45523</v>
      </c>
      <c r="F374">
        <v>113</v>
      </c>
      <c r="G374" t="s">
        <v>24</v>
      </c>
      <c r="H374">
        <v>3.3</v>
      </c>
      <c r="I374">
        <v>243</v>
      </c>
      <c r="J374" t="s">
        <v>35</v>
      </c>
      <c r="L374" t="str" cm="1">
        <f t="array" ref="L374">_xlfn.IFS(H374&lt;=2,"bad",H374&lt;=2.5,"neutral",H374&gt;2.5,"good")</f>
        <v>good</v>
      </c>
      <c r="M374" t="str" cm="1">
        <f t="array" ref="M374">_xlfn.IFS(F374&lt;30,"short",F374&lt;90,"medium",F374&lt;180,"long",F374&gt;180,"very long")</f>
        <v>long</v>
      </c>
      <c r="N374" t="str">
        <f>LEFT(Table1[[#This Row],[Activity_Type]],3)</f>
        <v>Hik</v>
      </c>
      <c r="O374" t="str">
        <f>UPPER(Table1[[#This Row],[Column2]])</f>
        <v>IYER</v>
      </c>
      <c r="P374">
        <f>LEN(Table1[[#This Row],[Visitor_Name]])</f>
        <v>5</v>
      </c>
      <c r="S374">
        <f>ROUND(Table1[[#This Row],[Rating]],0)</f>
        <v>3</v>
      </c>
      <c r="T374" t="s">
        <v>74</v>
      </c>
      <c r="U374" t="s">
        <v>64</v>
      </c>
      <c r="V374" s="5" t="s">
        <v>17</v>
      </c>
      <c r="W374">
        <v>227</v>
      </c>
    </row>
    <row r="375" spans="1:23" x14ac:dyDescent="0.25">
      <c r="A375">
        <v>1374</v>
      </c>
      <c r="B375" t="s">
        <v>86</v>
      </c>
      <c r="C375" t="s">
        <v>85</v>
      </c>
      <c r="D375" t="s">
        <v>22</v>
      </c>
      <c r="E375" s="1">
        <v>45571</v>
      </c>
      <c r="F375">
        <v>117</v>
      </c>
      <c r="G375" t="s">
        <v>27</v>
      </c>
      <c r="H375">
        <v>3.1</v>
      </c>
      <c r="I375">
        <v>421</v>
      </c>
      <c r="J375" t="s">
        <v>36</v>
      </c>
      <c r="L375" t="str" cm="1">
        <f t="array" ref="L375">_xlfn.IFS(H375&lt;=2,"bad",H375&lt;=2.5,"neutral",H375&gt;2.5,"good")</f>
        <v>good</v>
      </c>
      <c r="M375" t="str" cm="1">
        <f t="array" ref="M375">_xlfn.IFS(F375&lt;30,"short",F375&lt;90,"medium",F375&lt;180,"long",F375&gt;180,"very long")</f>
        <v>long</v>
      </c>
      <c r="N375" t="str">
        <f>LEFT(Table1[[#This Row],[Activity_Type]],3)</f>
        <v>Cam</v>
      </c>
      <c r="O375" t="str">
        <f>UPPER(Table1[[#This Row],[Column2]])</f>
        <v>DAS</v>
      </c>
      <c r="P375">
        <f>LEN(Table1[[#This Row],[Visitor_Name]])</f>
        <v>6</v>
      </c>
      <c r="S375">
        <f>ROUND(Table1[[#This Row],[Rating]],0)</f>
        <v>3</v>
      </c>
      <c r="T375" t="s">
        <v>71</v>
      </c>
      <c r="U375" t="s">
        <v>66</v>
      </c>
      <c r="V375" s="5" t="s">
        <v>14</v>
      </c>
      <c r="W375">
        <v>227</v>
      </c>
    </row>
    <row r="376" spans="1:23" x14ac:dyDescent="0.25">
      <c r="A376">
        <v>1375</v>
      </c>
      <c r="B376" t="s">
        <v>88</v>
      </c>
      <c r="C376" t="s">
        <v>89</v>
      </c>
      <c r="D376" t="s">
        <v>19</v>
      </c>
      <c r="E376" s="1">
        <v>45331</v>
      </c>
      <c r="F376">
        <v>154</v>
      </c>
      <c r="G376" t="s">
        <v>26</v>
      </c>
      <c r="H376">
        <v>4.0999999999999996</v>
      </c>
      <c r="I376">
        <v>471</v>
      </c>
      <c r="J376" t="s">
        <v>30</v>
      </c>
      <c r="L376" t="str" cm="1">
        <f t="array" ref="L376">_xlfn.IFS(H376&lt;=2,"bad",H376&lt;=2.5,"neutral",H376&gt;2.5,"good")</f>
        <v>good</v>
      </c>
      <c r="M376" t="str" cm="1">
        <f t="array" ref="M376">_xlfn.IFS(F376&lt;30,"short",F376&lt;90,"medium",F376&lt;180,"long",F376&gt;180,"very long")</f>
        <v>long</v>
      </c>
      <c r="N376" t="str">
        <f>LEFT(Table1[[#This Row],[Activity_Type]],3)</f>
        <v>Saf</v>
      </c>
      <c r="O376" t="str">
        <f>UPPER(Table1[[#This Row],[Column2]])</f>
        <v>MENON</v>
      </c>
      <c r="P376">
        <f>LEN(Table1[[#This Row],[Visitor_Name]])</f>
        <v>6</v>
      </c>
      <c r="S376">
        <f>ROUND(Table1[[#This Row],[Rating]],0)</f>
        <v>4</v>
      </c>
      <c r="T376" t="s">
        <v>73</v>
      </c>
      <c r="U376" t="s">
        <v>67</v>
      </c>
      <c r="V376" s="5" t="s">
        <v>13</v>
      </c>
      <c r="W376">
        <v>228</v>
      </c>
    </row>
    <row r="377" spans="1:23" x14ac:dyDescent="0.25">
      <c r="A377">
        <v>1376</v>
      </c>
      <c r="B377" t="s">
        <v>88</v>
      </c>
      <c r="C377" t="s">
        <v>80</v>
      </c>
      <c r="D377" t="s">
        <v>20</v>
      </c>
      <c r="E377" s="1">
        <v>45547</v>
      </c>
      <c r="F377">
        <v>50</v>
      </c>
      <c r="G377" t="s">
        <v>27</v>
      </c>
      <c r="H377">
        <v>4.7</v>
      </c>
      <c r="I377">
        <v>263</v>
      </c>
      <c r="J377" t="s">
        <v>30</v>
      </c>
      <c r="L377" t="str" cm="1">
        <f t="array" ref="L377">_xlfn.IFS(H377&lt;=2,"bad",H377&lt;=2.5,"neutral",H377&gt;2.5,"good")</f>
        <v>good</v>
      </c>
      <c r="M377" t="str" cm="1">
        <f t="array" ref="M377">_xlfn.IFS(F377&lt;30,"short",F377&lt;90,"medium",F377&lt;180,"long",F377&gt;180,"very long")</f>
        <v>medium</v>
      </c>
      <c r="N377" t="str">
        <f>LEFT(Table1[[#This Row],[Activity_Type]],3)</f>
        <v>Hik</v>
      </c>
      <c r="O377" t="str">
        <f>UPPER(Table1[[#This Row],[Column2]])</f>
        <v>MEHTA</v>
      </c>
      <c r="P377">
        <f>LEN(Table1[[#This Row],[Visitor_Name]])</f>
        <v>6</v>
      </c>
      <c r="S377">
        <f>ROUND(Table1[[#This Row],[Rating]],0)</f>
        <v>5</v>
      </c>
      <c r="T377" t="s">
        <v>68</v>
      </c>
      <c r="U377" t="s">
        <v>67</v>
      </c>
      <c r="V377" s="5" t="s">
        <v>15</v>
      </c>
      <c r="W377">
        <v>238</v>
      </c>
    </row>
    <row r="378" spans="1:23" x14ac:dyDescent="0.25">
      <c r="A378">
        <v>1377</v>
      </c>
      <c r="B378" t="s">
        <v>90</v>
      </c>
      <c r="C378" t="s">
        <v>81</v>
      </c>
      <c r="D378" t="s">
        <v>19</v>
      </c>
      <c r="E378" s="1">
        <v>45424</v>
      </c>
      <c r="F378">
        <v>58</v>
      </c>
      <c r="G378" t="s">
        <v>24</v>
      </c>
      <c r="H378">
        <v>3.8</v>
      </c>
      <c r="I378">
        <v>123</v>
      </c>
      <c r="J378" t="s">
        <v>37</v>
      </c>
      <c r="L378" t="str" cm="1">
        <f t="array" ref="L378">_xlfn.IFS(H378&lt;=2,"bad",H378&lt;=2.5,"neutral",H378&gt;2.5,"good")</f>
        <v>good</v>
      </c>
      <c r="M378" t="str" cm="1">
        <f t="array" ref="M378">_xlfn.IFS(F378&lt;30,"short",F378&lt;90,"medium",F378&lt;180,"long",F378&gt;180,"very long")</f>
        <v>medium</v>
      </c>
      <c r="N378" t="str">
        <f>LEFT(Table1[[#This Row],[Activity_Type]],3)</f>
        <v>Saf</v>
      </c>
      <c r="O378" t="str">
        <f>UPPER(Table1[[#This Row],[Column2]])</f>
        <v>PATEL</v>
      </c>
      <c r="P378">
        <f>LEN(Table1[[#This Row],[Visitor_Name]])</f>
        <v>5</v>
      </c>
      <c r="S378">
        <f>ROUND(Table1[[#This Row],[Rating]],0)</f>
        <v>4</v>
      </c>
      <c r="T378" t="s">
        <v>69</v>
      </c>
      <c r="U378" t="s">
        <v>60</v>
      </c>
      <c r="V378" s="5" t="s">
        <v>13</v>
      </c>
      <c r="W378">
        <v>20</v>
      </c>
    </row>
    <row r="379" spans="1:23" x14ac:dyDescent="0.25">
      <c r="A379">
        <v>1378</v>
      </c>
      <c r="B379" t="s">
        <v>90</v>
      </c>
      <c r="C379" t="s">
        <v>93</v>
      </c>
      <c r="D379" t="s">
        <v>23</v>
      </c>
      <c r="E379" s="1">
        <v>45393</v>
      </c>
      <c r="F379">
        <v>165</v>
      </c>
      <c r="G379" t="s">
        <v>27</v>
      </c>
      <c r="H379">
        <v>3.8</v>
      </c>
      <c r="I379">
        <v>128</v>
      </c>
      <c r="J379" t="s">
        <v>29</v>
      </c>
      <c r="L379" t="str" cm="1">
        <f t="array" ref="L379">_xlfn.IFS(H379&lt;=2,"bad",H379&lt;=2.5,"neutral",H379&gt;2.5,"good")</f>
        <v>good</v>
      </c>
      <c r="M379" t="str" cm="1">
        <f t="array" ref="M379">_xlfn.IFS(F379&lt;30,"short",F379&lt;90,"medium",F379&lt;180,"long",F379&gt;180,"very long")</f>
        <v>long</v>
      </c>
      <c r="N379" t="str">
        <f>LEFT(Table1[[#This Row],[Activity_Type]],3)</f>
        <v>Boa</v>
      </c>
      <c r="O379" t="str">
        <f>UPPER(Table1[[#This Row],[Column2]])</f>
        <v>IYER</v>
      </c>
      <c r="P379">
        <f>LEN(Table1[[#This Row],[Visitor_Name]])</f>
        <v>5</v>
      </c>
      <c r="S379">
        <f>ROUND(Table1[[#This Row],[Rating]],0)</f>
        <v>4</v>
      </c>
      <c r="T379" t="s">
        <v>74</v>
      </c>
      <c r="U379" t="s">
        <v>60</v>
      </c>
      <c r="V379" s="5" t="s">
        <v>14</v>
      </c>
      <c r="W379">
        <v>22</v>
      </c>
    </row>
    <row r="380" spans="1:23" x14ac:dyDescent="0.25">
      <c r="A380">
        <v>1379</v>
      </c>
      <c r="B380" t="s">
        <v>79</v>
      </c>
      <c r="C380" t="s">
        <v>87</v>
      </c>
      <c r="D380" t="s">
        <v>21</v>
      </c>
      <c r="E380" s="1">
        <v>45440</v>
      </c>
      <c r="F380">
        <v>22</v>
      </c>
      <c r="G380" t="s">
        <v>27</v>
      </c>
      <c r="H380">
        <v>3.4</v>
      </c>
      <c r="I380">
        <v>342</v>
      </c>
      <c r="J380" t="s">
        <v>35</v>
      </c>
      <c r="L380" t="str" cm="1">
        <f t="array" ref="L380">_xlfn.IFS(H380&lt;=2,"bad",H380&lt;=2.5,"neutral",H380&gt;2.5,"good")</f>
        <v>good</v>
      </c>
      <c r="M380" t="str" cm="1">
        <f t="array" ref="M380">_xlfn.IFS(F380&lt;30,"short",F380&lt;90,"medium",F380&lt;180,"long",F380&gt;180,"very long")</f>
        <v>short</v>
      </c>
      <c r="N380" t="str">
        <f>LEFT(Table1[[#This Row],[Activity_Type]],3)</f>
        <v>Bir</v>
      </c>
      <c r="O380" t="str">
        <f>UPPER(Table1[[#This Row],[Column2]])</f>
        <v>VERMA</v>
      </c>
      <c r="P380">
        <f>LEN(Table1[[#This Row],[Visitor_Name]])</f>
        <v>5</v>
      </c>
      <c r="S380">
        <f>ROUND(Table1[[#This Row],[Rating]],0)</f>
        <v>3</v>
      </c>
      <c r="T380" t="s">
        <v>72</v>
      </c>
      <c r="U380" t="s">
        <v>58</v>
      </c>
      <c r="V380" s="5" t="s">
        <v>16</v>
      </c>
      <c r="W380">
        <v>30</v>
      </c>
    </row>
    <row r="381" spans="1:23" x14ac:dyDescent="0.25">
      <c r="A381">
        <v>1380</v>
      </c>
      <c r="B381" t="s">
        <v>92</v>
      </c>
      <c r="C381" t="s">
        <v>83</v>
      </c>
      <c r="D381" t="s">
        <v>20</v>
      </c>
      <c r="E381" s="1">
        <v>45444</v>
      </c>
      <c r="F381">
        <v>77</v>
      </c>
      <c r="G381" t="s">
        <v>27</v>
      </c>
      <c r="H381">
        <v>4</v>
      </c>
      <c r="I381">
        <v>295</v>
      </c>
      <c r="J381" t="s">
        <v>35</v>
      </c>
      <c r="L381" t="str" cm="1">
        <f t="array" ref="L381">_xlfn.IFS(H381&lt;=2,"bad",H381&lt;=2.5,"neutral",H381&gt;2.5,"good")</f>
        <v>good</v>
      </c>
      <c r="M381" t="str" cm="1">
        <f t="array" ref="M381">_xlfn.IFS(F381&lt;30,"short",F381&lt;90,"medium",F381&lt;180,"long",F381&gt;180,"very long")</f>
        <v>medium</v>
      </c>
      <c r="N381" t="str">
        <f>LEFT(Table1[[#This Row],[Activity_Type]],3)</f>
        <v>Hik</v>
      </c>
      <c r="O381" t="str">
        <f>UPPER(Table1[[#This Row],[Column2]])</f>
        <v>NAIR</v>
      </c>
      <c r="P381">
        <f>LEN(Table1[[#This Row],[Visitor_Name]])</f>
        <v>5</v>
      </c>
      <c r="S381">
        <f>ROUND(Table1[[#This Row],[Rating]],0)</f>
        <v>4</v>
      </c>
      <c r="T381" t="s">
        <v>70</v>
      </c>
      <c r="U381" t="s">
        <v>62</v>
      </c>
      <c r="V381" s="5" t="s">
        <v>10</v>
      </c>
      <c r="W381">
        <v>43</v>
      </c>
    </row>
    <row r="382" spans="1:23" x14ac:dyDescent="0.25">
      <c r="A382">
        <v>1381</v>
      </c>
      <c r="B382" t="s">
        <v>90</v>
      </c>
      <c r="C382" t="s">
        <v>93</v>
      </c>
      <c r="D382" t="s">
        <v>21</v>
      </c>
      <c r="E382" s="1">
        <v>45439</v>
      </c>
      <c r="F382">
        <v>43</v>
      </c>
      <c r="G382" t="s">
        <v>27</v>
      </c>
      <c r="H382">
        <v>3.9</v>
      </c>
      <c r="I382">
        <v>387</v>
      </c>
      <c r="J382" t="s">
        <v>34</v>
      </c>
      <c r="L382" t="str" cm="1">
        <f t="array" ref="L382">_xlfn.IFS(H382&lt;=2,"bad",H382&lt;=2.5,"neutral",H382&gt;2.5,"good")</f>
        <v>good</v>
      </c>
      <c r="M382" t="str" cm="1">
        <f t="array" ref="M382">_xlfn.IFS(F382&lt;30,"short",F382&lt;90,"medium",F382&lt;180,"long",F382&gt;180,"very long")</f>
        <v>medium</v>
      </c>
      <c r="N382" t="str">
        <f>LEFT(Table1[[#This Row],[Activity_Type]],3)</f>
        <v>Bir</v>
      </c>
      <c r="O382" t="str">
        <f>UPPER(Table1[[#This Row],[Column2]])</f>
        <v>IYER</v>
      </c>
      <c r="P382">
        <f>LEN(Table1[[#This Row],[Visitor_Name]])</f>
        <v>5</v>
      </c>
      <c r="S382">
        <f>ROUND(Table1[[#This Row],[Rating]],0)</f>
        <v>4</v>
      </c>
      <c r="T382" t="s">
        <v>74</v>
      </c>
      <c r="U382" t="s">
        <v>60</v>
      </c>
      <c r="V382" s="5" t="s">
        <v>15</v>
      </c>
      <c r="W382">
        <v>46</v>
      </c>
    </row>
    <row r="383" spans="1:23" x14ac:dyDescent="0.25">
      <c r="A383">
        <v>1382</v>
      </c>
      <c r="B383" t="s">
        <v>88</v>
      </c>
      <c r="C383" t="s">
        <v>98</v>
      </c>
      <c r="D383" t="s">
        <v>21</v>
      </c>
      <c r="E383" s="1">
        <v>45513</v>
      </c>
      <c r="F383">
        <v>239</v>
      </c>
      <c r="G383" t="s">
        <v>24</v>
      </c>
      <c r="H383">
        <v>2.6</v>
      </c>
      <c r="I383">
        <v>316</v>
      </c>
      <c r="J383" t="s">
        <v>34</v>
      </c>
      <c r="L383" t="str" cm="1">
        <f t="array" ref="L383">_xlfn.IFS(H383&lt;=2,"bad",H383&lt;=2.5,"neutral",H383&gt;2.5,"good")</f>
        <v>good</v>
      </c>
      <c r="M383" t="str" cm="1">
        <f t="array" ref="M383">_xlfn.IFS(F383&lt;30,"short",F383&lt;90,"medium",F383&lt;180,"long",F383&gt;180,"very long")</f>
        <v>very long</v>
      </c>
      <c r="N383" t="str">
        <f>LEFT(Table1[[#This Row],[Activity_Type]],3)</f>
        <v>Bir</v>
      </c>
      <c r="O383" t="str">
        <f>UPPER(Table1[[#This Row],[Column2]])</f>
        <v>REDDY</v>
      </c>
      <c r="P383">
        <f>LEN(Table1[[#This Row],[Visitor_Name]])</f>
        <v>6</v>
      </c>
      <c r="S383">
        <f>ROUND(Table1[[#This Row],[Rating]],0)</f>
        <v>3</v>
      </c>
      <c r="T383" t="s">
        <v>77</v>
      </c>
      <c r="U383" t="s">
        <v>67</v>
      </c>
      <c r="V383" s="5" t="s">
        <v>10</v>
      </c>
      <c r="W383">
        <v>55</v>
      </c>
    </row>
    <row r="384" spans="1:23" x14ac:dyDescent="0.25">
      <c r="A384">
        <v>1383</v>
      </c>
      <c r="B384" t="s">
        <v>88</v>
      </c>
      <c r="C384" t="s">
        <v>81</v>
      </c>
      <c r="D384" t="s">
        <v>23</v>
      </c>
      <c r="E384" s="1">
        <v>45610</v>
      </c>
      <c r="F384">
        <v>131</v>
      </c>
      <c r="G384" t="s">
        <v>27</v>
      </c>
      <c r="H384">
        <v>4.8</v>
      </c>
      <c r="I384">
        <v>247</v>
      </c>
      <c r="J384" t="s">
        <v>29</v>
      </c>
      <c r="L384" t="str" cm="1">
        <f t="array" ref="L384">_xlfn.IFS(H384&lt;=2,"bad",H384&lt;=2.5,"neutral",H384&gt;2.5,"good")</f>
        <v>good</v>
      </c>
      <c r="M384" t="str" cm="1">
        <f t="array" ref="M384">_xlfn.IFS(F384&lt;30,"short",F384&lt;90,"medium",F384&lt;180,"long",F384&gt;180,"very long")</f>
        <v>long</v>
      </c>
      <c r="N384" t="str">
        <f>LEFT(Table1[[#This Row],[Activity_Type]],3)</f>
        <v>Boa</v>
      </c>
      <c r="O384" t="str">
        <f>UPPER(Table1[[#This Row],[Column2]])</f>
        <v>PATEL</v>
      </c>
      <c r="P384">
        <f>LEN(Table1[[#This Row],[Visitor_Name]])</f>
        <v>6</v>
      </c>
      <c r="S384">
        <f>ROUND(Table1[[#This Row],[Rating]],0)</f>
        <v>5</v>
      </c>
      <c r="T384" t="s">
        <v>69</v>
      </c>
      <c r="U384" t="s">
        <v>67</v>
      </c>
      <c r="V384" s="5" t="s">
        <v>10</v>
      </c>
      <c r="W384">
        <v>58</v>
      </c>
    </row>
    <row r="385" spans="1:23" x14ac:dyDescent="0.25">
      <c r="A385">
        <v>1384</v>
      </c>
      <c r="B385" t="s">
        <v>86</v>
      </c>
      <c r="C385" t="s">
        <v>80</v>
      </c>
      <c r="D385" t="s">
        <v>19</v>
      </c>
      <c r="E385" s="1">
        <v>45576</v>
      </c>
      <c r="F385">
        <v>204</v>
      </c>
      <c r="G385" t="s">
        <v>26</v>
      </c>
      <c r="H385">
        <v>3.7</v>
      </c>
      <c r="I385">
        <v>299</v>
      </c>
      <c r="J385" t="s">
        <v>35</v>
      </c>
      <c r="L385" t="str" cm="1">
        <f t="array" ref="L385">_xlfn.IFS(H385&lt;=2,"bad",H385&lt;=2.5,"neutral",H385&gt;2.5,"good")</f>
        <v>good</v>
      </c>
      <c r="M385" t="str" cm="1">
        <f t="array" ref="M385">_xlfn.IFS(F385&lt;30,"short",F385&lt;90,"medium",F385&lt;180,"long",F385&gt;180,"very long")</f>
        <v>very long</v>
      </c>
      <c r="N385" t="str">
        <f>LEFT(Table1[[#This Row],[Activity_Type]],3)</f>
        <v>Saf</v>
      </c>
      <c r="O385" t="str">
        <f>UPPER(Table1[[#This Row],[Column2]])</f>
        <v>MEHTA</v>
      </c>
      <c r="P385">
        <f>LEN(Table1[[#This Row],[Visitor_Name]])</f>
        <v>6</v>
      </c>
      <c r="S385">
        <f>ROUND(Table1[[#This Row],[Rating]],0)</f>
        <v>4</v>
      </c>
      <c r="T385" t="s">
        <v>68</v>
      </c>
      <c r="U385" t="s">
        <v>66</v>
      </c>
      <c r="V385" s="5" t="s">
        <v>15</v>
      </c>
      <c r="W385">
        <v>61</v>
      </c>
    </row>
    <row r="386" spans="1:23" x14ac:dyDescent="0.25">
      <c r="A386">
        <v>1385</v>
      </c>
      <c r="B386" t="s">
        <v>90</v>
      </c>
      <c r="C386" t="s">
        <v>87</v>
      </c>
      <c r="D386" t="s">
        <v>22</v>
      </c>
      <c r="E386" s="1">
        <v>45513</v>
      </c>
      <c r="F386">
        <v>210</v>
      </c>
      <c r="G386" t="s">
        <v>24</v>
      </c>
      <c r="H386">
        <v>3.4</v>
      </c>
      <c r="I386">
        <v>393</v>
      </c>
      <c r="J386" t="s">
        <v>29</v>
      </c>
      <c r="L386" t="str" cm="1">
        <f t="array" ref="L386">_xlfn.IFS(H386&lt;=2,"bad",H386&lt;=2.5,"neutral",H386&gt;2.5,"good")</f>
        <v>good</v>
      </c>
      <c r="M386" t="str" cm="1">
        <f t="array" ref="M386">_xlfn.IFS(F386&lt;30,"short",F386&lt;90,"medium",F386&lt;180,"long",F386&gt;180,"very long")</f>
        <v>very long</v>
      </c>
      <c r="N386" t="str">
        <f>LEFT(Table1[[#This Row],[Activity_Type]],3)</f>
        <v>Cam</v>
      </c>
      <c r="O386" t="str">
        <f>UPPER(Table1[[#This Row],[Column2]])</f>
        <v>VERMA</v>
      </c>
      <c r="P386">
        <f>LEN(Table1[[#This Row],[Visitor_Name]])</f>
        <v>5</v>
      </c>
      <c r="S386">
        <f>ROUND(Table1[[#This Row],[Rating]],0)</f>
        <v>3</v>
      </c>
      <c r="T386" t="s">
        <v>72</v>
      </c>
      <c r="U386" t="s">
        <v>60</v>
      </c>
      <c r="V386" s="5" t="s">
        <v>17</v>
      </c>
      <c r="W386">
        <v>64</v>
      </c>
    </row>
    <row r="387" spans="1:23" x14ac:dyDescent="0.25">
      <c r="A387">
        <v>1386</v>
      </c>
      <c r="B387" t="s">
        <v>86</v>
      </c>
      <c r="C387" t="s">
        <v>83</v>
      </c>
      <c r="D387" t="s">
        <v>18</v>
      </c>
      <c r="E387" s="1">
        <v>45396</v>
      </c>
      <c r="F387">
        <v>200</v>
      </c>
      <c r="G387" t="s">
        <v>27</v>
      </c>
      <c r="H387">
        <v>3.5</v>
      </c>
      <c r="I387">
        <v>443</v>
      </c>
      <c r="J387" t="s">
        <v>34</v>
      </c>
      <c r="L387" t="str" cm="1">
        <f t="array" ref="L387">_xlfn.IFS(H387&lt;=2,"bad",H387&lt;=2.5,"neutral",H387&gt;2.5,"good")</f>
        <v>good</v>
      </c>
      <c r="M387" t="str" cm="1">
        <f t="array" ref="M387">_xlfn.IFS(F387&lt;30,"short",F387&lt;90,"medium",F387&lt;180,"long",F387&gt;180,"very long")</f>
        <v>very long</v>
      </c>
      <c r="N387" t="str">
        <f>LEFT(Table1[[#This Row],[Activity_Type]],3)</f>
        <v>Pho</v>
      </c>
      <c r="O387" t="str">
        <f>UPPER(Table1[[#This Row],[Column2]])</f>
        <v>NAIR</v>
      </c>
      <c r="P387">
        <f>LEN(Table1[[#This Row],[Visitor_Name]])</f>
        <v>6</v>
      </c>
      <c r="S387">
        <f>ROUND(Table1[[#This Row],[Rating]],0)</f>
        <v>4</v>
      </c>
      <c r="T387" t="s">
        <v>70</v>
      </c>
      <c r="U387" t="s">
        <v>66</v>
      </c>
      <c r="V387" s="5" t="s">
        <v>11</v>
      </c>
      <c r="W387">
        <v>70</v>
      </c>
    </row>
    <row r="388" spans="1:23" x14ac:dyDescent="0.25">
      <c r="A388">
        <v>1387</v>
      </c>
      <c r="B388" t="s">
        <v>88</v>
      </c>
      <c r="C388" t="s">
        <v>98</v>
      </c>
      <c r="D388" t="s">
        <v>19</v>
      </c>
      <c r="E388" s="1">
        <v>45598</v>
      </c>
      <c r="F388">
        <v>195</v>
      </c>
      <c r="G388" t="s">
        <v>26</v>
      </c>
      <c r="H388">
        <v>4.0999999999999996</v>
      </c>
      <c r="I388">
        <v>147</v>
      </c>
      <c r="J388" t="s">
        <v>34</v>
      </c>
      <c r="L388" t="str" cm="1">
        <f t="array" ref="L388">_xlfn.IFS(H388&lt;=2,"bad",H388&lt;=2.5,"neutral",H388&gt;2.5,"good")</f>
        <v>good</v>
      </c>
      <c r="M388" t="str" cm="1">
        <f t="array" ref="M388">_xlfn.IFS(F388&lt;30,"short",F388&lt;90,"medium",F388&lt;180,"long",F388&gt;180,"very long")</f>
        <v>very long</v>
      </c>
      <c r="N388" t="str">
        <f>LEFT(Table1[[#This Row],[Activity_Type]],3)</f>
        <v>Saf</v>
      </c>
      <c r="O388" t="str">
        <f>UPPER(Table1[[#This Row],[Column2]])</f>
        <v>REDDY</v>
      </c>
      <c r="P388">
        <f>LEN(Table1[[#This Row],[Visitor_Name]])</f>
        <v>6</v>
      </c>
      <c r="S388">
        <f>ROUND(Table1[[#This Row],[Rating]],0)</f>
        <v>4</v>
      </c>
      <c r="T388" t="s">
        <v>77</v>
      </c>
      <c r="U388" t="s">
        <v>67</v>
      </c>
      <c r="V388" s="5" t="s">
        <v>10</v>
      </c>
      <c r="W388">
        <v>72</v>
      </c>
    </row>
    <row r="389" spans="1:23" x14ac:dyDescent="0.25">
      <c r="A389">
        <v>1388</v>
      </c>
      <c r="B389" t="s">
        <v>92</v>
      </c>
      <c r="C389" t="s">
        <v>85</v>
      </c>
      <c r="D389" t="s">
        <v>23</v>
      </c>
      <c r="E389" s="1">
        <v>45333</v>
      </c>
      <c r="F389">
        <v>198</v>
      </c>
      <c r="G389" t="s">
        <v>27</v>
      </c>
      <c r="H389">
        <v>3.9</v>
      </c>
      <c r="I389">
        <v>208</v>
      </c>
      <c r="J389" t="s">
        <v>30</v>
      </c>
      <c r="L389" t="str" cm="1">
        <f t="array" ref="L389">_xlfn.IFS(H389&lt;=2,"bad",H389&lt;=2.5,"neutral",H389&gt;2.5,"good")</f>
        <v>good</v>
      </c>
      <c r="M389" t="str" cm="1">
        <f t="array" ref="M389">_xlfn.IFS(F389&lt;30,"short",F389&lt;90,"medium",F389&lt;180,"long",F389&gt;180,"very long")</f>
        <v>very long</v>
      </c>
      <c r="N389" t="str">
        <f>LEFT(Table1[[#This Row],[Activity_Type]],3)</f>
        <v>Boa</v>
      </c>
      <c r="O389" t="str">
        <f>UPPER(Table1[[#This Row],[Column2]])</f>
        <v>DAS</v>
      </c>
      <c r="P389">
        <f>LEN(Table1[[#This Row],[Visitor_Name]])</f>
        <v>5</v>
      </c>
      <c r="S389">
        <f>ROUND(Table1[[#This Row],[Rating]],0)</f>
        <v>4</v>
      </c>
      <c r="T389" t="s">
        <v>71</v>
      </c>
      <c r="U389" t="s">
        <v>62</v>
      </c>
      <c r="V389" s="5" t="s">
        <v>14</v>
      </c>
      <c r="W389">
        <v>76</v>
      </c>
    </row>
    <row r="390" spans="1:23" x14ac:dyDescent="0.25">
      <c r="A390">
        <v>1389</v>
      </c>
      <c r="B390" t="s">
        <v>84</v>
      </c>
      <c r="C390" t="s">
        <v>96</v>
      </c>
      <c r="D390" t="s">
        <v>21</v>
      </c>
      <c r="E390" s="1">
        <v>45348</v>
      </c>
      <c r="F390">
        <v>137</v>
      </c>
      <c r="G390" t="s">
        <v>26</v>
      </c>
      <c r="H390">
        <v>3.9</v>
      </c>
      <c r="I390">
        <v>141</v>
      </c>
      <c r="J390" t="s">
        <v>32</v>
      </c>
      <c r="L390" t="str" cm="1">
        <f t="array" ref="L390">_xlfn.IFS(H390&lt;=2,"bad",H390&lt;=2.5,"neutral",H390&gt;2.5,"good")</f>
        <v>good</v>
      </c>
      <c r="M390" t="str" cm="1">
        <f t="array" ref="M390">_xlfn.IFS(F390&lt;30,"short",F390&lt;90,"medium",F390&lt;180,"long",F390&gt;180,"very long")</f>
        <v>long</v>
      </c>
      <c r="N390" t="str">
        <f>LEFT(Table1[[#This Row],[Activity_Type]],3)</f>
        <v>Bir</v>
      </c>
      <c r="O390" t="str">
        <f>UPPER(Table1[[#This Row],[Column2]])</f>
        <v>SHARMA</v>
      </c>
      <c r="P390">
        <f>LEN(Table1[[#This Row],[Visitor_Name]])</f>
        <v>5</v>
      </c>
      <c r="S390">
        <f>ROUND(Table1[[#This Row],[Rating]],0)</f>
        <v>4</v>
      </c>
      <c r="T390" t="s">
        <v>76</v>
      </c>
      <c r="U390" t="s">
        <v>63</v>
      </c>
      <c r="V390" s="5" t="s">
        <v>10</v>
      </c>
      <c r="W390">
        <v>77</v>
      </c>
    </row>
    <row r="391" spans="1:23" x14ac:dyDescent="0.25">
      <c r="A391">
        <v>1390</v>
      </c>
      <c r="B391" t="s">
        <v>91</v>
      </c>
      <c r="C391" t="s">
        <v>95</v>
      </c>
      <c r="D391" t="s">
        <v>22</v>
      </c>
      <c r="E391" s="1">
        <v>45511</v>
      </c>
      <c r="F391">
        <v>117</v>
      </c>
      <c r="G391" t="s">
        <v>25</v>
      </c>
      <c r="H391">
        <v>2.8</v>
      </c>
      <c r="I391">
        <v>225</v>
      </c>
      <c r="J391" t="s">
        <v>30</v>
      </c>
      <c r="L391" t="str" cm="1">
        <f t="array" ref="L391">_xlfn.IFS(H391&lt;=2,"bad",H391&lt;=2.5,"neutral",H391&gt;2.5,"good")</f>
        <v>good</v>
      </c>
      <c r="M391" t="str" cm="1">
        <f t="array" ref="M391">_xlfn.IFS(F391&lt;30,"short",F391&lt;90,"medium",F391&lt;180,"long",F391&gt;180,"very long")</f>
        <v>long</v>
      </c>
      <c r="N391" t="str">
        <f>LEFT(Table1[[#This Row],[Activity_Type]],3)</f>
        <v>Cam</v>
      </c>
      <c r="O391" t="str">
        <f>UPPER(Table1[[#This Row],[Column2]])</f>
        <v>SINGH</v>
      </c>
      <c r="P391">
        <f>LEN(Table1[[#This Row],[Visitor_Name]])</f>
        <v>5</v>
      </c>
      <c r="S391">
        <f>ROUND(Table1[[#This Row],[Rating]],0)</f>
        <v>3</v>
      </c>
      <c r="T391" t="s">
        <v>75</v>
      </c>
      <c r="U391" t="s">
        <v>61</v>
      </c>
      <c r="V391" s="5" t="s">
        <v>16</v>
      </c>
      <c r="W391">
        <v>83</v>
      </c>
    </row>
    <row r="392" spans="1:23" x14ac:dyDescent="0.25">
      <c r="A392">
        <v>1391</v>
      </c>
      <c r="B392" t="s">
        <v>91</v>
      </c>
      <c r="C392" t="s">
        <v>80</v>
      </c>
      <c r="D392" t="s">
        <v>23</v>
      </c>
      <c r="E392" s="1">
        <v>45395</v>
      </c>
      <c r="F392">
        <v>193</v>
      </c>
      <c r="G392" t="s">
        <v>26</v>
      </c>
      <c r="H392">
        <v>3.9</v>
      </c>
      <c r="I392">
        <v>183</v>
      </c>
      <c r="J392" t="s">
        <v>31</v>
      </c>
      <c r="L392" t="str" cm="1">
        <f t="array" ref="L392">_xlfn.IFS(H392&lt;=2,"bad",H392&lt;=2.5,"neutral",H392&gt;2.5,"good")</f>
        <v>good</v>
      </c>
      <c r="M392" t="str" cm="1">
        <f t="array" ref="M392">_xlfn.IFS(F392&lt;30,"short",F392&lt;90,"medium",F392&lt;180,"long",F392&gt;180,"very long")</f>
        <v>very long</v>
      </c>
      <c r="N392" t="str">
        <f>LEFT(Table1[[#This Row],[Activity_Type]],3)</f>
        <v>Boa</v>
      </c>
      <c r="O392" t="str">
        <f>UPPER(Table1[[#This Row],[Column2]])</f>
        <v>MEHTA</v>
      </c>
      <c r="P392">
        <f>LEN(Table1[[#This Row],[Visitor_Name]])</f>
        <v>5</v>
      </c>
      <c r="S392">
        <f>ROUND(Table1[[#This Row],[Rating]],0)</f>
        <v>4</v>
      </c>
      <c r="T392" t="s">
        <v>68</v>
      </c>
      <c r="U392" t="s">
        <v>61</v>
      </c>
      <c r="V392" s="5" t="s">
        <v>15</v>
      </c>
      <c r="W392">
        <v>87</v>
      </c>
    </row>
    <row r="393" spans="1:23" x14ac:dyDescent="0.25">
      <c r="A393">
        <v>1392</v>
      </c>
      <c r="B393" t="s">
        <v>86</v>
      </c>
      <c r="C393" t="s">
        <v>96</v>
      </c>
      <c r="D393" t="s">
        <v>22</v>
      </c>
      <c r="E393" s="1">
        <v>45468</v>
      </c>
      <c r="F393">
        <v>238</v>
      </c>
      <c r="G393" t="s">
        <v>27</v>
      </c>
      <c r="H393">
        <v>2.9</v>
      </c>
      <c r="I393">
        <v>332</v>
      </c>
      <c r="J393" t="s">
        <v>37</v>
      </c>
      <c r="L393" t="str" cm="1">
        <f t="array" ref="L393">_xlfn.IFS(H393&lt;=2,"bad",H393&lt;=2.5,"neutral",H393&gt;2.5,"good")</f>
        <v>good</v>
      </c>
      <c r="M393" t="str" cm="1">
        <f t="array" ref="M393">_xlfn.IFS(F393&lt;30,"short",F393&lt;90,"medium",F393&lt;180,"long",F393&gt;180,"very long")</f>
        <v>very long</v>
      </c>
      <c r="N393" t="str">
        <f>LEFT(Table1[[#This Row],[Activity_Type]],3)</f>
        <v>Cam</v>
      </c>
      <c r="O393" t="str">
        <f>UPPER(Table1[[#This Row],[Column2]])</f>
        <v>SHARMA</v>
      </c>
      <c r="P393">
        <f>LEN(Table1[[#This Row],[Visitor_Name]])</f>
        <v>6</v>
      </c>
      <c r="S393">
        <f>ROUND(Table1[[#This Row],[Rating]],0)</f>
        <v>3</v>
      </c>
      <c r="T393" t="s">
        <v>76</v>
      </c>
      <c r="U393" t="s">
        <v>66</v>
      </c>
      <c r="V393" s="5" t="s">
        <v>17</v>
      </c>
      <c r="W393">
        <v>113</v>
      </c>
    </row>
    <row r="394" spans="1:23" x14ac:dyDescent="0.25">
      <c r="A394">
        <v>1393</v>
      </c>
      <c r="B394" t="s">
        <v>84</v>
      </c>
      <c r="C394" t="s">
        <v>80</v>
      </c>
      <c r="D394" t="s">
        <v>21</v>
      </c>
      <c r="E394" s="1">
        <v>45320</v>
      </c>
      <c r="F394">
        <v>126</v>
      </c>
      <c r="G394" t="s">
        <v>25</v>
      </c>
      <c r="H394">
        <v>5</v>
      </c>
      <c r="I394">
        <v>212</v>
      </c>
      <c r="J394" t="s">
        <v>33</v>
      </c>
      <c r="L394" t="str" cm="1">
        <f t="array" ref="L394">_xlfn.IFS(H394&lt;=2,"bad",H394&lt;=2.5,"neutral",H394&gt;2.5,"good")</f>
        <v>good</v>
      </c>
      <c r="M394" t="str" cm="1">
        <f t="array" ref="M394">_xlfn.IFS(F394&lt;30,"short",F394&lt;90,"medium",F394&lt;180,"long",F394&gt;180,"very long")</f>
        <v>long</v>
      </c>
      <c r="N394" t="str">
        <f>LEFT(Table1[[#This Row],[Activity_Type]],3)</f>
        <v>Bir</v>
      </c>
      <c r="O394" t="str">
        <f>UPPER(Table1[[#This Row],[Column2]])</f>
        <v>MEHTA</v>
      </c>
      <c r="P394">
        <f>LEN(Table1[[#This Row],[Visitor_Name]])</f>
        <v>5</v>
      </c>
      <c r="S394">
        <f>ROUND(Table1[[#This Row],[Rating]],0)</f>
        <v>5</v>
      </c>
      <c r="T394" t="s">
        <v>68</v>
      </c>
      <c r="U394" t="s">
        <v>63</v>
      </c>
      <c r="V394" s="5" t="s">
        <v>15</v>
      </c>
      <c r="W394">
        <v>117</v>
      </c>
    </row>
    <row r="395" spans="1:23" x14ac:dyDescent="0.25">
      <c r="A395">
        <v>1394</v>
      </c>
      <c r="B395" t="s">
        <v>91</v>
      </c>
      <c r="C395" t="s">
        <v>98</v>
      </c>
      <c r="D395" t="s">
        <v>22</v>
      </c>
      <c r="E395" s="1">
        <v>45548</v>
      </c>
      <c r="F395">
        <v>197</v>
      </c>
      <c r="G395" t="s">
        <v>25</v>
      </c>
      <c r="H395">
        <v>4.5</v>
      </c>
      <c r="I395">
        <v>471</v>
      </c>
      <c r="J395" t="s">
        <v>36</v>
      </c>
      <c r="L395" t="str" cm="1">
        <f t="array" ref="L395">_xlfn.IFS(H395&lt;=2,"bad",H395&lt;=2.5,"neutral",H395&gt;2.5,"good")</f>
        <v>good</v>
      </c>
      <c r="M395" t="str" cm="1">
        <f t="array" ref="M395">_xlfn.IFS(F395&lt;30,"short",F395&lt;90,"medium",F395&lt;180,"long",F395&gt;180,"very long")</f>
        <v>very long</v>
      </c>
      <c r="N395" t="str">
        <f>LEFT(Table1[[#This Row],[Activity_Type]],3)</f>
        <v>Cam</v>
      </c>
      <c r="O395" t="str">
        <f>UPPER(Table1[[#This Row],[Column2]])</f>
        <v>REDDY</v>
      </c>
      <c r="P395">
        <f>LEN(Table1[[#This Row],[Visitor_Name]])</f>
        <v>5</v>
      </c>
      <c r="S395">
        <f>ROUND(Table1[[#This Row],[Rating]],0)</f>
        <v>5</v>
      </c>
      <c r="T395" t="s">
        <v>77</v>
      </c>
      <c r="U395" t="s">
        <v>61</v>
      </c>
      <c r="V395" s="5" t="s">
        <v>15</v>
      </c>
      <c r="W395">
        <v>117</v>
      </c>
    </row>
    <row r="396" spans="1:23" x14ac:dyDescent="0.25">
      <c r="A396">
        <v>1395</v>
      </c>
      <c r="B396" t="s">
        <v>79</v>
      </c>
      <c r="C396" t="s">
        <v>96</v>
      </c>
      <c r="D396" t="s">
        <v>18</v>
      </c>
      <c r="E396" s="1">
        <v>45567</v>
      </c>
      <c r="F396">
        <v>61</v>
      </c>
      <c r="G396" t="s">
        <v>26</v>
      </c>
      <c r="H396">
        <v>4.5</v>
      </c>
      <c r="I396">
        <v>304</v>
      </c>
      <c r="J396" t="s">
        <v>36</v>
      </c>
      <c r="L396" t="str" cm="1">
        <f t="array" ref="L396">_xlfn.IFS(H396&lt;=2,"bad",H396&lt;=2.5,"neutral",H396&gt;2.5,"good")</f>
        <v>good</v>
      </c>
      <c r="M396" t="str" cm="1">
        <f t="array" ref="M396">_xlfn.IFS(F396&lt;30,"short",F396&lt;90,"medium",F396&lt;180,"long",F396&gt;180,"very long")</f>
        <v>medium</v>
      </c>
      <c r="N396" t="str">
        <f>LEFT(Table1[[#This Row],[Activity_Type]],3)</f>
        <v>Pho</v>
      </c>
      <c r="O396" t="str">
        <f>UPPER(Table1[[#This Row],[Column2]])</f>
        <v>SHARMA</v>
      </c>
      <c r="P396">
        <f>LEN(Table1[[#This Row],[Visitor_Name]])</f>
        <v>5</v>
      </c>
      <c r="S396">
        <f>ROUND(Table1[[#This Row],[Rating]],0)</f>
        <v>5</v>
      </c>
      <c r="T396" t="s">
        <v>76</v>
      </c>
      <c r="U396" t="s">
        <v>58</v>
      </c>
      <c r="V396" s="5" t="s">
        <v>16</v>
      </c>
      <c r="W396">
        <v>126</v>
      </c>
    </row>
    <row r="397" spans="1:23" x14ac:dyDescent="0.25">
      <c r="A397">
        <v>1396</v>
      </c>
      <c r="B397" t="s">
        <v>88</v>
      </c>
      <c r="C397" t="s">
        <v>80</v>
      </c>
      <c r="D397" t="s">
        <v>21</v>
      </c>
      <c r="E397" s="1">
        <v>45639</v>
      </c>
      <c r="F397">
        <v>232</v>
      </c>
      <c r="G397" t="s">
        <v>25</v>
      </c>
      <c r="H397">
        <v>5</v>
      </c>
      <c r="I397">
        <v>198</v>
      </c>
      <c r="J397" t="s">
        <v>34</v>
      </c>
      <c r="L397" t="str" cm="1">
        <f t="array" ref="L397">_xlfn.IFS(H397&lt;=2,"bad",H397&lt;=2.5,"neutral",H397&gt;2.5,"good")</f>
        <v>good</v>
      </c>
      <c r="M397" t="str" cm="1">
        <f t="array" ref="M397">_xlfn.IFS(F397&lt;30,"short",F397&lt;90,"medium",F397&lt;180,"long",F397&gt;180,"very long")</f>
        <v>very long</v>
      </c>
      <c r="N397" t="str">
        <f>LEFT(Table1[[#This Row],[Activity_Type]],3)</f>
        <v>Bir</v>
      </c>
      <c r="O397" t="str">
        <f>UPPER(Table1[[#This Row],[Column2]])</f>
        <v>MEHTA</v>
      </c>
      <c r="P397">
        <f>LEN(Table1[[#This Row],[Visitor_Name]])</f>
        <v>6</v>
      </c>
      <c r="S397">
        <f>ROUND(Table1[[#This Row],[Rating]],0)</f>
        <v>5</v>
      </c>
      <c r="T397" t="s">
        <v>68</v>
      </c>
      <c r="U397" t="s">
        <v>67</v>
      </c>
      <c r="V397" s="5" t="s">
        <v>11</v>
      </c>
      <c r="W397">
        <v>126</v>
      </c>
    </row>
    <row r="398" spans="1:23" x14ac:dyDescent="0.25">
      <c r="A398">
        <v>1397</v>
      </c>
      <c r="B398" t="s">
        <v>94</v>
      </c>
      <c r="C398" t="s">
        <v>80</v>
      </c>
      <c r="D398" t="s">
        <v>21</v>
      </c>
      <c r="E398" s="1">
        <v>45512</v>
      </c>
      <c r="F398">
        <v>113</v>
      </c>
      <c r="G398" t="s">
        <v>24</v>
      </c>
      <c r="H398">
        <v>2.5</v>
      </c>
      <c r="I398">
        <v>434</v>
      </c>
      <c r="J398" t="s">
        <v>30</v>
      </c>
      <c r="L398" t="str" cm="1">
        <f t="array" ref="L398">_xlfn.IFS(H398&lt;=2,"bad",H398&lt;=2.5,"neutral",H398&gt;2.5,"good")</f>
        <v>neutral</v>
      </c>
      <c r="M398" t="str" cm="1">
        <f t="array" ref="M398">_xlfn.IFS(F398&lt;30,"short",F398&lt;90,"medium",F398&lt;180,"long",F398&gt;180,"very long")</f>
        <v>long</v>
      </c>
      <c r="N398" t="str">
        <f>LEFT(Table1[[#This Row],[Activity_Type]],3)</f>
        <v>Bir</v>
      </c>
      <c r="O398" t="str">
        <f>UPPER(Table1[[#This Row],[Column2]])</f>
        <v>MEHTA</v>
      </c>
      <c r="P398">
        <f>LEN(Table1[[#This Row],[Visitor_Name]])</f>
        <v>5</v>
      </c>
      <c r="S398">
        <f>ROUND(Table1[[#This Row],[Rating]],0)</f>
        <v>3</v>
      </c>
      <c r="T398" t="s">
        <v>68</v>
      </c>
      <c r="U398" t="s">
        <v>64</v>
      </c>
      <c r="V398" s="5" t="s">
        <v>16</v>
      </c>
      <c r="W398">
        <v>126</v>
      </c>
    </row>
    <row r="399" spans="1:23" x14ac:dyDescent="0.25">
      <c r="A399">
        <v>1398</v>
      </c>
      <c r="B399" t="s">
        <v>94</v>
      </c>
      <c r="C399" t="s">
        <v>96</v>
      </c>
      <c r="D399" t="s">
        <v>18</v>
      </c>
      <c r="E399" s="1">
        <v>45637</v>
      </c>
      <c r="F399">
        <v>136</v>
      </c>
      <c r="G399" t="s">
        <v>24</v>
      </c>
      <c r="H399">
        <v>4.0999999999999996</v>
      </c>
      <c r="I399">
        <v>208</v>
      </c>
      <c r="J399" t="s">
        <v>32</v>
      </c>
      <c r="L399" t="str" cm="1">
        <f t="array" ref="L399">_xlfn.IFS(H399&lt;=2,"bad",H399&lt;=2.5,"neutral",H399&gt;2.5,"good")</f>
        <v>good</v>
      </c>
      <c r="M399" t="str" cm="1">
        <f t="array" ref="M399">_xlfn.IFS(F399&lt;30,"short",F399&lt;90,"medium",F399&lt;180,"long",F399&gt;180,"very long")</f>
        <v>long</v>
      </c>
      <c r="N399" t="str">
        <f>LEFT(Table1[[#This Row],[Activity_Type]],3)</f>
        <v>Pho</v>
      </c>
      <c r="O399" t="str">
        <f>UPPER(Table1[[#This Row],[Column2]])</f>
        <v>SHARMA</v>
      </c>
      <c r="P399">
        <f>LEN(Table1[[#This Row],[Visitor_Name]])</f>
        <v>5</v>
      </c>
      <c r="S399">
        <f>ROUND(Table1[[#This Row],[Rating]],0)</f>
        <v>4</v>
      </c>
      <c r="T399" t="s">
        <v>76</v>
      </c>
      <c r="U399" t="s">
        <v>64</v>
      </c>
      <c r="V399" s="5" t="s">
        <v>16</v>
      </c>
      <c r="W399">
        <v>126</v>
      </c>
    </row>
    <row r="400" spans="1:23" x14ac:dyDescent="0.25">
      <c r="A400">
        <v>1399</v>
      </c>
      <c r="B400" t="s">
        <v>91</v>
      </c>
      <c r="C400" t="s">
        <v>85</v>
      </c>
      <c r="D400" t="s">
        <v>20</v>
      </c>
      <c r="E400" s="1">
        <v>45367</v>
      </c>
      <c r="F400">
        <v>227</v>
      </c>
      <c r="G400" t="s">
        <v>24</v>
      </c>
      <c r="H400">
        <v>3.3</v>
      </c>
      <c r="I400">
        <v>451</v>
      </c>
      <c r="J400" t="s">
        <v>30</v>
      </c>
      <c r="L400" t="str" cm="1">
        <f t="array" ref="L400">_xlfn.IFS(H400&lt;=2,"bad",H400&lt;=2.5,"neutral",H400&gt;2.5,"good")</f>
        <v>good</v>
      </c>
      <c r="M400" t="str" cm="1">
        <f t="array" ref="M400">_xlfn.IFS(F400&lt;30,"short",F400&lt;90,"medium",F400&lt;180,"long",F400&gt;180,"very long")</f>
        <v>very long</v>
      </c>
      <c r="N400" t="str">
        <f>LEFT(Table1[[#This Row],[Activity_Type]],3)</f>
        <v>Hik</v>
      </c>
      <c r="O400" t="str">
        <f>UPPER(Table1[[#This Row],[Column2]])</f>
        <v>DAS</v>
      </c>
      <c r="P400">
        <f>LEN(Table1[[#This Row],[Visitor_Name]])</f>
        <v>5</v>
      </c>
      <c r="S400">
        <f>ROUND(Table1[[#This Row],[Rating]],0)</f>
        <v>3</v>
      </c>
      <c r="T400" t="s">
        <v>71</v>
      </c>
      <c r="U400" t="s">
        <v>61</v>
      </c>
      <c r="V400" s="5" t="s">
        <v>15</v>
      </c>
      <c r="W400">
        <v>128</v>
      </c>
    </row>
    <row r="401" spans="1:23" x14ac:dyDescent="0.25">
      <c r="A401">
        <v>1400</v>
      </c>
      <c r="B401" t="s">
        <v>86</v>
      </c>
      <c r="C401" t="s">
        <v>96</v>
      </c>
      <c r="D401" t="s">
        <v>21</v>
      </c>
      <c r="E401" s="1">
        <v>45510</v>
      </c>
      <c r="F401">
        <v>240</v>
      </c>
      <c r="G401" t="s">
        <v>26</v>
      </c>
      <c r="H401">
        <v>4.3</v>
      </c>
      <c r="I401">
        <v>312</v>
      </c>
      <c r="J401" t="s">
        <v>34</v>
      </c>
      <c r="L401" t="str" cm="1">
        <f t="array" ref="L401">_xlfn.IFS(H401&lt;=2,"bad",H401&lt;=2.5,"neutral",H401&gt;2.5,"good")</f>
        <v>good</v>
      </c>
      <c r="M401" t="str" cm="1">
        <f t="array" ref="M401">_xlfn.IFS(F401&lt;30,"short",F401&lt;90,"medium",F401&lt;180,"long",F401&gt;180,"very long")</f>
        <v>very long</v>
      </c>
      <c r="N401" t="str">
        <f>LEFT(Table1[[#This Row],[Activity_Type]],3)</f>
        <v>Bir</v>
      </c>
      <c r="O401" t="str">
        <f>UPPER(Table1[[#This Row],[Column2]])</f>
        <v>SHARMA</v>
      </c>
      <c r="P401">
        <f>LEN(Table1[[#This Row],[Visitor_Name]])</f>
        <v>6</v>
      </c>
      <c r="S401">
        <f>ROUND(Table1[[#This Row],[Rating]],0)</f>
        <v>4</v>
      </c>
      <c r="T401" t="s">
        <v>76</v>
      </c>
      <c r="U401" t="s">
        <v>66</v>
      </c>
      <c r="V401" s="5" t="s">
        <v>17</v>
      </c>
      <c r="W401">
        <v>129</v>
      </c>
    </row>
    <row r="402" spans="1:23" x14ac:dyDescent="0.25">
      <c r="A402">
        <v>1401</v>
      </c>
      <c r="B402" t="s">
        <v>97</v>
      </c>
      <c r="C402" t="s">
        <v>96</v>
      </c>
      <c r="D402" t="s">
        <v>21</v>
      </c>
      <c r="E402" s="1">
        <v>45608</v>
      </c>
      <c r="F402">
        <v>236</v>
      </c>
      <c r="G402" t="s">
        <v>26</v>
      </c>
      <c r="H402">
        <v>3.3</v>
      </c>
      <c r="I402">
        <v>236</v>
      </c>
      <c r="J402" t="s">
        <v>29</v>
      </c>
      <c r="L402" t="str" cm="1">
        <f t="array" ref="L402">_xlfn.IFS(H402&lt;=2,"bad",H402&lt;=2.5,"neutral",H402&gt;2.5,"good")</f>
        <v>good</v>
      </c>
      <c r="M402" t="str" cm="1">
        <f t="array" ref="M402">_xlfn.IFS(F402&lt;30,"short",F402&lt;90,"medium",F402&lt;180,"long",F402&gt;180,"very long")</f>
        <v>very long</v>
      </c>
      <c r="N402" t="str">
        <f>LEFT(Table1[[#This Row],[Activity_Type]],3)</f>
        <v>Bir</v>
      </c>
      <c r="O402" t="str">
        <f>UPPER(Table1[[#This Row],[Column2]])</f>
        <v>SHARMA</v>
      </c>
      <c r="P402">
        <f>LEN(Table1[[#This Row],[Visitor_Name]])</f>
        <v>5</v>
      </c>
      <c r="S402">
        <f>ROUND(Table1[[#This Row],[Rating]],0)</f>
        <v>3</v>
      </c>
      <c r="T402" t="s">
        <v>76</v>
      </c>
      <c r="U402" t="s">
        <v>65</v>
      </c>
      <c r="V402" s="5" t="s">
        <v>14</v>
      </c>
      <c r="W402">
        <v>131</v>
      </c>
    </row>
    <row r="403" spans="1:23" x14ac:dyDescent="0.25">
      <c r="A403">
        <v>1402</v>
      </c>
      <c r="B403" t="s">
        <v>88</v>
      </c>
      <c r="C403" t="s">
        <v>80</v>
      </c>
      <c r="D403" t="s">
        <v>22</v>
      </c>
      <c r="E403" s="1">
        <v>45346</v>
      </c>
      <c r="F403">
        <v>126</v>
      </c>
      <c r="G403" t="s">
        <v>24</v>
      </c>
      <c r="H403">
        <v>4.0999999999999996</v>
      </c>
      <c r="I403">
        <v>346</v>
      </c>
      <c r="J403" t="s">
        <v>32</v>
      </c>
      <c r="L403" t="str" cm="1">
        <f t="array" ref="L403">_xlfn.IFS(H403&lt;=2,"bad",H403&lt;=2.5,"neutral",H403&gt;2.5,"good")</f>
        <v>good</v>
      </c>
      <c r="M403" t="str" cm="1">
        <f t="array" ref="M403">_xlfn.IFS(F403&lt;30,"short",F403&lt;90,"medium",F403&lt;180,"long",F403&gt;180,"very long")</f>
        <v>long</v>
      </c>
      <c r="N403" t="str">
        <f>LEFT(Table1[[#This Row],[Activity_Type]],3)</f>
        <v>Cam</v>
      </c>
      <c r="O403" t="str">
        <f>UPPER(Table1[[#This Row],[Column2]])</f>
        <v>MEHTA</v>
      </c>
      <c r="P403">
        <f>LEN(Table1[[#This Row],[Visitor_Name]])</f>
        <v>6</v>
      </c>
      <c r="S403">
        <f>ROUND(Table1[[#This Row],[Rating]],0)</f>
        <v>4</v>
      </c>
      <c r="T403" t="s">
        <v>68</v>
      </c>
      <c r="U403" t="s">
        <v>67</v>
      </c>
      <c r="V403" s="5" t="s">
        <v>12</v>
      </c>
      <c r="W403">
        <v>135</v>
      </c>
    </row>
    <row r="404" spans="1:23" x14ac:dyDescent="0.25">
      <c r="A404">
        <v>1403</v>
      </c>
      <c r="B404" t="s">
        <v>92</v>
      </c>
      <c r="C404" t="s">
        <v>89</v>
      </c>
      <c r="D404" t="s">
        <v>21</v>
      </c>
      <c r="E404" s="1">
        <v>45585</v>
      </c>
      <c r="F404">
        <v>150</v>
      </c>
      <c r="G404" t="s">
        <v>27</v>
      </c>
      <c r="H404">
        <v>2.9</v>
      </c>
      <c r="I404">
        <v>242</v>
      </c>
      <c r="J404" t="s">
        <v>35</v>
      </c>
      <c r="L404" t="str" cm="1">
        <f t="array" ref="L404">_xlfn.IFS(H404&lt;=2,"bad",H404&lt;=2.5,"neutral",H404&gt;2.5,"good")</f>
        <v>good</v>
      </c>
      <c r="M404" t="str" cm="1">
        <f t="array" ref="M404">_xlfn.IFS(F404&lt;30,"short",F404&lt;90,"medium",F404&lt;180,"long",F404&gt;180,"very long")</f>
        <v>long</v>
      </c>
      <c r="N404" t="str">
        <f>LEFT(Table1[[#This Row],[Activity_Type]],3)</f>
        <v>Bir</v>
      </c>
      <c r="O404" t="str">
        <f>UPPER(Table1[[#This Row],[Column2]])</f>
        <v>MENON</v>
      </c>
      <c r="P404">
        <f>LEN(Table1[[#This Row],[Visitor_Name]])</f>
        <v>5</v>
      </c>
      <c r="S404">
        <f>ROUND(Table1[[#This Row],[Rating]],0)</f>
        <v>3</v>
      </c>
      <c r="T404" t="s">
        <v>73</v>
      </c>
      <c r="U404" t="s">
        <v>62</v>
      </c>
      <c r="V404" s="5" t="s">
        <v>16</v>
      </c>
      <c r="W404">
        <v>136</v>
      </c>
    </row>
    <row r="405" spans="1:23" x14ac:dyDescent="0.25">
      <c r="A405">
        <v>1404</v>
      </c>
      <c r="B405" t="s">
        <v>90</v>
      </c>
      <c r="C405" t="s">
        <v>95</v>
      </c>
      <c r="D405" t="s">
        <v>19</v>
      </c>
      <c r="E405" s="1">
        <v>45492</v>
      </c>
      <c r="F405">
        <v>87</v>
      </c>
      <c r="G405" t="s">
        <v>24</v>
      </c>
      <c r="H405">
        <v>3.7</v>
      </c>
      <c r="I405">
        <v>259</v>
      </c>
      <c r="J405" t="s">
        <v>34</v>
      </c>
      <c r="L405" t="str" cm="1">
        <f t="array" ref="L405">_xlfn.IFS(H405&lt;=2,"bad",H405&lt;=2.5,"neutral",H405&gt;2.5,"good")</f>
        <v>good</v>
      </c>
      <c r="M405" t="str" cm="1">
        <f t="array" ref="M405">_xlfn.IFS(F405&lt;30,"short",F405&lt;90,"medium",F405&lt;180,"long",F405&gt;180,"very long")</f>
        <v>medium</v>
      </c>
      <c r="N405" t="str">
        <f>LEFT(Table1[[#This Row],[Activity_Type]],3)</f>
        <v>Saf</v>
      </c>
      <c r="O405" t="str">
        <f>UPPER(Table1[[#This Row],[Column2]])</f>
        <v>SINGH</v>
      </c>
      <c r="P405">
        <f>LEN(Table1[[#This Row],[Visitor_Name]])</f>
        <v>5</v>
      </c>
      <c r="S405">
        <f>ROUND(Table1[[#This Row],[Rating]],0)</f>
        <v>4</v>
      </c>
      <c r="T405" t="s">
        <v>75</v>
      </c>
      <c r="U405" t="s">
        <v>60</v>
      </c>
      <c r="V405" s="5" t="s">
        <v>12</v>
      </c>
      <c r="W405">
        <v>137</v>
      </c>
    </row>
    <row r="406" spans="1:23" x14ac:dyDescent="0.25">
      <c r="A406">
        <v>1405</v>
      </c>
      <c r="B406" t="s">
        <v>90</v>
      </c>
      <c r="C406" t="s">
        <v>95</v>
      </c>
      <c r="D406" t="s">
        <v>23</v>
      </c>
      <c r="E406" s="1">
        <v>45566</v>
      </c>
      <c r="F406">
        <v>46</v>
      </c>
      <c r="G406" t="s">
        <v>26</v>
      </c>
      <c r="H406">
        <v>5</v>
      </c>
      <c r="I406">
        <v>203</v>
      </c>
      <c r="J406" t="s">
        <v>37</v>
      </c>
      <c r="L406" t="str" cm="1">
        <f t="array" ref="L406">_xlfn.IFS(H406&lt;=2,"bad",H406&lt;=2.5,"neutral",H406&gt;2.5,"good")</f>
        <v>good</v>
      </c>
      <c r="M406" t="str" cm="1">
        <f t="array" ref="M406">_xlfn.IFS(F406&lt;30,"short",F406&lt;90,"medium",F406&lt;180,"long",F406&gt;180,"very long")</f>
        <v>medium</v>
      </c>
      <c r="N406" t="str">
        <f>LEFT(Table1[[#This Row],[Activity_Type]],3)</f>
        <v>Boa</v>
      </c>
      <c r="O406" t="str">
        <f>UPPER(Table1[[#This Row],[Column2]])</f>
        <v>SINGH</v>
      </c>
      <c r="P406">
        <f>LEN(Table1[[#This Row],[Visitor_Name]])</f>
        <v>5</v>
      </c>
      <c r="S406">
        <f>ROUND(Table1[[#This Row],[Rating]],0)</f>
        <v>5</v>
      </c>
      <c r="T406" t="s">
        <v>75</v>
      </c>
      <c r="U406" t="s">
        <v>60</v>
      </c>
      <c r="V406" s="5" t="s">
        <v>13</v>
      </c>
      <c r="W406">
        <v>138</v>
      </c>
    </row>
    <row r="407" spans="1:23" x14ac:dyDescent="0.25">
      <c r="A407">
        <v>1406</v>
      </c>
      <c r="B407" t="s">
        <v>88</v>
      </c>
      <c r="C407" t="s">
        <v>96</v>
      </c>
      <c r="D407" t="s">
        <v>19</v>
      </c>
      <c r="E407" s="1">
        <v>45474</v>
      </c>
      <c r="F407">
        <v>164</v>
      </c>
      <c r="G407" t="s">
        <v>27</v>
      </c>
      <c r="H407">
        <v>3.4</v>
      </c>
      <c r="I407">
        <v>398</v>
      </c>
      <c r="J407" t="s">
        <v>36</v>
      </c>
      <c r="L407" t="str" cm="1">
        <f t="array" ref="L407">_xlfn.IFS(H407&lt;=2,"bad",H407&lt;=2.5,"neutral",H407&gt;2.5,"good")</f>
        <v>good</v>
      </c>
      <c r="M407" t="str" cm="1">
        <f t="array" ref="M407">_xlfn.IFS(F407&lt;30,"short",F407&lt;90,"medium",F407&lt;180,"long",F407&gt;180,"very long")</f>
        <v>long</v>
      </c>
      <c r="N407" t="str">
        <f>LEFT(Table1[[#This Row],[Activity_Type]],3)</f>
        <v>Saf</v>
      </c>
      <c r="O407" t="str">
        <f>UPPER(Table1[[#This Row],[Column2]])</f>
        <v>SHARMA</v>
      </c>
      <c r="P407">
        <f>LEN(Table1[[#This Row],[Visitor_Name]])</f>
        <v>6</v>
      </c>
      <c r="S407">
        <f>ROUND(Table1[[#This Row],[Rating]],0)</f>
        <v>3</v>
      </c>
      <c r="T407" t="s">
        <v>76</v>
      </c>
      <c r="U407" t="s">
        <v>67</v>
      </c>
      <c r="V407" s="5" t="s">
        <v>12</v>
      </c>
      <c r="W407">
        <v>147</v>
      </c>
    </row>
    <row r="408" spans="1:23" x14ac:dyDescent="0.25">
      <c r="A408">
        <v>1407</v>
      </c>
      <c r="B408" t="s">
        <v>97</v>
      </c>
      <c r="C408" t="s">
        <v>81</v>
      </c>
      <c r="D408" t="s">
        <v>21</v>
      </c>
      <c r="E408" s="1">
        <v>45315</v>
      </c>
      <c r="F408">
        <v>201</v>
      </c>
      <c r="G408" t="s">
        <v>25</v>
      </c>
      <c r="H408">
        <v>4.5</v>
      </c>
      <c r="I408">
        <v>387</v>
      </c>
      <c r="J408" t="s">
        <v>32</v>
      </c>
      <c r="L408" t="str" cm="1">
        <f t="array" ref="L408">_xlfn.IFS(H408&lt;=2,"bad",H408&lt;=2.5,"neutral",H408&gt;2.5,"good")</f>
        <v>good</v>
      </c>
      <c r="M408" t="str" cm="1">
        <f t="array" ref="M408">_xlfn.IFS(F408&lt;30,"short",F408&lt;90,"medium",F408&lt;180,"long",F408&gt;180,"very long")</f>
        <v>very long</v>
      </c>
      <c r="N408" t="str">
        <f>LEFT(Table1[[#This Row],[Activity_Type]],3)</f>
        <v>Bir</v>
      </c>
      <c r="O408" t="str">
        <f>UPPER(Table1[[#This Row],[Column2]])</f>
        <v>PATEL</v>
      </c>
      <c r="P408">
        <f>LEN(Table1[[#This Row],[Visitor_Name]])</f>
        <v>5</v>
      </c>
      <c r="S408">
        <f>ROUND(Table1[[#This Row],[Rating]],0)</f>
        <v>5</v>
      </c>
      <c r="T408" t="s">
        <v>69</v>
      </c>
      <c r="U408" t="s">
        <v>65</v>
      </c>
      <c r="V408" s="5" t="s">
        <v>12</v>
      </c>
      <c r="W408">
        <v>150</v>
      </c>
    </row>
    <row r="409" spans="1:23" x14ac:dyDescent="0.25">
      <c r="A409">
        <v>1408</v>
      </c>
      <c r="B409" t="s">
        <v>90</v>
      </c>
      <c r="C409" t="s">
        <v>83</v>
      </c>
      <c r="D409" t="s">
        <v>22</v>
      </c>
      <c r="E409" s="1">
        <v>45431</v>
      </c>
      <c r="F409">
        <v>76</v>
      </c>
      <c r="G409" t="s">
        <v>26</v>
      </c>
      <c r="H409">
        <v>4</v>
      </c>
      <c r="I409">
        <v>340</v>
      </c>
      <c r="J409" t="s">
        <v>30</v>
      </c>
      <c r="L409" t="str" cm="1">
        <f t="array" ref="L409">_xlfn.IFS(H409&lt;=2,"bad",H409&lt;=2.5,"neutral",H409&gt;2.5,"good")</f>
        <v>good</v>
      </c>
      <c r="M409" t="str" cm="1">
        <f t="array" ref="M409">_xlfn.IFS(F409&lt;30,"short",F409&lt;90,"medium",F409&lt;180,"long",F409&gt;180,"very long")</f>
        <v>medium</v>
      </c>
      <c r="N409" t="str">
        <f>LEFT(Table1[[#This Row],[Activity_Type]],3)</f>
        <v>Cam</v>
      </c>
      <c r="O409" t="str">
        <f>UPPER(Table1[[#This Row],[Column2]])</f>
        <v>NAIR</v>
      </c>
      <c r="P409">
        <f>LEN(Table1[[#This Row],[Visitor_Name]])</f>
        <v>5</v>
      </c>
      <c r="S409">
        <f>ROUND(Table1[[#This Row],[Rating]],0)</f>
        <v>4</v>
      </c>
      <c r="T409" t="s">
        <v>70</v>
      </c>
      <c r="U409" t="s">
        <v>60</v>
      </c>
      <c r="V409" s="5" t="s">
        <v>16</v>
      </c>
      <c r="W409">
        <v>159</v>
      </c>
    </row>
    <row r="410" spans="1:23" x14ac:dyDescent="0.25">
      <c r="A410">
        <v>1409</v>
      </c>
      <c r="B410" t="s">
        <v>79</v>
      </c>
      <c r="C410" t="s">
        <v>96</v>
      </c>
      <c r="D410" t="s">
        <v>23</v>
      </c>
      <c r="E410" s="1">
        <v>45416</v>
      </c>
      <c r="F410">
        <v>214</v>
      </c>
      <c r="G410" t="s">
        <v>27</v>
      </c>
      <c r="H410">
        <v>4.5999999999999996</v>
      </c>
      <c r="I410">
        <v>497</v>
      </c>
      <c r="J410" t="s">
        <v>36</v>
      </c>
      <c r="L410" t="str" cm="1">
        <f t="array" ref="L410">_xlfn.IFS(H410&lt;=2,"bad",H410&lt;=2.5,"neutral",H410&gt;2.5,"good")</f>
        <v>good</v>
      </c>
      <c r="M410" t="str" cm="1">
        <f t="array" ref="M410">_xlfn.IFS(F410&lt;30,"short",F410&lt;90,"medium",F410&lt;180,"long",F410&gt;180,"very long")</f>
        <v>very long</v>
      </c>
      <c r="N410" t="str">
        <f>LEFT(Table1[[#This Row],[Activity_Type]],3)</f>
        <v>Boa</v>
      </c>
      <c r="O410" t="str">
        <f>UPPER(Table1[[#This Row],[Column2]])</f>
        <v>SHARMA</v>
      </c>
      <c r="P410">
        <f>LEN(Table1[[#This Row],[Visitor_Name]])</f>
        <v>5</v>
      </c>
      <c r="S410">
        <f>ROUND(Table1[[#This Row],[Rating]],0)</f>
        <v>5</v>
      </c>
      <c r="T410" t="s">
        <v>76</v>
      </c>
      <c r="U410" t="s">
        <v>58</v>
      </c>
      <c r="V410" s="5" t="s">
        <v>12</v>
      </c>
      <c r="W410">
        <v>164</v>
      </c>
    </row>
    <row r="411" spans="1:23" x14ac:dyDescent="0.25">
      <c r="A411">
        <v>1410</v>
      </c>
      <c r="B411" t="s">
        <v>84</v>
      </c>
      <c r="C411" t="s">
        <v>87</v>
      </c>
      <c r="D411" t="s">
        <v>20</v>
      </c>
      <c r="E411" s="1">
        <v>45554</v>
      </c>
      <c r="F411">
        <v>138</v>
      </c>
      <c r="G411" t="s">
        <v>24</v>
      </c>
      <c r="H411">
        <v>3.1</v>
      </c>
      <c r="I411">
        <v>366</v>
      </c>
      <c r="J411" t="s">
        <v>32</v>
      </c>
      <c r="L411" t="str" cm="1">
        <f t="array" ref="L411">_xlfn.IFS(H411&lt;=2,"bad",H411&lt;=2.5,"neutral",H411&gt;2.5,"good")</f>
        <v>good</v>
      </c>
      <c r="M411" t="str" cm="1">
        <f t="array" ref="M411">_xlfn.IFS(F411&lt;30,"short",F411&lt;90,"medium",F411&lt;180,"long",F411&gt;180,"very long")</f>
        <v>long</v>
      </c>
      <c r="N411" t="str">
        <f>LEFT(Table1[[#This Row],[Activity_Type]],3)</f>
        <v>Hik</v>
      </c>
      <c r="O411" t="str">
        <f>UPPER(Table1[[#This Row],[Column2]])</f>
        <v>VERMA</v>
      </c>
      <c r="P411">
        <f>LEN(Table1[[#This Row],[Visitor_Name]])</f>
        <v>5</v>
      </c>
      <c r="S411">
        <f>ROUND(Table1[[#This Row],[Rating]],0)</f>
        <v>3</v>
      </c>
      <c r="T411" t="s">
        <v>72</v>
      </c>
      <c r="U411" t="s">
        <v>63</v>
      </c>
      <c r="V411" s="5" t="s">
        <v>16</v>
      </c>
      <c r="W411">
        <v>165</v>
      </c>
    </row>
    <row r="412" spans="1:23" x14ac:dyDescent="0.25">
      <c r="A412">
        <v>1411</v>
      </c>
      <c r="B412" t="s">
        <v>82</v>
      </c>
      <c r="C412" t="s">
        <v>87</v>
      </c>
      <c r="D412" t="s">
        <v>23</v>
      </c>
      <c r="E412" s="1">
        <v>45611</v>
      </c>
      <c r="F412">
        <v>159</v>
      </c>
      <c r="G412" t="s">
        <v>24</v>
      </c>
      <c r="H412">
        <v>4.0999999999999996</v>
      </c>
      <c r="I412">
        <v>221</v>
      </c>
      <c r="J412" t="s">
        <v>28</v>
      </c>
      <c r="L412" t="str" cm="1">
        <f t="array" ref="L412">_xlfn.IFS(H412&lt;=2,"bad",H412&lt;=2.5,"neutral",H412&gt;2.5,"good")</f>
        <v>good</v>
      </c>
      <c r="M412" t="str" cm="1">
        <f t="array" ref="M412">_xlfn.IFS(F412&lt;30,"short",F412&lt;90,"medium",F412&lt;180,"long",F412&gt;180,"very long")</f>
        <v>long</v>
      </c>
      <c r="N412" t="str">
        <f>LEFT(Table1[[#This Row],[Activity_Type]],3)</f>
        <v>Boa</v>
      </c>
      <c r="O412" t="str">
        <f>UPPER(Table1[[#This Row],[Column2]])</f>
        <v>VERMA</v>
      </c>
      <c r="P412">
        <f>LEN(Table1[[#This Row],[Visitor_Name]])</f>
        <v>5</v>
      </c>
      <c r="S412">
        <f>ROUND(Table1[[#This Row],[Rating]],0)</f>
        <v>4</v>
      </c>
      <c r="T412" t="s">
        <v>72</v>
      </c>
      <c r="U412" t="s">
        <v>59</v>
      </c>
      <c r="V412" s="5" t="s">
        <v>16</v>
      </c>
      <c r="W412">
        <v>171</v>
      </c>
    </row>
    <row r="413" spans="1:23" x14ac:dyDescent="0.25">
      <c r="A413">
        <v>1412</v>
      </c>
      <c r="B413" t="s">
        <v>91</v>
      </c>
      <c r="C413" t="s">
        <v>81</v>
      </c>
      <c r="D413" t="s">
        <v>20</v>
      </c>
      <c r="E413" s="1">
        <v>45398</v>
      </c>
      <c r="F413">
        <v>199</v>
      </c>
      <c r="G413" t="s">
        <v>24</v>
      </c>
      <c r="H413">
        <v>3.5</v>
      </c>
      <c r="I413">
        <v>306</v>
      </c>
      <c r="J413" t="s">
        <v>32</v>
      </c>
      <c r="L413" t="str" cm="1">
        <f t="array" ref="L413">_xlfn.IFS(H413&lt;=2,"bad",H413&lt;=2.5,"neutral",H413&gt;2.5,"good")</f>
        <v>good</v>
      </c>
      <c r="M413" t="str" cm="1">
        <f t="array" ref="M413">_xlfn.IFS(F413&lt;30,"short",F413&lt;90,"medium",F413&lt;180,"long",F413&gt;180,"very long")</f>
        <v>very long</v>
      </c>
      <c r="N413" t="str">
        <f>LEFT(Table1[[#This Row],[Activity_Type]],3)</f>
        <v>Hik</v>
      </c>
      <c r="O413" t="str">
        <f>UPPER(Table1[[#This Row],[Column2]])</f>
        <v>PATEL</v>
      </c>
      <c r="P413">
        <f>LEN(Table1[[#This Row],[Visitor_Name]])</f>
        <v>5</v>
      </c>
      <c r="S413">
        <f>ROUND(Table1[[#This Row],[Rating]],0)</f>
        <v>4</v>
      </c>
      <c r="T413" t="s">
        <v>69</v>
      </c>
      <c r="U413" t="s">
        <v>61</v>
      </c>
      <c r="V413" s="5" t="s">
        <v>12</v>
      </c>
      <c r="W413">
        <v>193</v>
      </c>
    </row>
    <row r="414" spans="1:23" x14ac:dyDescent="0.25">
      <c r="A414">
        <v>1413</v>
      </c>
      <c r="B414" t="s">
        <v>84</v>
      </c>
      <c r="C414" t="s">
        <v>93</v>
      </c>
      <c r="D414" t="s">
        <v>22</v>
      </c>
      <c r="E414" s="1">
        <v>45384</v>
      </c>
      <c r="F414">
        <v>147</v>
      </c>
      <c r="G414" t="s">
        <v>25</v>
      </c>
      <c r="H414">
        <v>2.8</v>
      </c>
      <c r="I414">
        <v>420</v>
      </c>
      <c r="J414" t="s">
        <v>31</v>
      </c>
      <c r="L414" t="str" cm="1">
        <f t="array" ref="L414">_xlfn.IFS(H414&lt;=2,"bad",H414&lt;=2.5,"neutral",H414&gt;2.5,"good")</f>
        <v>good</v>
      </c>
      <c r="M414" t="str" cm="1">
        <f t="array" ref="M414">_xlfn.IFS(F414&lt;30,"short",F414&lt;90,"medium",F414&lt;180,"long",F414&gt;180,"very long")</f>
        <v>long</v>
      </c>
      <c r="N414" t="str">
        <f>LEFT(Table1[[#This Row],[Activity_Type]],3)</f>
        <v>Cam</v>
      </c>
      <c r="O414" t="str">
        <f>UPPER(Table1[[#This Row],[Column2]])</f>
        <v>IYER</v>
      </c>
      <c r="P414">
        <f>LEN(Table1[[#This Row],[Visitor_Name]])</f>
        <v>5</v>
      </c>
      <c r="S414">
        <f>ROUND(Table1[[#This Row],[Rating]],0)</f>
        <v>3</v>
      </c>
      <c r="T414" t="s">
        <v>74</v>
      </c>
      <c r="U414" t="s">
        <v>63</v>
      </c>
      <c r="V414" s="5" t="s">
        <v>13</v>
      </c>
      <c r="W414">
        <v>195</v>
      </c>
    </row>
    <row r="415" spans="1:23" x14ac:dyDescent="0.25">
      <c r="A415">
        <v>1414</v>
      </c>
      <c r="B415" t="s">
        <v>97</v>
      </c>
      <c r="C415" t="s">
        <v>93</v>
      </c>
      <c r="D415" t="s">
        <v>21</v>
      </c>
      <c r="E415" s="1">
        <v>45623</v>
      </c>
      <c r="F415">
        <v>117</v>
      </c>
      <c r="G415" t="s">
        <v>26</v>
      </c>
      <c r="H415">
        <v>3.5</v>
      </c>
      <c r="I415">
        <v>112</v>
      </c>
      <c r="J415" t="s">
        <v>37</v>
      </c>
      <c r="L415" t="str" cm="1">
        <f t="array" ref="L415">_xlfn.IFS(H415&lt;=2,"bad",H415&lt;=2.5,"neutral",H415&gt;2.5,"good")</f>
        <v>good</v>
      </c>
      <c r="M415" t="str" cm="1">
        <f t="array" ref="M415">_xlfn.IFS(F415&lt;30,"short",F415&lt;90,"medium",F415&lt;180,"long",F415&gt;180,"very long")</f>
        <v>long</v>
      </c>
      <c r="N415" t="str">
        <f>LEFT(Table1[[#This Row],[Activity_Type]],3)</f>
        <v>Bir</v>
      </c>
      <c r="O415" t="str">
        <f>UPPER(Table1[[#This Row],[Column2]])</f>
        <v>IYER</v>
      </c>
      <c r="P415">
        <f>LEN(Table1[[#This Row],[Visitor_Name]])</f>
        <v>5</v>
      </c>
      <c r="S415">
        <f>ROUND(Table1[[#This Row],[Rating]],0)</f>
        <v>4</v>
      </c>
      <c r="T415" t="s">
        <v>74</v>
      </c>
      <c r="U415" t="s">
        <v>65</v>
      </c>
      <c r="V415" s="5" t="s">
        <v>13</v>
      </c>
      <c r="W415">
        <v>197</v>
      </c>
    </row>
    <row r="416" spans="1:23" x14ac:dyDescent="0.25">
      <c r="A416">
        <v>1415</v>
      </c>
      <c r="B416" t="s">
        <v>92</v>
      </c>
      <c r="C416" t="s">
        <v>98</v>
      </c>
      <c r="D416" t="s">
        <v>23</v>
      </c>
      <c r="E416" s="1">
        <v>45424</v>
      </c>
      <c r="F416">
        <v>64</v>
      </c>
      <c r="G416" t="s">
        <v>26</v>
      </c>
      <c r="H416">
        <v>3.3</v>
      </c>
      <c r="I416">
        <v>181</v>
      </c>
      <c r="J416" t="s">
        <v>32</v>
      </c>
      <c r="L416" t="str" cm="1">
        <f t="array" ref="L416">_xlfn.IFS(H416&lt;=2,"bad",H416&lt;=2.5,"neutral",H416&gt;2.5,"good")</f>
        <v>good</v>
      </c>
      <c r="M416" t="str" cm="1">
        <f t="array" ref="M416">_xlfn.IFS(F416&lt;30,"short",F416&lt;90,"medium",F416&lt;180,"long",F416&gt;180,"very long")</f>
        <v>medium</v>
      </c>
      <c r="N416" t="str">
        <f>LEFT(Table1[[#This Row],[Activity_Type]],3)</f>
        <v>Boa</v>
      </c>
      <c r="O416" t="str">
        <f>UPPER(Table1[[#This Row],[Column2]])</f>
        <v>REDDY</v>
      </c>
      <c r="P416">
        <f>LEN(Table1[[#This Row],[Visitor_Name]])</f>
        <v>5</v>
      </c>
      <c r="S416">
        <f>ROUND(Table1[[#This Row],[Rating]],0)</f>
        <v>3</v>
      </c>
      <c r="T416" t="s">
        <v>77</v>
      </c>
      <c r="U416" t="s">
        <v>62</v>
      </c>
      <c r="V416" s="5" t="s">
        <v>14</v>
      </c>
      <c r="W416">
        <v>198</v>
      </c>
    </row>
    <row r="417" spans="1:23" x14ac:dyDescent="0.25">
      <c r="A417">
        <v>1416</v>
      </c>
      <c r="B417" t="s">
        <v>97</v>
      </c>
      <c r="C417" t="s">
        <v>95</v>
      </c>
      <c r="D417" t="s">
        <v>20</v>
      </c>
      <c r="E417" s="1">
        <v>45463</v>
      </c>
      <c r="F417">
        <v>228</v>
      </c>
      <c r="G417" t="s">
        <v>26</v>
      </c>
      <c r="H417">
        <v>3.7</v>
      </c>
      <c r="I417">
        <v>164</v>
      </c>
      <c r="J417" t="s">
        <v>31</v>
      </c>
      <c r="L417" t="str" cm="1">
        <f t="array" ref="L417">_xlfn.IFS(H417&lt;=2,"bad",H417&lt;=2.5,"neutral",H417&gt;2.5,"good")</f>
        <v>good</v>
      </c>
      <c r="M417" t="str" cm="1">
        <f t="array" ref="M417">_xlfn.IFS(F417&lt;30,"short",F417&lt;90,"medium",F417&lt;180,"long",F417&gt;180,"very long")</f>
        <v>very long</v>
      </c>
      <c r="N417" t="str">
        <f>LEFT(Table1[[#This Row],[Activity_Type]],3)</f>
        <v>Hik</v>
      </c>
      <c r="O417" t="str">
        <f>UPPER(Table1[[#This Row],[Column2]])</f>
        <v>SINGH</v>
      </c>
      <c r="P417">
        <f>LEN(Table1[[#This Row],[Visitor_Name]])</f>
        <v>5</v>
      </c>
      <c r="S417">
        <f>ROUND(Table1[[#This Row],[Rating]],0)</f>
        <v>4</v>
      </c>
      <c r="T417" t="s">
        <v>75</v>
      </c>
      <c r="U417" t="s">
        <v>65</v>
      </c>
      <c r="V417" s="5" t="s">
        <v>12</v>
      </c>
      <c r="W417">
        <v>199</v>
      </c>
    </row>
    <row r="418" spans="1:23" x14ac:dyDescent="0.25">
      <c r="A418">
        <v>1417</v>
      </c>
      <c r="B418" t="s">
        <v>97</v>
      </c>
      <c r="C418" t="s">
        <v>93</v>
      </c>
      <c r="D418" t="s">
        <v>22</v>
      </c>
      <c r="E418" s="1">
        <v>45582</v>
      </c>
      <c r="F418">
        <v>129</v>
      </c>
      <c r="G418" t="s">
        <v>24</v>
      </c>
      <c r="H418">
        <v>2.9</v>
      </c>
      <c r="I418">
        <v>350</v>
      </c>
      <c r="J418" t="s">
        <v>34</v>
      </c>
      <c r="L418" t="str" cm="1">
        <f t="array" ref="L418">_xlfn.IFS(H418&lt;=2,"bad",H418&lt;=2.5,"neutral",H418&gt;2.5,"good")</f>
        <v>good</v>
      </c>
      <c r="M418" t="str" cm="1">
        <f t="array" ref="M418">_xlfn.IFS(F418&lt;30,"short",F418&lt;90,"medium",F418&lt;180,"long",F418&gt;180,"very long")</f>
        <v>long</v>
      </c>
      <c r="N418" t="str">
        <f>LEFT(Table1[[#This Row],[Activity_Type]],3)</f>
        <v>Cam</v>
      </c>
      <c r="O418" t="str">
        <f>UPPER(Table1[[#This Row],[Column2]])</f>
        <v>IYER</v>
      </c>
      <c r="P418">
        <f>LEN(Table1[[#This Row],[Visitor_Name]])</f>
        <v>5</v>
      </c>
      <c r="S418">
        <f>ROUND(Table1[[#This Row],[Rating]],0)</f>
        <v>3</v>
      </c>
      <c r="T418" t="s">
        <v>74</v>
      </c>
      <c r="U418" t="s">
        <v>65</v>
      </c>
      <c r="V418" s="5" t="s">
        <v>12</v>
      </c>
      <c r="W418">
        <v>199</v>
      </c>
    </row>
    <row r="419" spans="1:23" x14ac:dyDescent="0.25">
      <c r="A419">
        <v>1418</v>
      </c>
      <c r="B419" t="s">
        <v>82</v>
      </c>
      <c r="C419" t="s">
        <v>93</v>
      </c>
      <c r="D419" t="s">
        <v>19</v>
      </c>
      <c r="E419" s="1">
        <v>45600</v>
      </c>
      <c r="F419">
        <v>72</v>
      </c>
      <c r="G419" t="s">
        <v>24</v>
      </c>
      <c r="H419">
        <v>3.6</v>
      </c>
      <c r="I419">
        <v>146</v>
      </c>
      <c r="J419" t="s">
        <v>29</v>
      </c>
      <c r="L419" t="str" cm="1">
        <f t="array" ref="L419">_xlfn.IFS(H419&lt;=2,"bad",H419&lt;=2.5,"neutral",H419&gt;2.5,"good")</f>
        <v>good</v>
      </c>
      <c r="M419" t="str" cm="1">
        <f t="array" ref="M419">_xlfn.IFS(F419&lt;30,"short",F419&lt;90,"medium",F419&lt;180,"long",F419&gt;180,"very long")</f>
        <v>medium</v>
      </c>
      <c r="N419" t="str">
        <f>LEFT(Table1[[#This Row],[Activity_Type]],3)</f>
        <v>Saf</v>
      </c>
      <c r="O419" t="str">
        <f>UPPER(Table1[[#This Row],[Column2]])</f>
        <v>IYER</v>
      </c>
      <c r="P419">
        <f>LEN(Table1[[#This Row],[Visitor_Name]])</f>
        <v>5</v>
      </c>
      <c r="S419">
        <f>ROUND(Table1[[#This Row],[Rating]],0)</f>
        <v>4</v>
      </c>
      <c r="T419" t="s">
        <v>74</v>
      </c>
      <c r="U419" t="s">
        <v>59</v>
      </c>
      <c r="V419" s="5" t="s">
        <v>17</v>
      </c>
      <c r="W419">
        <v>200</v>
      </c>
    </row>
    <row r="420" spans="1:23" x14ac:dyDescent="0.25">
      <c r="A420">
        <v>1419</v>
      </c>
      <c r="B420" t="s">
        <v>82</v>
      </c>
      <c r="C420" t="s">
        <v>85</v>
      </c>
      <c r="D420" t="s">
        <v>23</v>
      </c>
      <c r="E420" s="1">
        <v>45542</v>
      </c>
      <c r="F420">
        <v>200</v>
      </c>
      <c r="G420" t="s">
        <v>24</v>
      </c>
      <c r="H420">
        <v>3.3</v>
      </c>
      <c r="I420">
        <v>314</v>
      </c>
      <c r="J420" t="s">
        <v>36</v>
      </c>
      <c r="L420" t="str" cm="1">
        <f t="array" ref="L420">_xlfn.IFS(H420&lt;=2,"bad",H420&lt;=2.5,"neutral",H420&gt;2.5,"good")</f>
        <v>good</v>
      </c>
      <c r="M420" t="str" cm="1">
        <f t="array" ref="M420">_xlfn.IFS(F420&lt;30,"short",F420&lt;90,"medium",F420&lt;180,"long",F420&gt;180,"very long")</f>
        <v>very long</v>
      </c>
      <c r="N420" t="str">
        <f>LEFT(Table1[[#This Row],[Activity_Type]],3)</f>
        <v>Boa</v>
      </c>
      <c r="O420" t="str">
        <f>UPPER(Table1[[#This Row],[Column2]])</f>
        <v>DAS</v>
      </c>
      <c r="P420">
        <f>LEN(Table1[[#This Row],[Visitor_Name]])</f>
        <v>5</v>
      </c>
      <c r="S420">
        <f>ROUND(Table1[[#This Row],[Rating]],0)</f>
        <v>3</v>
      </c>
      <c r="T420" t="s">
        <v>71</v>
      </c>
      <c r="U420" t="s">
        <v>59</v>
      </c>
      <c r="V420" s="5" t="s">
        <v>15</v>
      </c>
      <c r="W420">
        <v>200</v>
      </c>
    </row>
    <row r="421" spans="1:23" x14ac:dyDescent="0.25">
      <c r="A421">
        <v>1420</v>
      </c>
      <c r="B421" t="s">
        <v>90</v>
      </c>
      <c r="C421" t="s">
        <v>83</v>
      </c>
      <c r="D421" t="s">
        <v>23</v>
      </c>
      <c r="E421" s="1">
        <v>45557</v>
      </c>
      <c r="F421">
        <v>209</v>
      </c>
      <c r="G421" t="s">
        <v>27</v>
      </c>
      <c r="H421">
        <v>3.9</v>
      </c>
      <c r="I421">
        <v>302</v>
      </c>
      <c r="J421" t="s">
        <v>31</v>
      </c>
      <c r="L421" t="str" cm="1">
        <f t="array" ref="L421">_xlfn.IFS(H421&lt;=2,"bad",H421&lt;=2.5,"neutral",H421&gt;2.5,"good")</f>
        <v>good</v>
      </c>
      <c r="M421" t="str" cm="1">
        <f t="array" ref="M421">_xlfn.IFS(F421&lt;30,"short",F421&lt;90,"medium",F421&lt;180,"long",F421&gt;180,"very long")</f>
        <v>very long</v>
      </c>
      <c r="N421" t="str">
        <f>LEFT(Table1[[#This Row],[Activity_Type]],3)</f>
        <v>Boa</v>
      </c>
      <c r="O421" t="str">
        <f>UPPER(Table1[[#This Row],[Column2]])</f>
        <v>NAIR</v>
      </c>
      <c r="P421">
        <f>LEN(Table1[[#This Row],[Visitor_Name]])</f>
        <v>5</v>
      </c>
      <c r="S421">
        <f>ROUND(Table1[[#This Row],[Rating]],0)</f>
        <v>4</v>
      </c>
      <c r="T421" t="s">
        <v>70</v>
      </c>
      <c r="U421" t="s">
        <v>60</v>
      </c>
      <c r="V421" s="5" t="s">
        <v>12</v>
      </c>
      <c r="W421">
        <v>201</v>
      </c>
    </row>
    <row r="422" spans="1:23" x14ac:dyDescent="0.25">
      <c r="A422">
        <v>1421</v>
      </c>
      <c r="B422" t="s">
        <v>92</v>
      </c>
      <c r="C422" t="s">
        <v>81</v>
      </c>
      <c r="D422" t="s">
        <v>23</v>
      </c>
      <c r="E422" s="1">
        <v>45471</v>
      </c>
      <c r="F422">
        <v>135</v>
      </c>
      <c r="G422" t="s">
        <v>26</v>
      </c>
      <c r="H422">
        <v>4.3</v>
      </c>
      <c r="I422">
        <v>199</v>
      </c>
      <c r="J422" t="s">
        <v>36</v>
      </c>
      <c r="L422" t="str" cm="1">
        <f t="array" ref="L422">_xlfn.IFS(H422&lt;=2,"bad",H422&lt;=2.5,"neutral",H422&gt;2.5,"good")</f>
        <v>good</v>
      </c>
      <c r="M422" t="str" cm="1">
        <f t="array" ref="M422">_xlfn.IFS(F422&lt;30,"short",F422&lt;90,"medium",F422&lt;180,"long",F422&gt;180,"very long")</f>
        <v>long</v>
      </c>
      <c r="N422" t="str">
        <f>LEFT(Table1[[#This Row],[Activity_Type]],3)</f>
        <v>Boa</v>
      </c>
      <c r="O422" t="str">
        <f>UPPER(Table1[[#This Row],[Column2]])</f>
        <v>PATEL</v>
      </c>
      <c r="P422">
        <f>LEN(Table1[[#This Row],[Visitor_Name]])</f>
        <v>5</v>
      </c>
      <c r="S422">
        <f>ROUND(Table1[[#This Row],[Rating]],0)</f>
        <v>4</v>
      </c>
      <c r="T422" t="s">
        <v>69</v>
      </c>
      <c r="U422" t="s">
        <v>62</v>
      </c>
      <c r="V422" s="5" t="s">
        <v>16</v>
      </c>
      <c r="W422">
        <v>204</v>
      </c>
    </row>
    <row r="423" spans="1:23" x14ac:dyDescent="0.25">
      <c r="A423">
        <v>1422</v>
      </c>
      <c r="B423" t="s">
        <v>94</v>
      </c>
      <c r="C423" t="s">
        <v>81</v>
      </c>
      <c r="D423" t="s">
        <v>19</v>
      </c>
      <c r="E423" s="1">
        <v>45638</v>
      </c>
      <c r="F423">
        <v>128</v>
      </c>
      <c r="G423" t="s">
        <v>27</v>
      </c>
      <c r="H423">
        <v>2.6</v>
      </c>
      <c r="I423">
        <v>308</v>
      </c>
      <c r="J423" t="s">
        <v>28</v>
      </c>
      <c r="L423" t="str" cm="1">
        <f t="array" ref="L423">_xlfn.IFS(H423&lt;=2,"bad",H423&lt;=2.5,"neutral",H423&gt;2.5,"good")</f>
        <v>good</v>
      </c>
      <c r="M423" t="str" cm="1">
        <f t="array" ref="M423">_xlfn.IFS(F423&lt;30,"short",F423&lt;90,"medium",F423&lt;180,"long",F423&gt;180,"very long")</f>
        <v>long</v>
      </c>
      <c r="N423" t="str">
        <f>LEFT(Table1[[#This Row],[Activity_Type]],3)</f>
        <v>Saf</v>
      </c>
      <c r="O423" t="str">
        <f>UPPER(Table1[[#This Row],[Column2]])</f>
        <v>PATEL</v>
      </c>
      <c r="P423">
        <f>LEN(Table1[[#This Row],[Visitor_Name]])</f>
        <v>5</v>
      </c>
      <c r="S423">
        <f>ROUND(Table1[[#This Row],[Rating]],0)</f>
        <v>3</v>
      </c>
      <c r="T423" t="s">
        <v>69</v>
      </c>
      <c r="U423" t="s">
        <v>64</v>
      </c>
      <c r="V423" s="5" t="s">
        <v>17</v>
      </c>
      <c r="W423">
        <v>209</v>
      </c>
    </row>
    <row r="424" spans="1:23" x14ac:dyDescent="0.25">
      <c r="A424">
        <v>1423</v>
      </c>
      <c r="B424" t="s">
        <v>88</v>
      </c>
      <c r="C424" t="s">
        <v>98</v>
      </c>
      <c r="D424" t="s">
        <v>21</v>
      </c>
      <c r="E424" s="1">
        <v>45538</v>
      </c>
      <c r="F424">
        <v>126</v>
      </c>
      <c r="G424" t="s">
        <v>27</v>
      </c>
      <c r="H424">
        <v>4.2</v>
      </c>
      <c r="I424">
        <v>451</v>
      </c>
      <c r="J424" t="s">
        <v>33</v>
      </c>
      <c r="L424" t="str" cm="1">
        <f t="array" ref="L424">_xlfn.IFS(H424&lt;=2,"bad",H424&lt;=2.5,"neutral",H424&gt;2.5,"good")</f>
        <v>good</v>
      </c>
      <c r="M424" t="str" cm="1">
        <f t="array" ref="M424">_xlfn.IFS(F424&lt;30,"short",F424&lt;90,"medium",F424&lt;180,"long",F424&gt;180,"very long")</f>
        <v>long</v>
      </c>
      <c r="N424" t="str">
        <f>LEFT(Table1[[#This Row],[Activity_Type]],3)</f>
        <v>Bir</v>
      </c>
      <c r="O424" t="str">
        <f>UPPER(Table1[[#This Row],[Column2]])</f>
        <v>REDDY</v>
      </c>
      <c r="P424">
        <f>LEN(Table1[[#This Row],[Visitor_Name]])</f>
        <v>6</v>
      </c>
      <c r="S424">
        <f>ROUND(Table1[[#This Row],[Rating]],0)</f>
        <v>4</v>
      </c>
      <c r="T424" t="s">
        <v>77</v>
      </c>
      <c r="U424" t="s">
        <v>67</v>
      </c>
      <c r="V424" s="5" t="s">
        <v>15</v>
      </c>
      <c r="W424">
        <v>209</v>
      </c>
    </row>
    <row r="425" spans="1:23" x14ac:dyDescent="0.25">
      <c r="A425">
        <v>1424</v>
      </c>
      <c r="B425" t="s">
        <v>92</v>
      </c>
      <c r="C425" t="s">
        <v>85</v>
      </c>
      <c r="D425" t="s">
        <v>21</v>
      </c>
      <c r="E425" s="1">
        <v>45594</v>
      </c>
      <c r="F425">
        <v>209</v>
      </c>
      <c r="G425" t="s">
        <v>24</v>
      </c>
      <c r="H425">
        <v>3.9</v>
      </c>
      <c r="I425">
        <v>367</v>
      </c>
      <c r="J425" t="s">
        <v>32</v>
      </c>
      <c r="L425" t="str" cm="1">
        <f t="array" ref="L425">_xlfn.IFS(H425&lt;=2,"bad",H425&lt;=2.5,"neutral",H425&gt;2.5,"good")</f>
        <v>good</v>
      </c>
      <c r="M425" t="str" cm="1">
        <f t="array" ref="M425">_xlfn.IFS(F425&lt;30,"short",F425&lt;90,"medium",F425&lt;180,"long",F425&gt;180,"very long")</f>
        <v>very long</v>
      </c>
      <c r="N425" t="str">
        <f>LEFT(Table1[[#This Row],[Activity_Type]],3)</f>
        <v>Bir</v>
      </c>
      <c r="O425" t="str">
        <f>UPPER(Table1[[#This Row],[Column2]])</f>
        <v>DAS</v>
      </c>
      <c r="P425">
        <f>LEN(Table1[[#This Row],[Visitor_Name]])</f>
        <v>5</v>
      </c>
      <c r="S425">
        <f>ROUND(Table1[[#This Row],[Rating]],0)</f>
        <v>4</v>
      </c>
      <c r="T425" t="s">
        <v>71</v>
      </c>
      <c r="U425" t="s">
        <v>62</v>
      </c>
      <c r="V425" s="5" t="s">
        <v>16</v>
      </c>
      <c r="W425">
        <v>210</v>
      </c>
    </row>
    <row r="426" spans="1:23" x14ac:dyDescent="0.25">
      <c r="A426">
        <v>1425</v>
      </c>
      <c r="B426" t="s">
        <v>86</v>
      </c>
      <c r="C426" t="s">
        <v>81</v>
      </c>
      <c r="D426" t="s">
        <v>19</v>
      </c>
      <c r="E426" s="1">
        <v>45404</v>
      </c>
      <c r="F426">
        <v>126</v>
      </c>
      <c r="G426" t="s">
        <v>26</v>
      </c>
      <c r="H426">
        <v>4.8</v>
      </c>
      <c r="I426">
        <v>361</v>
      </c>
      <c r="J426" t="s">
        <v>31</v>
      </c>
      <c r="L426" t="str" cm="1">
        <f t="array" ref="L426">_xlfn.IFS(H426&lt;=2,"bad",H426&lt;=2.5,"neutral",H426&gt;2.5,"good")</f>
        <v>good</v>
      </c>
      <c r="M426" t="str" cm="1">
        <f t="array" ref="M426">_xlfn.IFS(F426&lt;30,"short",F426&lt;90,"medium",F426&lt;180,"long",F426&gt;180,"very long")</f>
        <v>long</v>
      </c>
      <c r="N426" t="str">
        <f>LEFT(Table1[[#This Row],[Activity_Type]],3)</f>
        <v>Saf</v>
      </c>
      <c r="O426" t="str">
        <f>UPPER(Table1[[#This Row],[Column2]])</f>
        <v>PATEL</v>
      </c>
      <c r="P426">
        <f>LEN(Table1[[#This Row],[Visitor_Name]])</f>
        <v>6</v>
      </c>
      <c r="S426">
        <f>ROUND(Table1[[#This Row],[Rating]],0)</f>
        <v>5</v>
      </c>
      <c r="T426" t="s">
        <v>69</v>
      </c>
      <c r="U426" t="s">
        <v>66</v>
      </c>
      <c r="V426" s="5" t="s">
        <v>14</v>
      </c>
      <c r="W426">
        <v>214</v>
      </c>
    </row>
    <row r="427" spans="1:23" x14ac:dyDescent="0.25">
      <c r="A427">
        <v>1426</v>
      </c>
      <c r="B427" t="s">
        <v>91</v>
      </c>
      <c r="C427" t="s">
        <v>83</v>
      </c>
      <c r="D427" t="s">
        <v>19</v>
      </c>
      <c r="E427" s="1">
        <v>45394</v>
      </c>
      <c r="F427">
        <v>199</v>
      </c>
      <c r="G427" t="s">
        <v>24</v>
      </c>
      <c r="H427">
        <v>3.1</v>
      </c>
      <c r="I427">
        <v>483</v>
      </c>
      <c r="J427" t="s">
        <v>30</v>
      </c>
      <c r="L427" t="str" cm="1">
        <f t="array" ref="L427">_xlfn.IFS(H427&lt;=2,"bad",H427&lt;=2.5,"neutral",H427&gt;2.5,"good")</f>
        <v>good</v>
      </c>
      <c r="M427" t="str" cm="1">
        <f t="array" ref="M427">_xlfn.IFS(F427&lt;30,"short",F427&lt;90,"medium",F427&lt;180,"long",F427&gt;180,"very long")</f>
        <v>very long</v>
      </c>
      <c r="N427" t="str">
        <f>LEFT(Table1[[#This Row],[Activity_Type]],3)</f>
        <v>Saf</v>
      </c>
      <c r="O427" t="str">
        <f>UPPER(Table1[[#This Row],[Column2]])</f>
        <v>NAIR</v>
      </c>
      <c r="P427">
        <f>LEN(Table1[[#This Row],[Visitor_Name]])</f>
        <v>5</v>
      </c>
      <c r="S427">
        <f>ROUND(Table1[[#This Row],[Rating]],0)</f>
        <v>3</v>
      </c>
      <c r="T427" t="s">
        <v>70</v>
      </c>
      <c r="U427" t="s">
        <v>61</v>
      </c>
      <c r="V427" s="5" t="s">
        <v>16</v>
      </c>
      <c r="W427">
        <v>227</v>
      </c>
    </row>
    <row r="428" spans="1:23" x14ac:dyDescent="0.25">
      <c r="A428">
        <v>1427</v>
      </c>
      <c r="B428" t="s">
        <v>92</v>
      </c>
      <c r="C428" t="s">
        <v>83</v>
      </c>
      <c r="D428" t="s">
        <v>18</v>
      </c>
      <c r="E428" s="1">
        <v>45517</v>
      </c>
      <c r="F428">
        <v>83</v>
      </c>
      <c r="G428" t="s">
        <v>24</v>
      </c>
      <c r="H428">
        <v>4</v>
      </c>
      <c r="I428">
        <v>144</v>
      </c>
      <c r="J428" t="s">
        <v>34</v>
      </c>
      <c r="L428" t="str" cm="1">
        <f t="array" ref="L428">_xlfn.IFS(H428&lt;=2,"bad",H428&lt;=2.5,"neutral",H428&gt;2.5,"good")</f>
        <v>good</v>
      </c>
      <c r="M428" t="str" cm="1">
        <f t="array" ref="M428">_xlfn.IFS(F428&lt;30,"short",F428&lt;90,"medium",F428&lt;180,"long",F428&gt;180,"very long")</f>
        <v>medium</v>
      </c>
      <c r="N428" t="str">
        <f>LEFT(Table1[[#This Row],[Activity_Type]],3)</f>
        <v>Pho</v>
      </c>
      <c r="O428" t="str">
        <f>UPPER(Table1[[#This Row],[Column2]])</f>
        <v>NAIR</v>
      </c>
      <c r="P428">
        <f>LEN(Table1[[#This Row],[Visitor_Name]])</f>
        <v>5</v>
      </c>
      <c r="S428">
        <f>ROUND(Table1[[#This Row],[Rating]],0)</f>
        <v>4</v>
      </c>
      <c r="T428" t="s">
        <v>70</v>
      </c>
      <c r="U428" t="s">
        <v>62</v>
      </c>
      <c r="V428" s="5" t="s">
        <v>16</v>
      </c>
      <c r="W428">
        <v>228</v>
      </c>
    </row>
    <row r="429" spans="1:23" x14ac:dyDescent="0.25">
      <c r="A429">
        <v>1428</v>
      </c>
      <c r="B429" t="s">
        <v>82</v>
      </c>
      <c r="C429" t="s">
        <v>98</v>
      </c>
      <c r="D429" t="s">
        <v>22</v>
      </c>
      <c r="E429" s="1">
        <v>45604</v>
      </c>
      <c r="F429">
        <v>171</v>
      </c>
      <c r="G429" t="s">
        <v>25</v>
      </c>
      <c r="H429">
        <v>4.8</v>
      </c>
      <c r="I429">
        <v>325</v>
      </c>
      <c r="J429" t="s">
        <v>30</v>
      </c>
      <c r="L429" t="str" cm="1">
        <f t="array" ref="L429">_xlfn.IFS(H429&lt;=2,"bad",H429&lt;=2.5,"neutral",H429&gt;2.5,"good")</f>
        <v>good</v>
      </c>
      <c r="M429" t="str" cm="1">
        <f t="array" ref="M429">_xlfn.IFS(F429&lt;30,"short",F429&lt;90,"medium",F429&lt;180,"long",F429&gt;180,"very long")</f>
        <v>long</v>
      </c>
      <c r="N429" t="str">
        <f>LEFT(Table1[[#This Row],[Activity_Type]],3)</f>
        <v>Cam</v>
      </c>
      <c r="O429" t="str">
        <f>UPPER(Table1[[#This Row],[Column2]])</f>
        <v>REDDY</v>
      </c>
      <c r="P429">
        <f>LEN(Table1[[#This Row],[Visitor_Name]])</f>
        <v>5</v>
      </c>
      <c r="S429">
        <f>ROUND(Table1[[#This Row],[Rating]],0)</f>
        <v>5</v>
      </c>
      <c r="T429" t="s">
        <v>77</v>
      </c>
      <c r="U429" t="s">
        <v>59</v>
      </c>
      <c r="V429" s="5" t="s">
        <v>10</v>
      </c>
      <c r="W429">
        <v>231</v>
      </c>
    </row>
    <row r="430" spans="1:23" x14ac:dyDescent="0.25">
      <c r="A430">
        <v>1429</v>
      </c>
      <c r="B430" t="s">
        <v>84</v>
      </c>
      <c r="C430" t="s">
        <v>98</v>
      </c>
      <c r="D430" t="s">
        <v>20</v>
      </c>
      <c r="E430" s="1">
        <v>45296</v>
      </c>
      <c r="F430">
        <v>30</v>
      </c>
      <c r="G430" t="s">
        <v>27</v>
      </c>
      <c r="H430">
        <v>4.8</v>
      </c>
      <c r="I430">
        <v>150</v>
      </c>
      <c r="J430" t="s">
        <v>33</v>
      </c>
      <c r="L430" t="str" cm="1">
        <f t="array" ref="L430">_xlfn.IFS(H430&lt;=2,"bad",H430&lt;=2.5,"neutral",H430&gt;2.5,"good")</f>
        <v>good</v>
      </c>
      <c r="M430" t="str" cm="1">
        <f t="array" ref="M430">_xlfn.IFS(F430&lt;30,"short",F430&lt;90,"medium",F430&lt;180,"long",F430&gt;180,"very long")</f>
        <v>medium</v>
      </c>
      <c r="N430" t="str">
        <f>LEFT(Table1[[#This Row],[Activity_Type]],3)</f>
        <v>Hik</v>
      </c>
      <c r="O430" t="str">
        <f>UPPER(Table1[[#This Row],[Column2]])</f>
        <v>REDDY</v>
      </c>
      <c r="P430">
        <f>LEN(Table1[[#This Row],[Visitor_Name]])</f>
        <v>5</v>
      </c>
      <c r="S430">
        <f>ROUND(Table1[[#This Row],[Rating]],0)</f>
        <v>5</v>
      </c>
      <c r="T430" t="s">
        <v>77</v>
      </c>
      <c r="U430" t="s">
        <v>63</v>
      </c>
      <c r="V430" s="5" t="s">
        <v>14</v>
      </c>
      <c r="W430">
        <v>232</v>
      </c>
    </row>
    <row r="431" spans="1:23" x14ac:dyDescent="0.25">
      <c r="A431">
        <v>1430</v>
      </c>
      <c r="B431" t="s">
        <v>92</v>
      </c>
      <c r="C431" t="s">
        <v>95</v>
      </c>
      <c r="D431" t="s">
        <v>21</v>
      </c>
      <c r="E431" s="1">
        <v>45612</v>
      </c>
      <c r="F431">
        <v>20</v>
      </c>
      <c r="G431" t="s">
        <v>24</v>
      </c>
      <c r="H431">
        <v>3.9</v>
      </c>
      <c r="I431">
        <v>174</v>
      </c>
      <c r="J431" t="s">
        <v>31</v>
      </c>
      <c r="L431" t="str" cm="1">
        <f t="array" ref="L431">_xlfn.IFS(H431&lt;=2,"bad",H431&lt;=2.5,"neutral",H431&gt;2.5,"good")</f>
        <v>good</v>
      </c>
      <c r="M431" t="str" cm="1">
        <f t="array" ref="M431">_xlfn.IFS(F431&lt;30,"short",F431&lt;90,"medium",F431&lt;180,"long",F431&gt;180,"very long")</f>
        <v>short</v>
      </c>
      <c r="N431" t="str">
        <f>LEFT(Table1[[#This Row],[Activity_Type]],3)</f>
        <v>Bir</v>
      </c>
      <c r="O431" t="str">
        <f>UPPER(Table1[[#This Row],[Column2]])</f>
        <v>SINGH</v>
      </c>
      <c r="P431">
        <f>LEN(Table1[[#This Row],[Visitor_Name]])</f>
        <v>5</v>
      </c>
      <c r="S431">
        <f>ROUND(Table1[[#This Row],[Rating]],0)</f>
        <v>4</v>
      </c>
      <c r="T431" t="s">
        <v>75</v>
      </c>
      <c r="U431" t="s">
        <v>62</v>
      </c>
      <c r="V431" s="5" t="s">
        <v>12</v>
      </c>
      <c r="W431">
        <v>236</v>
      </c>
    </row>
    <row r="432" spans="1:23" x14ac:dyDescent="0.25">
      <c r="A432">
        <v>1431</v>
      </c>
      <c r="B432" t="s">
        <v>90</v>
      </c>
      <c r="C432" t="s">
        <v>89</v>
      </c>
      <c r="D432" t="s">
        <v>19</v>
      </c>
      <c r="E432" s="1">
        <v>45415</v>
      </c>
      <c r="F432">
        <v>55</v>
      </c>
      <c r="G432" t="s">
        <v>24</v>
      </c>
      <c r="H432">
        <v>3.1</v>
      </c>
      <c r="I432">
        <v>334</v>
      </c>
      <c r="J432" t="s">
        <v>33</v>
      </c>
      <c r="L432" t="str" cm="1">
        <f t="array" ref="L432">_xlfn.IFS(H432&lt;=2,"bad",H432&lt;=2.5,"neutral",H432&gt;2.5,"good")</f>
        <v>good</v>
      </c>
      <c r="M432" t="str" cm="1">
        <f t="array" ref="M432">_xlfn.IFS(F432&lt;30,"short",F432&lt;90,"medium",F432&lt;180,"long",F432&gt;180,"very long")</f>
        <v>medium</v>
      </c>
      <c r="N432" t="str">
        <f>LEFT(Table1[[#This Row],[Activity_Type]],3)</f>
        <v>Saf</v>
      </c>
      <c r="O432" t="str">
        <f>UPPER(Table1[[#This Row],[Column2]])</f>
        <v>MENON</v>
      </c>
      <c r="P432">
        <f>LEN(Table1[[#This Row],[Visitor_Name]])</f>
        <v>5</v>
      </c>
      <c r="S432">
        <f>ROUND(Table1[[#This Row],[Rating]],0)</f>
        <v>3</v>
      </c>
      <c r="T432" t="s">
        <v>73</v>
      </c>
      <c r="U432" t="s">
        <v>60</v>
      </c>
      <c r="V432" s="5" t="s">
        <v>13</v>
      </c>
      <c r="W432">
        <v>238</v>
      </c>
    </row>
    <row r="433" spans="1:23" x14ac:dyDescent="0.25">
      <c r="A433">
        <v>1432</v>
      </c>
      <c r="B433" t="s">
        <v>84</v>
      </c>
      <c r="C433" t="s">
        <v>93</v>
      </c>
      <c r="D433" t="s">
        <v>23</v>
      </c>
      <c r="E433" s="1">
        <v>45575</v>
      </c>
      <c r="F433">
        <v>70</v>
      </c>
      <c r="G433" t="s">
        <v>25</v>
      </c>
      <c r="H433">
        <v>3.6</v>
      </c>
      <c r="I433">
        <v>207</v>
      </c>
      <c r="J433" t="s">
        <v>37</v>
      </c>
      <c r="L433" t="str" cm="1">
        <f t="array" ref="L433">_xlfn.IFS(H433&lt;=2,"bad",H433&lt;=2.5,"neutral",H433&gt;2.5,"good")</f>
        <v>good</v>
      </c>
      <c r="M433" t="str" cm="1">
        <f t="array" ref="M433">_xlfn.IFS(F433&lt;30,"short",F433&lt;90,"medium",F433&lt;180,"long",F433&gt;180,"very long")</f>
        <v>medium</v>
      </c>
      <c r="N433" t="str">
        <f>LEFT(Table1[[#This Row],[Activity_Type]],3)</f>
        <v>Boa</v>
      </c>
      <c r="O433" t="str">
        <f>UPPER(Table1[[#This Row],[Column2]])</f>
        <v>IYER</v>
      </c>
      <c r="P433">
        <f>LEN(Table1[[#This Row],[Visitor_Name]])</f>
        <v>5</v>
      </c>
      <c r="S433">
        <f>ROUND(Table1[[#This Row],[Rating]],0)</f>
        <v>4</v>
      </c>
      <c r="T433" t="s">
        <v>74</v>
      </c>
      <c r="U433" t="s">
        <v>63</v>
      </c>
      <c r="V433" s="5" t="s">
        <v>15</v>
      </c>
      <c r="W433">
        <v>239</v>
      </c>
    </row>
    <row r="434" spans="1:23" x14ac:dyDescent="0.25">
      <c r="A434">
        <v>1433</v>
      </c>
      <c r="B434" t="s">
        <v>97</v>
      </c>
      <c r="C434" t="s">
        <v>83</v>
      </c>
      <c r="D434" t="s">
        <v>20</v>
      </c>
      <c r="E434" s="1">
        <v>45502</v>
      </c>
      <c r="F434">
        <v>231</v>
      </c>
      <c r="G434" t="s">
        <v>24</v>
      </c>
      <c r="H434">
        <v>4.8</v>
      </c>
      <c r="I434">
        <v>195</v>
      </c>
      <c r="J434" t="s">
        <v>31</v>
      </c>
      <c r="L434" t="str" cm="1">
        <f t="array" ref="L434">_xlfn.IFS(H434&lt;=2,"bad",H434&lt;=2.5,"neutral",H434&gt;2.5,"good")</f>
        <v>good</v>
      </c>
      <c r="M434" t="str" cm="1">
        <f t="array" ref="M434">_xlfn.IFS(F434&lt;30,"short",F434&lt;90,"medium",F434&lt;180,"long",F434&gt;180,"very long")</f>
        <v>very long</v>
      </c>
      <c r="N434" t="str">
        <f>LEFT(Table1[[#This Row],[Activity_Type]],3)</f>
        <v>Hik</v>
      </c>
      <c r="O434" t="str">
        <f>UPPER(Table1[[#This Row],[Column2]])</f>
        <v>NAIR</v>
      </c>
      <c r="P434">
        <f>LEN(Table1[[#This Row],[Visitor_Name]])</f>
        <v>5</v>
      </c>
      <c r="S434">
        <f>ROUND(Table1[[#This Row],[Rating]],0)</f>
        <v>5</v>
      </c>
      <c r="T434" t="s">
        <v>70</v>
      </c>
      <c r="U434" t="s">
        <v>65</v>
      </c>
      <c r="V434" s="5" t="s">
        <v>10</v>
      </c>
      <c r="W434">
        <v>240</v>
      </c>
    </row>
    <row r="435" spans="1:23" x14ac:dyDescent="0.25">
      <c r="A435">
        <v>1434</v>
      </c>
      <c r="B435" t="s">
        <v>88</v>
      </c>
      <c r="C435" t="s">
        <v>85</v>
      </c>
      <c r="D435" t="s">
        <v>18</v>
      </c>
      <c r="E435" s="1">
        <v>45386</v>
      </c>
      <c r="F435">
        <v>71</v>
      </c>
      <c r="G435" t="s">
        <v>24</v>
      </c>
      <c r="H435">
        <v>5</v>
      </c>
      <c r="I435">
        <v>254</v>
      </c>
      <c r="J435" t="s">
        <v>32</v>
      </c>
      <c r="L435" t="str" cm="1">
        <f t="array" ref="L435">_xlfn.IFS(H435&lt;=2,"bad",H435&lt;=2.5,"neutral",H435&gt;2.5,"good")</f>
        <v>good</v>
      </c>
      <c r="M435" t="str" cm="1">
        <f t="array" ref="M435">_xlfn.IFS(F435&lt;30,"short",F435&lt;90,"medium",F435&lt;180,"long",F435&gt;180,"very long")</f>
        <v>medium</v>
      </c>
      <c r="N435" t="str">
        <f>LEFT(Table1[[#This Row],[Activity_Type]],3)</f>
        <v>Pho</v>
      </c>
      <c r="O435" t="str">
        <f>UPPER(Table1[[#This Row],[Column2]])</f>
        <v>DAS</v>
      </c>
      <c r="P435">
        <f>LEN(Table1[[#This Row],[Visitor_Name]])</f>
        <v>6</v>
      </c>
      <c r="S435">
        <f>ROUND(Table1[[#This Row],[Rating]],0)</f>
        <v>5</v>
      </c>
      <c r="T435" t="s">
        <v>71</v>
      </c>
      <c r="U435" t="s">
        <v>67</v>
      </c>
      <c r="V435" s="5" t="s">
        <v>17</v>
      </c>
      <c r="W435">
        <v>21</v>
      </c>
    </row>
    <row r="436" spans="1:23" x14ac:dyDescent="0.25">
      <c r="A436">
        <v>1435</v>
      </c>
      <c r="B436" t="s">
        <v>86</v>
      </c>
      <c r="C436" t="s">
        <v>83</v>
      </c>
      <c r="D436" t="s">
        <v>20</v>
      </c>
      <c r="E436" s="1">
        <v>45369</v>
      </c>
      <c r="F436">
        <v>65</v>
      </c>
      <c r="G436" t="s">
        <v>24</v>
      </c>
      <c r="H436">
        <v>2.6</v>
      </c>
      <c r="I436">
        <v>435</v>
      </c>
      <c r="J436" t="s">
        <v>37</v>
      </c>
      <c r="L436" t="str" cm="1">
        <f t="array" ref="L436">_xlfn.IFS(H436&lt;=2,"bad",H436&lt;=2.5,"neutral",H436&gt;2.5,"good")</f>
        <v>good</v>
      </c>
      <c r="M436" t="str" cm="1">
        <f t="array" ref="M436">_xlfn.IFS(F436&lt;30,"short",F436&lt;90,"medium",F436&lt;180,"long",F436&gt;180,"very long")</f>
        <v>medium</v>
      </c>
      <c r="N436" t="str">
        <f>LEFT(Table1[[#This Row],[Activity_Type]],3)</f>
        <v>Hik</v>
      </c>
      <c r="O436" t="str">
        <f>UPPER(Table1[[#This Row],[Column2]])</f>
        <v>NAIR</v>
      </c>
      <c r="P436">
        <f>LEN(Table1[[#This Row],[Visitor_Name]])</f>
        <v>6</v>
      </c>
      <c r="S436">
        <f>ROUND(Table1[[#This Row],[Rating]],0)</f>
        <v>3</v>
      </c>
      <c r="T436" t="s">
        <v>70</v>
      </c>
      <c r="U436" t="s">
        <v>66</v>
      </c>
      <c r="V436" s="5" t="s">
        <v>13</v>
      </c>
      <c r="W436">
        <v>26</v>
      </c>
    </row>
    <row r="437" spans="1:23" x14ac:dyDescent="0.25">
      <c r="A437">
        <v>1436</v>
      </c>
      <c r="B437" t="s">
        <v>97</v>
      </c>
      <c r="C437" t="s">
        <v>87</v>
      </c>
      <c r="D437" t="s">
        <v>23</v>
      </c>
      <c r="E437" s="1">
        <v>45411</v>
      </c>
      <c r="F437">
        <v>197</v>
      </c>
      <c r="G437" t="s">
        <v>26</v>
      </c>
      <c r="H437">
        <v>2.9</v>
      </c>
      <c r="I437">
        <v>361</v>
      </c>
      <c r="J437" t="s">
        <v>33</v>
      </c>
      <c r="L437" t="str" cm="1">
        <f t="array" ref="L437">_xlfn.IFS(H437&lt;=2,"bad",H437&lt;=2.5,"neutral",H437&gt;2.5,"good")</f>
        <v>good</v>
      </c>
      <c r="M437" t="str" cm="1">
        <f t="array" ref="M437">_xlfn.IFS(F437&lt;30,"short",F437&lt;90,"medium",F437&lt;180,"long",F437&gt;180,"very long")</f>
        <v>very long</v>
      </c>
      <c r="N437" t="str">
        <f>LEFT(Table1[[#This Row],[Activity_Type]],3)</f>
        <v>Boa</v>
      </c>
      <c r="O437" t="str">
        <f>UPPER(Table1[[#This Row],[Column2]])</f>
        <v>VERMA</v>
      </c>
      <c r="P437">
        <f>LEN(Table1[[#This Row],[Visitor_Name]])</f>
        <v>5</v>
      </c>
      <c r="S437">
        <f>ROUND(Table1[[#This Row],[Rating]],0)</f>
        <v>3</v>
      </c>
      <c r="T437" t="s">
        <v>72</v>
      </c>
      <c r="U437" t="s">
        <v>65</v>
      </c>
      <c r="V437" s="5" t="s">
        <v>16</v>
      </c>
      <c r="W437">
        <v>29</v>
      </c>
    </row>
    <row r="438" spans="1:23" x14ac:dyDescent="0.25">
      <c r="A438">
        <v>1437</v>
      </c>
      <c r="B438" t="s">
        <v>91</v>
      </c>
      <c r="C438" t="s">
        <v>80</v>
      </c>
      <c r="D438" t="s">
        <v>23</v>
      </c>
      <c r="E438" s="1">
        <v>45380</v>
      </c>
      <c r="F438">
        <v>51</v>
      </c>
      <c r="G438" t="s">
        <v>26</v>
      </c>
      <c r="H438">
        <v>3.3</v>
      </c>
      <c r="I438">
        <v>333</v>
      </c>
      <c r="J438" t="s">
        <v>28</v>
      </c>
      <c r="L438" t="str" cm="1">
        <f t="array" ref="L438">_xlfn.IFS(H438&lt;=2,"bad",H438&lt;=2.5,"neutral",H438&gt;2.5,"good")</f>
        <v>good</v>
      </c>
      <c r="M438" t="str" cm="1">
        <f t="array" ref="M438">_xlfn.IFS(F438&lt;30,"short",F438&lt;90,"medium",F438&lt;180,"long",F438&gt;180,"very long")</f>
        <v>medium</v>
      </c>
      <c r="N438" t="str">
        <f>LEFT(Table1[[#This Row],[Activity_Type]],3)</f>
        <v>Boa</v>
      </c>
      <c r="O438" t="str">
        <f>UPPER(Table1[[#This Row],[Column2]])</f>
        <v>MEHTA</v>
      </c>
      <c r="P438">
        <f>LEN(Table1[[#This Row],[Visitor_Name]])</f>
        <v>5</v>
      </c>
      <c r="S438">
        <f>ROUND(Table1[[#This Row],[Rating]],0)</f>
        <v>3</v>
      </c>
      <c r="T438" t="s">
        <v>68</v>
      </c>
      <c r="U438" t="s">
        <v>61</v>
      </c>
      <c r="V438" s="5" t="s">
        <v>17</v>
      </c>
      <c r="W438">
        <v>30</v>
      </c>
    </row>
    <row r="439" spans="1:23" x14ac:dyDescent="0.25">
      <c r="A439">
        <v>1438</v>
      </c>
      <c r="B439" t="s">
        <v>90</v>
      </c>
      <c r="C439" t="s">
        <v>95</v>
      </c>
      <c r="D439" t="s">
        <v>18</v>
      </c>
      <c r="E439" s="1">
        <v>45513</v>
      </c>
      <c r="F439">
        <v>105</v>
      </c>
      <c r="G439" t="s">
        <v>27</v>
      </c>
      <c r="H439">
        <v>4.8</v>
      </c>
      <c r="I439">
        <v>384</v>
      </c>
      <c r="J439" t="s">
        <v>30</v>
      </c>
      <c r="L439" t="str" cm="1">
        <f t="array" ref="L439">_xlfn.IFS(H439&lt;=2,"bad",H439&lt;=2.5,"neutral",H439&gt;2.5,"good")</f>
        <v>good</v>
      </c>
      <c r="M439" t="str" cm="1">
        <f t="array" ref="M439">_xlfn.IFS(F439&lt;30,"short",F439&lt;90,"medium",F439&lt;180,"long",F439&gt;180,"very long")</f>
        <v>long</v>
      </c>
      <c r="N439" t="str">
        <f>LEFT(Table1[[#This Row],[Activity_Type]],3)</f>
        <v>Pho</v>
      </c>
      <c r="O439" t="str">
        <f>UPPER(Table1[[#This Row],[Column2]])</f>
        <v>SINGH</v>
      </c>
      <c r="P439">
        <f>LEN(Table1[[#This Row],[Visitor_Name]])</f>
        <v>5</v>
      </c>
      <c r="S439">
        <f>ROUND(Table1[[#This Row],[Rating]],0)</f>
        <v>5</v>
      </c>
      <c r="T439" t="s">
        <v>75</v>
      </c>
      <c r="U439" t="s">
        <v>60</v>
      </c>
      <c r="V439" s="5" t="s">
        <v>14</v>
      </c>
      <c r="W439">
        <v>44</v>
      </c>
    </row>
    <row r="440" spans="1:23" x14ac:dyDescent="0.25">
      <c r="A440">
        <v>1439</v>
      </c>
      <c r="B440" t="s">
        <v>86</v>
      </c>
      <c r="C440" t="s">
        <v>95</v>
      </c>
      <c r="D440" t="s">
        <v>23</v>
      </c>
      <c r="E440" s="1">
        <v>45391</v>
      </c>
      <c r="F440">
        <v>240</v>
      </c>
      <c r="G440" t="s">
        <v>25</v>
      </c>
      <c r="H440">
        <v>3.4</v>
      </c>
      <c r="I440">
        <v>288</v>
      </c>
      <c r="J440" t="s">
        <v>30</v>
      </c>
      <c r="L440" t="str" cm="1">
        <f t="array" ref="L440">_xlfn.IFS(H440&lt;=2,"bad",H440&lt;=2.5,"neutral",H440&gt;2.5,"good")</f>
        <v>good</v>
      </c>
      <c r="M440" t="str" cm="1">
        <f t="array" ref="M440">_xlfn.IFS(F440&lt;30,"short",F440&lt;90,"medium",F440&lt;180,"long",F440&gt;180,"very long")</f>
        <v>very long</v>
      </c>
      <c r="N440" t="str">
        <f>LEFT(Table1[[#This Row],[Activity_Type]],3)</f>
        <v>Boa</v>
      </c>
      <c r="O440" t="str">
        <f>UPPER(Table1[[#This Row],[Column2]])</f>
        <v>SINGH</v>
      </c>
      <c r="P440">
        <f>LEN(Table1[[#This Row],[Visitor_Name]])</f>
        <v>6</v>
      </c>
      <c r="S440">
        <f>ROUND(Table1[[#This Row],[Rating]],0)</f>
        <v>3</v>
      </c>
      <c r="T440" t="s">
        <v>75</v>
      </c>
      <c r="U440" t="s">
        <v>66</v>
      </c>
      <c r="V440" s="5" t="s">
        <v>12</v>
      </c>
      <c r="W440">
        <v>45</v>
      </c>
    </row>
    <row r="441" spans="1:23" x14ac:dyDescent="0.25">
      <c r="A441">
        <v>1440</v>
      </c>
      <c r="B441" t="s">
        <v>79</v>
      </c>
      <c r="C441" t="s">
        <v>81</v>
      </c>
      <c r="D441" t="s">
        <v>19</v>
      </c>
      <c r="E441" s="1">
        <v>45519</v>
      </c>
      <c r="F441">
        <v>45</v>
      </c>
      <c r="G441" t="s">
        <v>24</v>
      </c>
      <c r="H441">
        <v>3</v>
      </c>
      <c r="I441">
        <v>466</v>
      </c>
      <c r="J441" t="s">
        <v>28</v>
      </c>
      <c r="L441" t="str" cm="1">
        <f t="array" ref="L441">_xlfn.IFS(H441&lt;=2,"bad",H441&lt;=2.5,"neutral",H441&gt;2.5,"good")</f>
        <v>good</v>
      </c>
      <c r="M441" t="str" cm="1">
        <f t="array" ref="M441">_xlfn.IFS(F441&lt;30,"short",F441&lt;90,"medium",F441&lt;180,"long",F441&gt;180,"very long")</f>
        <v>medium</v>
      </c>
      <c r="N441" t="str">
        <f>LEFT(Table1[[#This Row],[Activity_Type]],3)</f>
        <v>Saf</v>
      </c>
      <c r="O441" t="str">
        <f>UPPER(Table1[[#This Row],[Column2]])</f>
        <v>PATEL</v>
      </c>
      <c r="P441">
        <f>LEN(Table1[[#This Row],[Visitor_Name]])</f>
        <v>5</v>
      </c>
      <c r="S441">
        <f>ROUND(Table1[[#This Row],[Rating]],0)</f>
        <v>3</v>
      </c>
      <c r="T441" t="s">
        <v>69</v>
      </c>
      <c r="U441" t="s">
        <v>58</v>
      </c>
      <c r="V441" s="5" t="s">
        <v>13</v>
      </c>
      <c r="W441">
        <v>48</v>
      </c>
    </row>
    <row r="442" spans="1:23" x14ac:dyDescent="0.25">
      <c r="A442">
        <v>1441</v>
      </c>
      <c r="B442" t="s">
        <v>90</v>
      </c>
      <c r="C442" t="s">
        <v>96</v>
      </c>
      <c r="D442" t="s">
        <v>21</v>
      </c>
      <c r="E442" s="1">
        <v>45322</v>
      </c>
      <c r="F442">
        <v>174</v>
      </c>
      <c r="G442" t="s">
        <v>25</v>
      </c>
      <c r="H442">
        <v>3.7</v>
      </c>
      <c r="I442">
        <v>237</v>
      </c>
      <c r="J442" t="s">
        <v>33</v>
      </c>
      <c r="L442" t="str" cm="1">
        <f t="array" ref="L442">_xlfn.IFS(H442&lt;=2,"bad",H442&lt;=2.5,"neutral",H442&gt;2.5,"good")</f>
        <v>good</v>
      </c>
      <c r="M442" t="str" cm="1">
        <f t="array" ref="M442">_xlfn.IFS(F442&lt;30,"short",F442&lt;90,"medium",F442&lt;180,"long",F442&gt;180,"very long")</f>
        <v>long</v>
      </c>
      <c r="N442" t="str">
        <f>LEFT(Table1[[#This Row],[Activity_Type]],3)</f>
        <v>Bir</v>
      </c>
      <c r="O442" t="str">
        <f>UPPER(Table1[[#This Row],[Column2]])</f>
        <v>SHARMA</v>
      </c>
      <c r="P442">
        <f>LEN(Table1[[#This Row],[Visitor_Name]])</f>
        <v>5</v>
      </c>
      <c r="S442">
        <f>ROUND(Table1[[#This Row],[Rating]],0)</f>
        <v>4</v>
      </c>
      <c r="T442" t="s">
        <v>76</v>
      </c>
      <c r="U442" t="s">
        <v>60</v>
      </c>
      <c r="V442" s="5" t="s">
        <v>14</v>
      </c>
      <c r="W442">
        <v>51</v>
      </c>
    </row>
    <row r="443" spans="1:23" x14ac:dyDescent="0.25">
      <c r="A443">
        <v>1442</v>
      </c>
      <c r="B443" t="s">
        <v>97</v>
      </c>
      <c r="C443" t="s">
        <v>81</v>
      </c>
      <c r="D443" t="s">
        <v>22</v>
      </c>
      <c r="E443" s="1">
        <v>45465</v>
      </c>
      <c r="F443">
        <v>44</v>
      </c>
      <c r="G443" t="s">
        <v>25</v>
      </c>
      <c r="H443">
        <v>3.5</v>
      </c>
      <c r="I443">
        <v>144</v>
      </c>
      <c r="J443" t="s">
        <v>37</v>
      </c>
      <c r="L443" t="str" cm="1">
        <f t="array" ref="L443">_xlfn.IFS(H443&lt;=2,"bad",H443&lt;=2.5,"neutral",H443&gt;2.5,"good")</f>
        <v>good</v>
      </c>
      <c r="M443" t="str" cm="1">
        <f t="array" ref="M443">_xlfn.IFS(F443&lt;30,"short",F443&lt;90,"medium",F443&lt;180,"long",F443&gt;180,"very long")</f>
        <v>medium</v>
      </c>
      <c r="N443" t="str">
        <f>LEFT(Table1[[#This Row],[Activity_Type]],3)</f>
        <v>Cam</v>
      </c>
      <c r="O443" t="str">
        <f>UPPER(Table1[[#This Row],[Column2]])</f>
        <v>PATEL</v>
      </c>
      <c r="P443">
        <f>LEN(Table1[[#This Row],[Visitor_Name]])</f>
        <v>5</v>
      </c>
      <c r="S443">
        <f>ROUND(Table1[[#This Row],[Rating]],0)</f>
        <v>4</v>
      </c>
      <c r="T443" t="s">
        <v>69</v>
      </c>
      <c r="U443" t="s">
        <v>65</v>
      </c>
      <c r="V443" s="5" t="s">
        <v>11</v>
      </c>
      <c r="W443">
        <v>52</v>
      </c>
    </row>
    <row r="444" spans="1:23" x14ac:dyDescent="0.25">
      <c r="A444">
        <v>1443</v>
      </c>
      <c r="B444" t="s">
        <v>86</v>
      </c>
      <c r="C444" t="s">
        <v>85</v>
      </c>
      <c r="D444" t="s">
        <v>20</v>
      </c>
      <c r="E444" s="1">
        <v>45583</v>
      </c>
      <c r="F444">
        <v>159</v>
      </c>
      <c r="G444" t="s">
        <v>27</v>
      </c>
      <c r="H444">
        <v>4.4000000000000004</v>
      </c>
      <c r="I444">
        <v>413</v>
      </c>
      <c r="J444" t="s">
        <v>33</v>
      </c>
      <c r="L444" t="str" cm="1">
        <f t="array" ref="L444">_xlfn.IFS(H444&lt;=2,"bad",H444&lt;=2.5,"neutral",H444&gt;2.5,"good")</f>
        <v>good</v>
      </c>
      <c r="M444" t="str" cm="1">
        <f t="array" ref="M444">_xlfn.IFS(F444&lt;30,"short",F444&lt;90,"medium",F444&lt;180,"long",F444&gt;180,"very long")</f>
        <v>long</v>
      </c>
      <c r="N444" t="str">
        <f>LEFT(Table1[[#This Row],[Activity_Type]],3)</f>
        <v>Hik</v>
      </c>
      <c r="O444" t="str">
        <f>UPPER(Table1[[#This Row],[Column2]])</f>
        <v>DAS</v>
      </c>
      <c r="P444">
        <f>LEN(Table1[[#This Row],[Visitor_Name]])</f>
        <v>6</v>
      </c>
      <c r="S444">
        <f>ROUND(Table1[[#This Row],[Rating]],0)</f>
        <v>4</v>
      </c>
      <c r="T444" t="s">
        <v>71</v>
      </c>
      <c r="U444" t="s">
        <v>66</v>
      </c>
      <c r="V444" s="5" t="s">
        <v>11</v>
      </c>
      <c r="W444">
        <v>56</v>
      </c>
    </row>
    <row r="445" spans="1:23" x14ac:dyDescent="0.25">
      <c r="A445">
        <v>1444</v>
      </c>
      <c r="B445" t="s">
        <v>82</v>
      </c>
      <c r="C445" t="s">
        <v>96</v>
      </c>
      <c r="D445" t="s">
        <v>19</v>
      </c>
      <c r="E445" s="1">
        <v>45338</v>
      </c>
      <c r="F445">
        <v>67</v>
      </c>
      <c r="G445" t="s">
        <v>26</v>
      </c>
      <c r="H445">
        <v>2.7</v>
      </c>
      <c r="I445">
        <v>400</v>
      </c>
      <c r="J445" t="s">
        <v>37</v>
      </c>
      <c r="L445" t="str" cm="1">
        <f t="array" ref="L445">_xlfn.IFS(H445&lt;=2,"bad",H445&lt;=2.5,"neutral",H445&gt;2.5,"good")</f>
        <v>good</v>
      </c>
      <c r="M445" t="str" cm="1">
        <f t="array" ref="M445">_xlfn.IFS(F445&lt;30,"short",F445&lt;90,"medium",F445&lt;180,"long",F445&gt;180,"very long")</f>
        <v>medium</v>
      </c>
      <c r="N445" t="str">
        <f>LEFT(Table1[[#This Row],[Activity_Type]],3)</f>
        <v>Saf</v>
      </c>
      <c r="O445" t="str">
        <f>UPPER(Table1[[#This Row],[Column2]])</f>
        <v>SHARMA</v>
      </c>
      <c r="P445">
        <f>LEN(Table1[[#This Row],[Visitor_Name]])</f>
        <v>5</v>
      </c>
      <c r="S445">
        <f>ROUND(Table1[[#This Row],[Rating]],0)</f>
        <v>3</v>
      </c>
      <c r="T445" t="s">
        <v>76</v>
      </c>
      <c r="U445" t="s">
        <v>59</v>
      </c>
      <c r="V445" s="5" t="s">
        <v>10</v>
      </c>
      <c r="W445">
        <v>57</v>
      </c>
    </row>
    <row r="446" spans="1:23" x14ac:dyDescent="0.25">
      <c r="A446">
        <v>1445</v>
      </c>
      <c r="B446" t="s">
        <v>86</v>
      </c>
      <c r="C446" t="s">
        <v>89</v>
      </c>
      <c r="D446" t="s">
        <v>20</v>
      </c>
      <c r="E446" s="1">
        <v>45404</v>
      </c>
      <c r="F446">
        <v>66</v>
      </c>
      <c r="G446" t="s">
        <v>25</v>
      </c>
      <c r="H446">
        <v>4.5</v>
      </c>
      <c r="I446">
        <v>113</v>
      </c>
      <c r="J446" t="s">
        <v>35</v>
      </c>
      <c r="L446" t="str" cm="1">
        <f t="array" ref="L446">_xlfn.IFS(H446&lt;=2,"bad",H446&lt;=2.5,"neutral",H446&gt;2.5,"good")</f>
        <v>good</v>
      </c>
      <c r="M446" t="str" cm="1">
        <f t="array" ref="M446">_xlfn.IFS(F446&lt;30,"short",F446&lt;90,"medium",F446&lt;180,"long",F446&gt;180,"very long")</f>
        <v>medium</v>
      </c>
      <c r="N446" t="str">
        <f>LEFT(Table1[[#This Row],[Activity_Type]],3)</f>
        <v>Hik</v>
      </c>
      <c r="O446" t="str">
        <f>UPPER(Table1[[#This Row],[Column2]])</f>
        <v>MENON</v>
      </c>
      <c r="P446">
        <f>LEN(Table1[[#This Row],[Visitor_Name]])</f>
        <v>6</v>
      </c>
      <c r="S446">
        <f>ROUND(Table1[[#This Row],[Rating]],0)</f>
        <v>5</v>
      </c>
      <c r="T446" t="s">
        <v>73</v>
      </c>
      <c r="U446" t="s">
        <v>66</v>
      </c>
      <c r="V446" s="5" t="s">
        <v>10</v>
      </c>
      <c r="W446">
        <v>62</v>
      </c>
    </row>
    <row r="447" spans="1:23" x14ac:dyDescent="0.25">
      <c r="A447">
        <v>1446</v>
      </c>
      <c r="B447" t="s">
        <v>90</v>
      </c>
      <c r="C447" t="s">
        <v>95</v>
      </c>
      <c r="D447" t="s">
        <v>22</v>
      </c>
      <c r="E447" s="1">
        <v>45628</v>
      </c>
      <c r="F447">
        <v>232</v>
      </c>
      <c r="G447" t="s">
        <v>26</v>
      </c>
      <c r="H447">
        <v>3.1</v>
      </c>
      <c r="I447">
        <v>224</v>
      </c>
      <c r="J447" t="s">
        <v>29</v>
      </c>
      <c r="L447" t="str" cm="1">
        <f t="array" ref="L447">_xlfn.IFS(H447&lt;=2,"bad",H447&lt;=2.5,"neutral",H447&gt;2.5,"good")</f>
        <v>good</v>
      </c>
      <c r="M447" t="str" cm="1">
        <f t="array" ref="M447">_xlfn.IFS(F447&lt;30,"short",F447&lt;90,"medium",F447&lt;180,"long",F447&gt;180,"very long")</f>
        <v>very long</v>
      </c>
      <c r="N447" t="str">
        <f>LEFT(Table1[[#This Row],[Activity_Type]],3)</f>
        <v>Cam</v>
      </c>
      <c r="O447" t="str">
        <f>UPPER(Table1[[#This Row],[Column2]])</f>
        <v>SINGH</v>
      </c>
      <c r="P447">
        <f>LEN(Table1[[#This Row],[Visitor_Name]])</f>
        <v>5</v>
      </c>
      <c r="S447">
        <f>ROUND(Table1[[#This Row],[Rating]],0)</f>
        <v>3</v>
      </c>
      <c r="T447" t="s">
        <v>75</v>
      </c>
      <c r="U447" t="s">
        <v>60</v>
      </c>
      <c r="V447" s="5" t="s">
        <v>14</v>
      </c>
      <c r="W447">
        <v>65</v>
      </c>
    </row>
    <row r="448" spans="1:23" x14ac:dyDescent="0.25">
      <c r="A448">
        <v>1447</v>
      </c>
      <c r="B448" t="s">
        <v>82</v>
      </c>
      <c r="C448" t="s">
        <v>83</v>
      </c>
      <c r="D448" t="s">
        <v>19</v>
      </c>
      <c r="E448" s="1">
        <v>45415</v>
      </c>
      <c r="F448">
        <v>97</v>
      </c>
      <c r="G448" t="s">
        <v>26</v>
      </c>
      <c r="H448">
        <v>4.8</v>
      </c>
      <c r="I448">
        <v>140</v>
      </c>
      <c r="J448" t="s">
        <v>35</v>
      </c>
      <c r="L448" t="str" cm="1">
        <f t="array" ref="L448">_xlfn.IFS(H448&lt;=2,"bad",H448&lt;=2.5,"neutral",H448&gt;2.5,"good")</f>
        <v>good</v>
      </c>
      <c r="M448" t="str" cm="1">
        <f t="array" ref="M448">_xlfn.IFS(F448&lt;30,"short",F448&lt;90,"medium",F448&lt;180,"long",F448&gt;180,"very long")</f>
        <v>long</v>
      </c>
      <c r="N448" t="str">
        <f>LEFT(Table1[[#This Row],[Activity_Type]],3)</f>
        <v>Saf</v>
      </c>
      <c r="O448" t="str">
        <f>UPPER(Table1[[#This Row],[Column2]])</f>
        <v>NAIR</v>
      </c>
      <c r="P448">
        <f>LEN(Table1[[#This Row],[Visitor_Name]])</f>
        <v>5</v>
      </c>
      <c r="S448">
        <f>ROUND(Table1[[#This Row],[Rating]],0)</f>
        <v>5</v>
      </c>
      <c r="T448" t="s">
        <v>70</v>
      </c>
      <c r="U448" t="s">
        <v>59</v>
      </c>
      <c r="V448" s="5" t="s">
        <v>15</v>
      </c>
      <c r="W448">
        <v>66</v>
      </c>
    </row>
    <row r="449" spans="1:23" x14ac:dyDescent="0.25">
      <c r="A449">
        <v>1448</v>
      </c>
      <c r="B449" t="s">
        <v>92</v>
      </c>
      <c r="C449" t="s">
        <v>87</v>
      </c>
      <c r="D449" t="s">
        <v>19</v>
      </c>
      <c r="E449" s="1">
        <v>45312</v>
      </c>
      <c r="F449">
        <v>90</v>
      </c>
      <c r="G449" t="s">
        <v>25</v>
      </c>
      <c r="H449">
        <v>3.4</v>
      </c>
      <c r="I449">
        <v>147</v>
      </c>
      <c r="J449" t="s">
        <v>35</v>
      </c>
      <c r="L449" t="str" cm="1">
        <f t="array" ref="L449">_xlfn.IFS(H449&lt;=2,"bad",H449&lt;=2.5,"neutral",H449&gt;2.5,"good")</f>
        <v>good</v>
      </c>
      <c r="M449" t="str" cm="1">
        <f t="array" ref="M449">_xlfn.IFS(F449&lt;30,"short",F449&lt;90,"medium",F449&lt;180,"long",F449&gt;180,"very long")</f>
        <v>long</v>
      </c>
      <c r="N449" t="str">
        <f>LEFT(Table1[[#This Row],[Activity_Type]],3)</f>
        <v>Saf</v>
      </c>
      <c r="O449" t="str">
        <f>UPPER(Table1[[#This Row],[Column2]])</f>
        <v>VERMA</v>
      </c>
      <c r="P449">
        <f>LEN(Table1[[#This Row],[Visitor_Name]])</f>
        <v>5</v>
      </c>
      <c r="S449">
        <f>ROUND(Table1[[#This Row],[Rating]],0)</f>
        <v>3</v>
      </c>
      <c r="T449" t="s">
        <v>72</v>
      </c>
      <c r="U449" t="s">
        <v>62</v>
      </c>
      <c r="V449" s="5" t="s">
        <v>12</v>
      </c>
      <c r="W449">
        <v>67</v>
      </c>
    </row>
    <row r="450" spans="1:23" x14ac:dyDescent="0.25">
      <c r="A450">
        <v>1449</v>
      </c>
      <c r="B450" t="s">
        <v>94</v>
      </c>
      <c r="C450" t="s">
        <v>89</v>
      </c>
      <c r="D450" t="s">
        <v>21</v>
      </c>
      <c r="E450" s="1">
        <v>45466</v>
      </c>
      <c r="F450">
        <v>157</v>
      </c>
      <c r="G450" t="s">
        <v>25</v>
      </c>
      <c r="H450">
        <v>4</v>
      </c>
      <c r="I450">
        <v>499</v>
      </c>
      <c r="J450" t="s">
        <v>28</v>
      </c>
      <c r="L450" t="str" cm="1">
        <f t="array" ref="L450">_xlfn.IFS(H450&lt;=2,"bad",H450&lt;=2.5,"neutral",H450&gt;2.5,"good")</f>
        <v>good</v>
      </c>
      <c r="M450" t="str" cm="1">
        <f t="array" ref="M450">_xlfn.IFS(F450&lt;30,"short",F450&lt;90,"medium",F450&lt;180,"long",F450&gt;180,"very long")</f>
        <v>long</v>
      </c>
      <c r="N450" t="str">
        <f>LEFT(Table1[[#This Row],[Activity_Type]],3)</f>
        <v>Bir</v>
      </c>
      <c r="O450" t="str">
        <f>UPPER(Table1[[#This Row],[Column2]])</f>
        <v>MENON</v>
      </c>
      <c r="P450">
        <f>LEN(Table1[[#This Row],[Visitor_Name]])</f>
        <v>5</v>
      </c>
      <c r="S450">
        <f>ROUND(Table1[[#This Row],[Rating]],0)</f>
        <v>4</v>
      </c>
      <c r="T450" t="s">
        <v>73</v>
      </c>
      <c r="U450" t="s">
        <v>64</v>
      </c>
      <c r="V450" s="5" t="s">
        <v>15</v>
      </c>
      <c r="W450">
        <v>71</v>
      </c>
    </row>
    <row r="451" spans="1:23" x14ac:dyDescent="0.25">
      <c r="A451">
        <v>1450</v>
      </c>
      <c r="B451" t="s">
        <v>92</v>
      </c>
      <c r="C451" t="s">
        <v>89</v>
      </c>
      <c r="D451" t="s">
        <v>21</v>
      </c>
      <c r="E451" s="1">
        <v>45426</v>
      </c>
      <c r="F451">
        <v>121</v>
      </c>
      <c r="G451" t="s">
        <v>25</v>
      </c>
      <c r="H451">
        <v>3</v>
      </c>
      <c r="I451">
        <v>430</v>
      </c>
      <c r="J451" t="s">
        <v>33</v>
      </c>
      <c r="L451" t="str" cm="1">
        <f t="array" ref="L451">_xlfn.IFS(H451&lt;=2,"bad",H451&lt;=2.5,"neutral",H451&gt;2.5,"good")</f>
        <v>good</v>
      </c>
      <c r="M451" t="str" cm="1">
        <f t="array" ref="M451">_xlfn.IFS(F451&lt;30,"short",F451&lt;90,"medium",F451&lt;180,"long",F451&gt;180,"very long")</f>
        <v>long</v>
      </c>
      <c r="N451" t="str">
        <f>LEFT(Table1[[#This Row],[Activity_Type]],3)</f>
        <v>Bir</v>
      </c>
      <c r="O451" t="str">
        <f>UPPER(Table1[[#This Row],[Column2]])</f>
        <v>MENON</v>
      </c>
      <c r="P451">
        <f>LEN(Table1[[#This Row],[Visitor_Name]])</f>
        <v>5</v>
      </c>
      <c r="S451">
        <f>ROUND(Table1[[#This Row],[Rating]],0)</f>
        <v>3</v>
      </c>
      <c r="T451" t="s">
        <v>73</v>
      </c>
      <c r="U451" t="s">
        <v>62</v>
      </c>
      <c r="V451" s="5" t="s">
        <v>11</v>
      </c>
      <c r="W451">
        <v>72</v>
      </c>
    </row>
    <row r="452" spans="1:23" x14ac:dyDescent="0.25">
      <c r="A452">
        <v>1451</v>
      </c>
      <c r="B452" t="s">
        <v>88</v>
      </c>
      <c r="C452" t="s">
        <v>93</v>
      </c>
      <c r="D452" t="s">
        <v>22</v>
      </c>
      <c r="E452" s="1">
        <v>45299</v>
      </c>
      <c r="F452">
        <v>112</v>
      </c>
      <c r="G452" t="s">
        <v>25</v>
      </c>
      <c r="H452">
        <v>3.4</v>
      </c>
      <c r="I452">
        <v>165</v>
      </c>
      <c r="J452" t="s">
        <v>36</v>
      </c>
      <c r="L452" t="str" cm="1">
        <f t="array" ref="L452">_xlfn.IFS(H452&lt;=2,"bad",H452&lt;=2.5,"neutral",H452&gt;2.5,"good")</f>
        <v>good</v>
      </c>
      <c r="M452" t="str" cm="1">
        <f t="array" ref="M452">_xlfn.IFS(F452&lt;30,"short",F452&lt;90,"medium",F452&lt;180,"long",F452&gt;180,"very long")</f>
        <v>long</v>
      </c>
      <c r="N452" t="str">
        <f>LEFT(Table1[[#This Row],[Activity_Type]],3)</f>
        <v>Cam</v>
      </c>
      <c r="O452" t="str">
        <f>UPPER(Table1[[#This Row],[Column2]])</f>
        <v>IYER</v>
      </c>
      <c r="P452">
        <f>LEN(Table1[[#This Row],[Visitor_Name]])</f>
        <v>6</v>
      </c>
      <c r="S452">
        <f>ROUND(Table1[[#This Row],[Rating]],0)</f>
        <v>3</v>
      </c>
      <c r="T452" t="s">
        <v>74</v>
      </c>
      <c r="U452" t="s">
        <v>67</v>
      </c>
      <c r="V452" s="5" t="s">
        <v>14</v>
      </c>
      <c r="W452">
        <v>76</v>
      </c>
    </row>
    <row r="453" spans="1:23" x14ac:dyDescent="0.25">
      <c r="A453">
        <v>1452</v>
      </c>
      <c r="B453" t="s">
        <v>90</v>
      </c>
      <c r="C453" t="s">
        <v>85</v>
      </c>
      <c r="D453" t="s">
        <v>20</v>
      </c>
      <c r="E453" s="1">
        <v>45560</v>
      </c>
      <c r="F453">
        <v>132</v>
      </c>
      <c r="G453" t="s">
        <v>27</v>
      </c>
      <c r="H453">
        <v>3</v>
      </c>
      <c r="I453">
        <v>289</v>
      </c>
      <c r="J453" t="s">
        <v>34</v>
      </c>
      <c r="L453" t="str" cm="1">
        <f t="array" ref="L453">_xlfn.IFS(H453&lt;=2,"bad",H453&lt;=2.5,"neutral",H453&gt;2.5,"good")</f>
        <v>good</v>
      </c>
      <c r="M453" t="str" cm="1">
        <f t="array" ref="M453">_xlfn.IFS(F453&lt;30,"short",F453&lt;90,"medium",F453&lt;180,"long",F453&gt;180,"very long")</f>
        <v>long</v>
      </c>
      <c r="N453" t="str">
        <f>LEFT(Table1[[#This Row],[Activity_Type]],3)</f>
        <v>Hik</v>
      </c>
      <c r="O453" t="str">
        <f>UPPER(Table1[[#This Row],[Column2]])</f>
        <v>DAS</v>
      </c>
      <c r="P453">
        <f>LEN(Table1[[#This Row],[Visitor_Name]])</f>
        <v>5</v>
      </c>
      <c r="S453">
        <f>ROUND(Table1[[#This Row],[Rating]],0)</f>
        <v>3</v>
      </c>
      <c r="T453" t="s">
        <v>71</v>
      </c>
      <c r="U453" t="s">
        <v>60</v>
      </c>
      <c r="V453" s="5" t="s">
        <v>16</v>
      </c>
      <c r="W453">
        <v>90</v>
      </c>
    </row>
    <row r="454" spans="1:23" x14ac:dyDescent="0.25">
      <c r="A454">
        <v>1453</v>
      </c>
      <c r="B454" t="s">
        <v>79</v>
      </c>
      <c r="C454" t="s">
        <v>95</v>
      </c>
      <c r="D454" t="s">
        <v>22</v>
      </c>
      <c r="E454" s="1">
        <v>45413</v>
      </c>
      <c r="F454">
        <v>30</v>
      </c>
      <c r="G454" t="s">
        <v>24</v>
      </c>
      <c r="H454">
        <v>3.6</v>
      </c>
      <c r="I454">
        <v>182</v>
      </c>
      <c r="J454" t="s">
        <v>35</v>
      </c>
      <c r="L454" t="str" cm="1">
        <f t="array" ref="L454">_xlfn.IFS(H454&lt;=2,"bad",H454&lt;=2.5,"neutral",H454&gt;2.5,"good")</f>
        <v>good</v>
      </c>
      <c r="M454" t="str" cm="1">
        <f t="array" ref="M454">_xlfn.IFS(F454&lt;30,"short",F454&lt;90,"medium",F454&lt;180,"long",F454&gt;180,"very long")</f>
        <v>medium</v>
      </c>
      <c r="N454" t="str">
        <f>LEFT(Table1[[#This Row],[Activity_Type]],3)</f>
        <v>Cam</v>
      </c>
      <c r="O454" t="str">
        <f>UPPER(Table1[[#This Row],[Column2]])</f>
        <v>SINGH</v>
      </c>
      <c r="P454">
        <f>LEN(Table1[[#This Row],[Visitor_Name]])</f>
        <v>5</v>
      </c>
      <c r="S454">
        <f>ROUND(Table1[[#This Row],[Rating]],0)</f>
        <v>4</v>
      </c>
      <c r="T454" t="s">
        <v>75</v>
      </c>
      <c r="U454" t="s">
        <v>58</v>
      </c>
      <c r="V454" s="5" t="s">
        <v>17</v>
      </c>
      <c r="W454">
        <v>93</v>
      </c>
    </row>
    <row r="455" spans="1:23" x14ac:dyDescent="0.25">
      <c r="A455">
        <v>1454</v>
      </c>
      <c r="B455" t="s">
        <v>90</v>
      </c>
      <c r="C455" t="s">
        <v>87</v>
      </c>
      <c r="D455" t="s">
        <v>19</v>
      </c>
      <c r="E455" s="1">
        <v>45615</v>
      </c>
      <c r="F455">
        <v>217</v>
      </c>
      <c r="G455" t="s">
        <v>25</v>
      </c>
      <c r="H455">
        <v>2.7</v>
      </c>
      <c r="I455">
        <v>443</v>
      </c>
      <c r="J455" t="s">
        <v>28</v>
      </c>
      <c r="L455" t="str" cm="1">
        <f t="array" ref="L455">_xlfn.IFS(H455&lt;=2,"bad",H455&lt;=2.5,"neutral",H455&gt;2.5,"good")</f>
        <v>good</v>
      </c>
      <c r="M455" t="str" cm="1">
        <f t="array" ref="M455">_xlfn.IFS(F455&lt;30,"short",F455&lt;90,"medium",F455&lt;180,"long",F455&gt;180,"very long")</f>
        <v>very long</v>
      </c>
      <c r="N455" t="str">
        <f>LEFT(Table1[[#This Row],[Activity_Type]],3)</f>
        <v>Saf</v>
      </c>
      <c r="O455" t="str">
        <f>UPPER(Table1[[#This Row],[Column2]])</f>
        <v>VERMA</v>
      </c>
      <c r="P455">
        <f>LEN(Table1[[#This Row],[Visitor_Name]])</f>
        <v>5</v>
      </c>
      <c r="S455">
        <f>ROUND(Table1[[#This Row],[Rating]],0)</f>
        <v>3</v>
      </c>
      <c r="T455" t="s">
        <v>72</v>
      </c>
      <c r="U455" t="s">
        <v>60</v>
      </c>
      <c r="V455" s="5" t="s">
        <v>11</v>
      </c>
      <c r="W455">
        <v>94</v>
      </c>
    </row>
    <row r="456" spans="1:23" x14ac:dyDescent="0.25">
      <c r="A456">
        <v>1455</v>
      </c>
      <c r="B456" t="s">
        <v>88</v>
      </c>
      <c r="C456" t="s">
        <v>81</v>
      </c>
      <c r="D456" t="s">
        <v>19</v>
      </c>
      <c r="E456" s="1">
        <v>45591</v>
      </c>
      <c r="F456">
        <v>132</v>
      </c>
      <c r="G456" t="s">
        <v>24</v>
      </c>
      <c r="H456">
        <v>4.9000000000000004</v>
      </c>
      <c r="I456">
        <v>168</v>
      </c>
      <c r="J456" t="s">
        <v>28</v>
      </c>
      <c r="L456" t="str" cm="1">
        <f t="array" ref="L456">_xlfn.IFS(H456&lt;=2,"bad",H456&lt;=2.5,"neutral",H456&gt;2.5,"good")</f>
        <v>good</v>
      </c>
      <c r="M456" t="str" cm="1">
        <f t="array" ref="M456">_xlfn.IFS(F456&lt;30,"short",F456&lt;90,"medium",F456&lt;180,"long",F456&gt;180,"very long")</f>
        <v>long</v>
      </c>
      <c r="N456" t="str">
        <f>LEFT(Table1[[#This Row],[Activity_Type]],3)</f>
        <v>Saf</v>
      </c>
      <c r="O456" t="str">
        <f>UPPER(Table1[[#This Row],[Column2]])</f>
        <v>PATEL</v>
      </c>
      <c r="P456">
        <f>LEN(Table1[[#This Row],[Visitor_Name]])</f>
        <v>6</v>
      </c>
      <c r="S456">
        <f>ROUND(Table1[[#This Row],[Rating]],0)</f>
        <v>5</v>
      </c>
      <c r="T456" t="s">
        <v>69</v>
      </c>
      <c r="U456" t="s">
        <v>67</v>
      </c>
      <c r="V456" s="5" t="s">
        <v>17</v>
      </c>
      <c r="W456">
        <v>97</v>
      </c>
    </row>
    <row r="457" spans="1:23" x14ac:dyDescent="0.25">
      <c r="A457">
        <v>1456</v>
      </c>
      <c r="B457" t="s">
        <v>88</v>
      </c>
      <c r="C457" t="s">
        <v>81</v>
      </c>
      <c r="D457" t="s">
        <v>19</v>
      </c>
      <c r="E457" s="1">
        <v>45548</v>
      </c>
      <c r="F457">
        <v>204</v>
      </c>
      <c r="G457" t="s">
        <v>27</v>
      </c>
      <c r="H457">
        <v>4.3</v>
      </c>
      <c r="I457">
        <v>290</v>
      </c>
      <c r="J457" t="s">
        <v>33</v>
      </c>
      <c r="L457" t="str" cm="1">
        <f t="array" ref="L457">_xlfn.IFS(H457&lt;=2,"bad",H457&lt;=2.5,"neutral",H457&gt;2.5,"good")</f>
        <v>good</v>
      </c>
      <c r="M457" t="str" cm="1">
        <f t="array" ref="M457">_xlfn.IFS(F457&lt;30,"short",F457&lt;90,"medium",F457&lt;180,"long",F457&gt;180,"very long")</f>
        <v>very long</v>
      </c>
      <c r="N457" t="str">
        <f>LEFT(Table1[[#This Row],[Activity_Type]],3)</f>
        <v>Saf</v>
      </c>
      <c r="O457" t="str">
        <f>UPPER(Table1[[#This Row],[Column2]])</f>
        <v>PATEL</v>
      </c>
      <c r="P457">
        <f>LEN(Table1[[#This Row],[Visitor_Name]])</f>
        <v>6</v>
      </c>
      <c r="S457">
        <f>ROUND(Table1[[#This Row],[Rating]],0)</f>
        <v>4</v>
      </c>
      <c r="T457" t="s">
        <v>69</v>
      </c>
      <c r="U457" t="s">
        <v>67</v>
      </c>
      <c r="V457" s="5" t="s">
        <v>11</v>
      </c>
      <c r="W457">
        <v>105</v>
      </c>
    </row>
    <row r="458" spans="1:23" x14ac:dyDescent="0.25">
      <c r="A458">
        <v>1457</v>
      </c>
      <c r="B458" t="s">
        <v>88</v>
      </c>
      <c r="C458" t="s">
        <v>98</v>
      </c>
      <c r="D458" t="s">
        <v>23</v>
      </c>
      <c r="E458" s="1">
        <v>45584</v>
      </c>
      <c r="F458">
        <v>152</v>
      </c>
      <c r="G458" t="s">
        <v>26</v>
      </c>
      <c r="H458">
        <v>4.2</v>
      </c>
      <c r="I458">
        <v>150</v>
      </c>
      <c r="J458" t="s">
        <v>34</v>
      </c>
      <c r="L458" t="str" cm="1">
        <f t="array" ref="L458">_xlfn.IFS(H458&lt;=2,"bad",H458&lt;=2.5,"neutral",H458&gt;2.5,"good")</f>
        <v>good</v>
      </c>
      <c r="M458" t="str" cm="1">
        <f t="array" ref="M458">_xlfn.IFS(F458&lt;30,"short",F458&lt;90,"medium",F458&lt;180,"long",F458&gt;180,"very long")</f>
        <v>long</v>
      </c>
      <c r="N458" t="str">
        <f>LEFT(Table1[[#This Row],[Activity_Type]],3)</f>
        <v>Boa</v>
      </c>
      <c r="O458" t="str">
        <f>UPPER(Table1[[#This Row],[Column2]])</f>
        <v>REDDY</v>
      </c>
      <c r="P458">
        <f>LEN(Table1[[#This Row],[Visitor_Name]])</f>
        <v>6</v>
      </c>
      <c r="S458">
        <f>ROUND(Table1[[#This Row],[Rating]],0)</f>
        <v>4</v>
      </c>
      <c r="T458" t="s">
        <v>77</v>
      </c>
      <c r="U458" t="s">
        <v>67</v>
      </c>
      <c r="V458" s="5" t="s">
        <v>13</v>
      </c>
      <c r="W458">
        <v>109</v>
      </c>
    </row>
    <row r="459" spans="1:23" x14ac:dyDescent="0.25">
      <c r="A459">
        <v>1458</v>
      </c>
      <c r="B459" t="s">
        <v>91</v>
      </c>
      <c r="C459" t="s">
        <v>96</v>
      </c>
      <c r="D459" t="s">
        <v>18</v>
      </c>
      <c r="E459" s="1">
        <v>45518</v>
      </c>
      <c r="F459">
        <v>56</v>
      </c>
      <c r="G459" t="s">
        <v>25</v>
      </c>
      <c r="H459">
        <v>3</v>
      </c>
      <c r="I459">
        <v>291</v>
      </c>
      <c r="J459" t="s">
        <v>34</v>
      </c>
      <c r="L459" t="str" cm="1">
        <f t="array" ref="L459">_xlfn.IFS(H459&lt;=2,"bad",H459&lt;=2.5,"neutral",H459&gt;2.5,"good")</f>
        <v>good</v>
      </c>
      <c r="M459" t="str" cm="1">
        <f t="array" ref="M459">_xlfn.IFS(F459&lt;30,"short",F459&lt;90,"medium",F459&lt;180,"long",F459&gt;180,"very long")</f>
        <v>medium</v>
      </c>
      <c r="N459" t="str">
        <f>LEFT(Table1[[#This Row],[Activity_Type]],3)</f>
        <v>Pho</v>
      </c>
      <c r="O459" t="str">
        <f>UPPER(Table1[[#This Row],[Column2]])</f>
        <v>SHARMA</v>
      </c>
      <c r="P459">
        <f>LEN(Table1[[#This Row],[Visitor_Name]])</f>
        <v>5</v>
      </c>
      <c r="S459">
        <f>ROUND(Table1[[#This Row],[Rating]],0)</f>
        <v>3</v>
      </c>
      <c r="T459" t="s">
        <v>76</v>
      </c>
      <c r="U459" t="s">
        <v>61</v>
      </c>
      <c r="V459" s="5" t="s">
        <v>14</v>
      </c>
      <c r="W459">
        <v>111</v>
      </c>
    </row>
    <row r="460" spans="1:23" x14ac:dyDescent="0.25">
      <c r="A460">
        <v>1459</v>
      </c>
      <c r="B460" t="s">
        <v>82</v>
      </c>
      <c r="C460" t="s">
        <v>89</v>
      </c>
      <c r="D460" t="s">
        <v>19</v>
      </c>
      <c r="E460" s="1">
        <v>45323</v>
      </c>
      <c r="F460">
        <v>113</v>
      </c>
      <c r="G460" t="s">
        <v>24</v>
      </c>
      <c r="H460">
        <v>3.8</v>
      </c>
      <c r="I460">
        <v>449</v>
      </c>
      <c r="J460" t="s">
        <v>33</v>
      </c>
      <c r="L460" t="str" cm="1">
        <f t="array" ref="L460">_xlfn.IFS(H460&lt;=2,"bad",H460&lt;=2.5,"neutral",H460&gt;2.5,"good")</f>
        <v>good</v>
      </c>
      <c r="M460" t="str" cm="1">
        <f t="array" ref="M460">_xlfn.IFS(F460&lt;30,"short",F460&lt;90,"medium",F460&lt;180,"long",F460&gt;180,"very long")</f>
        <v>long</v>
      </c>
      <c r="N460" t="str">
        <f>LEFT(Table1[[#This Row],[Activity_Type]],3)</f>
        <v>Saf</v>
      </c>
      <c r="O460" t="str">
        <f>UPPER(Table1[[#This Row],[Column2]])</f>
        <v>MENON</v>
      </c>
      <c r="P460">
        <f>LEN(Table1[[#This Row],[Visitor_Name]])</f>
        <v>5</v>
      </c>
      <c r="S460">
        <f>ROUND(Table1[[#This Row],[Rating]],0)</f>
        <v>4</v>
      </c>
      <c r="T460" t="s">
        <v>73</v>
      </c>
      <c r="U460" t="s">
        <v>59</v>
      </c>
      <c r="V460" s="5" t="s">
        <v>10</v>
      </c>
      <c r="W460">
        <v>112</v>
      </c>
    </row>
    <row r="461" spans="1:23" x14ac:dyDescent="0.25">
      <c r="A461">
        <v>1460</v>
      </c>
      <c r="B461" t="s">
        <v>97</v>
      </c>
      <c r="C461" t="s">
        <v>93</v>
      </c>
      <c r="D461" t="s">
        <v>22</v>
      </c>
      <c r="E461" s="1">
        <v>45437</v>
      </c>
      <c r="F461">
        <v>143</v>
      </c>
      <c r="G461" t="s">
        <v>26</v>
      </c>
      <c r="H461">
        <v>3.3</v>
      </c>
      <c r="I461">
        <v>328</v>
      </c>
      <c r="J461" t="s">
        <v>34</v>
      </c>
      <c r="L461" t="str" cm="1">
        <f t="array" ref="L461">_xlfn.IFS(H461&lt;=2,"bad",H461&lt;=2.5,"neutral",H461&gt;2.5,"good")</f>
        <v>good</v>
      </c>
      <c r="M461" t="str" cm="1">
        <f t="array" ref="M461">_xlfn.IFS(F461&lt;30,"short",F461&lt;90,"medium",F461&lt;180,"long",F461&gt;180,"very long")</f>
        <v>long</v>
      </c>
      <c r="N461" t="str">
        <f>LEFT(Table1[[#This Row],[Activity_Type]],3)</f>
        <v>Cam</v>
      </c>
      <c r="O461" t="str">
        <f>UPPER(Table1[[#This Row],[Column2]])</f>
        <v>IYER</v>
      </c>
      <c r="P461">
        <f>LEN(Table1[[#This Row],[Visitor_Name]])</f>
        <v>5</v>
      </c>
      <c r="S461">
        <f>ROUND(Table1[[#This Row],[Rating]],0)</f>
        <v>3</v>
      </c>
      <c r="T461" t="s">
        <v>74</v>
      </c>
      <c r="U461" t="s">
        <v>65</v>
      </c>
      <c r="V461" s="5" t="s">
        <v>12</v>
      </c>
      <c r="W461">
        <v>113</v>
      </c>
    </row>
    <row r="462" spans="1:23" x14ac:dyDescent="0.25">
      <c r="A462">
        <v>1461</v>
      </c>
      <c r="B462" t="s">
        <v>79</v>
      </c>
      <c r="C462" t="s">
        <v>83</v>
      </c>
      <c r="D462" t="s">
        <v>19</v>
      </c>
      <c r="E462" s="1">
        <v>45605</v>
      </c>
      <c r="F462">
        <v>225</v>
      </c>
      <c r="G462" t="s">
        <v>24</v>
      </c>
      <c r="H462">
        <v>3.7</v>
      </c>
      <c r="I462">
        <v>271</v>
      </c>
      <c r="J462" t="s">
        <v>33</v>
      </c>
      <c r="L462" t="str" cm="1">
        <f t="array" ref="L462">_xlfn.IFS(H462&lt;=2,"bad",H462&lt;=2.5,"neutral",H462&gt;2.5,"good")</f>
        <v>good</v>
      </c>
      <c r="M462" t="str" cm="1">
        <f t="array" ref="M462">_xlfn.IFS(F462&lt;30,"short",F462&lt;90,"medium",F462&lt;180,"long",F462&gt;180,"very long")</f>
        <v>very long</v>
      </c>
      <c r="N462" t="str">
        <f>LEFT(Table1[[#This Row],[Activity_Type]],3)</f>
        <v>Saf</v>
      </c>
      <c r="O462" t="str">
        <f>UPPER(Table1[[#This Row],[Column2]])</f>
        <v>NAIR</v>
      </c>
      <c r="P462">
        <f>LEN(Table1[[#This Row],[Visitor_Name]])</f>
        <v>5</v>
      </c>
      <c r="S462">
        <f>ROUND(Table1[[#This Row],[Rating]],0)</f>
        <v>4</v>
      </c>
      <c r="T462" t="s">
        <v>70</v>
      </c>
      <c r="U462" t="s">
        <v>58</v>
      </c>
      <c r="V462" s="5" t="s">
        <v>11</v>
      </c>
      <c r="W462">
        <v>121</v>
      </c>
    </row>
    <row r="463" spans="1:23" x14ac:dyDescent="0.25">
      <c r="A463">
        <v>1462</v>
      </c>
      <c r="B463" t="s">
        <v>91</v>
      </c>
      <c r="C463" t="s">
        <v>81</v>
      </c>
      <c r="D463" t="s">
        <v>19</v>
      </c>
      <c r="E463" s="1">
        <v>45443</v>
      </c>
      <c r="F463">
        <v>122</v>
      </c>
      <c r="G463" t="s">
        <v>26</v>
      </c>
      <c r="H463">
        <v>2.5</v>
      </c>
      <c r="I463">
        <v>262</v>
      </c>
      <c r="J463" t="s">
        <v>30</v>
      </c>
      <c r="L463" t="str" cm="1">
        <f t="array" ref="L463">_xlfn.IFS(H463&lt;=2,"bad",H463&lt;=2.5,"neutral",H463&gt;2.5,"good")</f>
        <v>neutral</v>
      </c>
      <c r="M463" t="str" cm="1">
        <f t="array" ref="M463">_xlfn.IFS(F463&lt;30,"short",F463&lt;90,"medium",F463&lt;180,"long",F463&gt;180,"very long")</f>
        <v>long</v>
      </c>
      <c r="N463" t="str">
        <f>LEFT(Table1[[#This Row],[Activity_Type]],3)</f>
        <v>Saf</v>
      </c>
      <c r="O463" t="str">
        <f>UPPER(Table1[[#This Row],[Column2]])</f>
        <v>PATEL</v>
      </c>
      <c r="P463">
        <f>LEN(Table1[[#This Row],[Visitor_Name]])</f>
        <v>5</v>
      </c>
      <c r="S463">
        <f>ROUND(Table1[[#This Row],[Rating]],0)</f>
        <v>3</v>
      </c>
      <c r="T463" t="s">
        <v>69</v>
      </c>
      <c r="U463" t="s">
        <v>61</v>
      </c>
      <c r="V463" s="5" t="s">
        <v>16</v>
      </c>
      <c r="W463">
        <v>122</v>
      </c>
    </row>
    <row r="464" spans="1:23" x14ac:dyDescent="0.25">
      <c r="A464">
        <v>1463</v>
      </c>
      <c r="B464" t="s">
        <v>82</v>
      </c>
      <c r="C464" t="s">
        <v>85</v>
      </c>
      <c r="D464" t="s">
        <v>21</v>
      </c>
      <c r="E464" s="1">
        <v>45633</v>
      </c>
      <c r="F464">
        <v>93</v>
      </c>
      <c r="G464" t="s">
        <v>25</v>
      </c>
      <c r="H464">
        <v>4</v>
      </c>
      <c r="I464">
        <v>496</v>
      </c>
      <c r="J464" t="s">
        <v>34</v>
      </c>
      <c r="L464" t="str" cm="1">
        <f t="array" ref="L464">_xlfn.IFS(H464&lt;=2,"bad",H464&lt;=2.5,"neutral",H464&gt;2.5,"good")</f>
        <v>good</v>
      </c>
      <c r="M464" t="str" cm="1">
        <f t="array" ref="M464">_xlfn.IFS(F464&lt;30,"short",F464&lt;90,"medium",F464&lt;180,"long",F464&gt;180,"very long")</f>
        <v>long</v>
      </c>
      <c r="N464" t="str">
        <f>LEFT(Table1[[#This Row],[Activity_Type]],3)</f>
        <v>Bir</v>
      </c>
      <c r="O464" t="str">
        <f>UPPER(Table1[[#This Row],[Column2]])</f>
        <v>DAS</v>
      </c>
      <c r="P464">
        <f>LEN(Table1[[#This Row],[Visitor_Name]])</f>
        <v>5</v>
      </c>
      <c r="S464">
        <f>ROUND(Table1[[#This Row],[Rating]],0)</f>
        <v>4</v>
      </c>
      <c r="T464" t="s">
        <v>71</v>
      </c>
      <c r="U464" t="s">
        <v>59</v>
      </c>
      <c r="V464" s="5" t="s">
        <v>10</v>
      </c>
      <c r="W464">
        <v>126</v>
      </c>
    </row>
    <row r="465" spans="1:23" x14ac:dyDescent="0.25">
      <c r="A465">
        <v>1464</v>
      </c>
      <c r="B465" t="s">
        <v>94</v>
      </c>
      <c r="C465" t="s">
        <v>83</v>
      </c>
      <c r="D465" t="s">
        <v>23</v>
      </c>
      <c r="E465" s="1">
        <v>45473</v>
      </c>
      <c r="F465">
        <v>226</v>
      </c>
      <c r="G465" t="s">
        <v>24</v>
      </c>
      <c r="H465">
        <v>3.1</v>
      </c>
      <c r="I465">
        <v>297</v>
      </c>
      <c r="J465" t="s">
        <v>31</v>
      </c>
      <c r="L465" t="str" cm="1">
        <f t="array" ref="L465">_xlfn.IFS(H465&lt;=2,"bad",H465&lt;=2.5,"neutral",H465&gt;2.5,"good")</f>
        <v>good</v>
      </c>
      <c r="M465" t="str" cm="1">
        <f t="array" ref="M465">_xlfn.IFS(F465&lt;30,"short",F465&lt;90,"medium",F465&lt;180,"long",F465&gt;180,"very long")</f>
        <v>very long</v>
      </c>
      <c r="N465" t="str">
        <f>LEFT(Table1[[#This Row],[Activity_Type]],3)</f>
        <v>Boa</v>
      </c>
      <c r="O465" t="str">
        <f>UPPER(Table1[[#This Row],[Column2]])</f>
        <v>NAIR</v>
      </c>
      <c r="P465">
        <f>LEN(Table1[[#This Row],[Visitor_Name]])</f>
        <v>5</v>
      </c>
      <c r="S465">
        <f>ROUND(Table1[[#This Row],[Rating]],0)</f>
        <v>3</v>
      </c>
      <c r="T465" t="s">
        <v>70</v>
      </c>
      <c r="U465" t="s">
        <v>64</v>
      </c>
      <c r="V465" s="5" t="s">
        <v>14</v>
      </c>
      <c r="W465">
        <v>126</v>
      </c>
    </row>
    <row r="466" spans="1:23" x14ac:dyDescent="0.25">
      <c r="A466">
        <v>1465</v>
      </c>
      <c r="B466" t="s">
        <v>88</v>
      </c>
      <c r="C466" t="s">
        <v>85</v>
      </c>
      <c r="D466" t="s">
        <v>22</v>
      </c>
      <c r="E466" s="1">
        <v>45328</v>
      </c>
      <c r="F466">
        <v>111</v>
      </c>
      <c r="G466" t="s">
        <v>24</v>
      </c>
      <c r="H466">
        <v>2.8</v>
      </c>
      <c r="I466">
        <v>440</v>
      </c>
      <c r="J466" t="s">
        <v>30</v>
      </c>
      <c r="L466" t="str" cm="1">
        <f t="array" ref="L466">_xlfn.IFS(H466&lt;=2,"bad",H466&lt;=2.5,"neutral",H466&gt;2.5,"good")</f>
        <v>good</v>
      </c>
      <c r="M466" t="str" cm="1">
        <f t="array" ref="M466">_xlfn.IFS(F466&lt;30,"short",F466&lt;90,"medium",F466&lt;180,"long",F466&gt;180,"very long")</f>
        <v>long</v>
      </c>
      <c r="N466" t="str">
        <f>LEFT(Table1[[#This Row],[Activity_Type]],3)</f>
        <v>Cam</v>
      </c>
      <c r="O466" t="str">
        <f>UPPER(Table1[[#This Row],[Column2]])</f>
        <v>DAS</v>
      </c>
      <c r="P466">
        <f>LEN(Table1[[#This Row],[Visitor_Name]])</f>
        <v>6</v>
      </c>
      <c r="S466">
        <f>ROUND(Table1[[#This Row],[Rating]],0)</f>
        <v>3</v>
      </c>
      <c r="T466" t="s">
        <v>71</v>
      </c>
      <c r="U466" t="s">
        <v>67</v>
      </c>
      <c r="V466" s="5" t="s">
        <v>10</v>
      </c>
      <c r="W466">
        <v>129</v>
      </c>
    </row>
    <row r="467" spans="1:23" x14ac:dyDescent="0.25">
      <c r="A467">
        <v>1466</v>
      </c>
      <c r="B467" t="s">
        <v>97</v>
      </c>
      <c r="C467" t="s">
        <v>83</v>
      </c>
      <c r="D467" t="s">
        <v>18</v>
      </c>
      <c r="E467" s="1">
        <v>45653</v>
      </c>
      <c r="F467">
        <v>172</v>
      </c>
      <c r="G467" t="s">
        <v>27</v>
      </c>
      <c r="H467">
        <v>3.8</v>
      </c>
      <c r="I467">
        <v>386</v>
      </c>
      <c r="J467" t="s">
        <v>31</v>
      </c>
      <c r="L467" t="str" cm="1">
        <f t="array" ref="L467">_xlfn.IFS(H467&lt;=2,"bad",H467&lt;=2.5,"neutral",H467&gt;2.5,"good")</f>
        <v>good</v>
      </c>
      <c r="M467" t="str" cm="1">
        <f t="array" ref="M467">_xlfn.IFS(F467&lt;30,"short",F467&lt;90,"medium",F467&lt;180,"long",F467&gt;180,"very long")</f>
        <v>long</v>
      </c>
      <c r="N467" t="str">
        <f>LEFT(Table1[[#This Row],[Activity_Type]],3)</f>
        <v>Pho</v>
      </c>
      <c r="O467" t="str">
        <f>UPPER(Table1[[#This Row],[Column2]])</f>
        <v>NAIR</v>
      </c>
      <c r="P467">
        <f>LEN(Table1[[#This Row],[Visitor_Name]])</f>
        <v>5</v>
      </c>
      <c r="S467">
        <f>ROUND(Table1[[#This Row],[Rating]],0)</f>
        <v>4</v>
      </c>
      <c r="T467" t="s">
        <v>70</v>
      </c>
      <c r="U467" t="s">
        <v>65</v>
      </c>
      <c r="V467" s="5" t="s">
        <v>10</v>
      </c>
      <c r="W467">
        <v>132</v>
      </c>
    </row>
    <row r="468" spans="1:23" x14ac:dyDescent="0.25">
      <c r="A468">
        <v>1467</v>
      </c>
      <c r="B468" t="s">
        <v>82</v>
      </c>
      <c r="C468" t="s">
        <v>89</v>
      </c>
      <c r="D468" t="s">
        <v>23</v>
      </c>
      <c r="E468" s="1">
        <v>45294</v>
      </c>
      <c r="F468">
        <v>26</v>
      </c>
      <c r="G468" t="s">
        <v>26</v>
      </c>
      <c r="H468">
        <v>4.5</v>
      </c>
      <c r="I468">
        <v>426</v>
      </c>
      <c r="J468" t="s">
        <v>33</v>
      </c>
      <c r="L468" t="str" cm="1">
        <f t="array" ref="L468">_xlfn.IFS(H468&lt;=2,"bad",H468&lt;=2.5,"neutral",H468&gt;2.5,"good")</f>
        <v>good</v>
      </c>
      <c r="M468" t="str" cm="1">
        <f t="array" ref="M468">_xlfn.IFS(F468&lt;30,"short",F468&lt;90,"medium",F468&lt;180,"long",F468&gt;180,"very long")</f>
        <v>short</v>
      </c>
      <c r="N468" t="str">
        <f>LEFT(Table1[[#This Row],[Activity_Type]],3)</f>
        <v>Boa</v>
      </c>
      <c r="O468" t="str">
        <f>UPPER(Table1[[#This Row],[Column2]])</f>
        <v>MENON</v>
      </c>
      <c r="P468">
        <f>LEN(Table1[[#This Row],[Visitor_Name]])</f>
        <v>5</v>
      </c>
      <c r="S468">
        <f>ROUND(Table1[[#This Row],[Rating]],0)</f>
        <v>5</v>
      </c>
      <c r="T468" t="s">
        <v>73</v>
      </c>
      <c r="U468" t="s">
        <v>59</v>
      </c>
      <c r="V468" s="5" t="s">
        <v>16</v>
      </c>
      <c r="W468">
        <v>132</v>
      </c>
    </row>
    <row r="469" spans="1:23" x14ac:dyDescent="0.25">
      <c r="A469">
        <v>1468</v>
      </c>
      <c r="B469" t="s">
        <v>91</v>
      </c>
      <c r="C469" t="s">
        <v>83</v>
      </c>
      <c r="D469" t="s">
        <v>23</v>
      </c>
      <c r="E469" s="1">
        <v>45628</v>
      </c>
      <c r="F469">
        <v>190</v>
      </c>
      <c r="G469" t="s">
        <v>26</v>
      </c>
      <c r="H469">
        <v>2.6</v>
      </c>
      <c r="I469">
        <v>258</v>
      </c>
      <c r="J469" t="s">
        <v>35</v>
      </c>
      <c r="L469" t="str" cm="1">
        <f t="array" ref="L469">_xlfn.IFS(H469&lt;=2,"bad",H469&lt;=2.5,"neutral",H469&gt;2.5,"good")</f>
        <v>good</v>
      </c>
      <c r="M469" t="str" cm="1">
        <f t="array" ref="M469">_xlfn.IFS(F469&lt;30,"short",F469&lt;90,"medium",F469&lt;180,"long",F469&gt;180,"very long")</f>
        <v>very long</v>
      </c>
      <c r="N469" t="str">
        <f>LEFT(Table1[[#This Row],[Activity_Type]],3)</f>
        <v>Boa</v>
      </c>
      <c r="O469" t="str">
        <f>UPPER(Table1[[#This Row],[Column2]])</f>
        <v>NAIR</v>
      </c>
      <c r="P469">
        <f>LEN(Table1[[#This Row],[Visitor_Name]])</f>
        <v>5</v>
      </c>
      <c r="S469">
        <f>ROUND(Table1[[#This Row],[Rating]],0)</f>
        <v>3</v>
      </c>
      <c r="T469" t="s">
        <v>70</v>
      </c>
      <c r="U469" t="s">
        <v>61</v>
      </c>
      <c r="V469" s="5" t="s">
        <v>17</v>
      </c>
      <c r="W469">
        <v>137</v>
      </c>
    </row>
    <row r="470" spans="1:23" x14ac:dyDescent="0.25">
      <c r="A470">
        <v>1469</v>
      </c>
      <c r="B470" t="s">
        <v>84</v>
      </c>
      <c r="C470" t="s">
        <v>83</v>
      </c>
      <c r="D470" t="s">
        <v>21</v>
      </c>
      <c r="E470" s="1">
        <v>45487</v>
      </c>
      <c r="F470">
        <v>230</v>
      </c>
      <c r="G470" t="s">
        <v>25</v>
      </c>
      <c r="H470">
        <v>2.5</v>
      </c>
      <c r="I470">
        <v>189</v>
      </c>
      <c r="J470" t="s">
        <v>33</v>
      </c>
      <c r="L470" t="str" cm="1">
        <f t="array" ref="L470">_xlfn.IFS(H470&lt;=2,"bad",H470&lt;=2.5,"neutral",H470&gt;2.5,"good")</f>
        <v>neutral</v>
      </c>
      <c r="M470" t="str" cm="1">
        <f t="array" ref="M470">_xlfn.IFS(F470&lt;30,"short",F470&lt;90,"medium",F470&lt;180,"long",F470&gt;180,"very long")</f>
        <v>very long</v>
      </c>
      <c r="N470" t="str">
        <f>LEFT(Table1[[#This Row],[Activity_Type]],3)</f>
        <v>Bir</v>
      </c>
      <c r="O470" t="str">
        <f>UPPER(Table1[[#This Row],[Column2]])</f>
        <v>NAIR</v>
      </c>
      <c r="P470">
        <f>LEN(Table1[[#This Row],[Visitor_Name]])</f>
        <v>5</v>
      </c>
      <c r="S470">
        <f>ROUND(Table1[[#This Row],[Rating]],0)</f>
        <v>3</v>
      </c>
      <c r="T470" t="s">
        <v>70</v>
      </c>
      <c r="U470" t="s">
        <v>63</v>
      </c>
      <c r="V470" s="5" t="s">
        <v>10</v>
      </c>
      <c r="W470">
        <v>141</v>
      </c>
    </row>
    <row r="471" spans="1:23" x14ac:dyDescent="0.25">
      <c r="A471">
        <v>1470</v>
      </c>
      <c r="B471" t="s">
        <v>91</v>
      </c>
      <c r="C471" t="s">
        <v>96</v>
      </c>
      <c r="D471" t="s">
        <v>21</v>
      </c>
      <c r="E471" s="1">
        <v>45457</v>
      </c>
      <c r="F471">
        <v>21</v>
      </c>
      <c r="G471" t="s">
        <v>24</v>
      </c>
      <c r="H471">
        <v>4.0999999999999996</v>
      </c>
      <c r="I471">
        <v>470</v>
      </c>
      <c r="J471" t="s">
        <v>36</v>
      </c>
      <c r="L471" t="str" cm="1">
        <f t="array" ref="L471">_xlfn.IFS(H471&lt;=2,"bad",H471&lt;=2.5,"neutral",H471&gt;2.5,"good")</f>
        <v>good</v>
      </c>
      <c r="M471" t="str" cm="1">
        <f t="array" ref="M471">_xlfn.IFS(F471&lt;30,"short",F471&lt;90,"medium",F471&lt;180,"long",F471&gt;180,"very long")</f>
        <v>short</v>
      </c>
      <c r="N471" t="str">
        <f>LEFT(Table1[[#This Row],[Activity_Type]],3)</f>
        <v>Bir</v>
      </c>
      <c r="O471" t="str">
        <f>UPPER(Table1[[#This Row],[Column2]])</f>
        <v>SHARMA</v>
      </c>
      <c r="P471">
        <f>LEN(Table1[[#This Row],[Visitor_Name]])</f>
        <v>5</v>
      </c>
      <c r="S471">
        <f>ROUND(Table1[[#This Row],[Rating]],0)</f>
        <v>4</v>
      </c>
      <c r="T471" t="s">
        <v>76</v>
      </c>
      <c r="U471" t="s">
        <v>61</v>
      </c>
      <c r="V471" s="5" t="s">
        <v>10</v>
      </c>
      <c r="W471">
        <v>143</v>
      </c>
    </row>
    <row r="472" spans="1:23" x14ac:dyDescent="0.25">
      <c r="A472">
        <v>1471</v>
      </c>
      <c r="B472" t="s">
        <v>94</v>
      </c>
      <c r="C472" t="s">
        <v>89</v>
      </c>
      <c r="D472" t="s">
        <v>22</v>
      </c>
      <c r="E472" s="1">
        <v>45625</v>
      </c>
      <c r="F472">
        <v>214</v>
      </c>
      <c r="G472" t="s">
        <v>25</v>
      </c>
      <c r="H472">
        <v>4.2</v>
      </c>
      <c r="I472">
        <v>237</v>
      </c>
      <c r="J472" t="s">
        <v>31</v>
      </c>
      <c r="L472" t="str" cm="1">
        <f t="array" ref="L472">_xlfn.IFS(H472&lt;=2,"bad",H472&lt;=2.5,"neutral",H472&gt;2.5,"good")</f>
        <v>good</v>
      </c>
      <c r="M472" t="str" cm="1">
        <f t="array" ref="M472">_xlfn.IFS(F472&lt;30,"short",F472&lt;90,"medium",F472&lt;180,"long",F472&gt;180,"very long")</f>
        <v>very long</v>
      </c>
      <c r="N472" t="str">
        <f>LEFT(Table1[[#This Row],[Activity_Type]],3)</f>
        <v>Cam</v>
      </c>
      <c r="O472" t="str">
        <f>UPPER(Table1[[#This Row],[Column2]])</f>
        <v>MENON</v>
      </c>
      <c r="P472">
        <f>LEN(Table1[[#This Row],[Visitor_Name]])</f>
        <v>5</v>
      </c>
      <c r="S472">
        <f>ROUND(Table1[[#This Row],[Rating]],0)</f>
        <v>4</v>
      </c>
      <c r="T472" t="s">
        <v>73</v>
      </c>
      <c r="U472" t="s">
        <v>64</v>
      </c>
      <c r="V472" s="5" t="s">
        <v>11</v>
      </c>
      <c r="W472">
        <v>145</v>
      </c>
    </row>
    <row r="473" spans="1:23" x14ac:dyDescent="0.25">
      <c r="A473">
        <v>1472</v>
      </c>
      <c r="B473" t="s">
        <v>92</v>
      </c>
      <c r="C473" t="s">
        <v>80</v>
      </c>
      <c r="D473" t="s">
        <v>21</v>
      </c>
      <c r="E473" s="1">
        <v>45435</v>
      </c>
      <c r="F473">
        <v>147</v>
      </c>
      <c r="G473" t="s">
        <v>26</v>
      </c>
      <c r="H473">
        <v>3.3</v>
      </c>
      <c r="I473">
        <v>176</v>
      </c>
      <c r="J473" t="s">
        <v>37</v>
      </c>
      <c r="L473" t="str" cm="1">
        <f t="array" ref="L473">_xlfn.IFS(H473&lt;=2,"bad",H473&lt;=2.5,"neutral",H473&gt;2.5,"good")</f>
        <v>good</v>
      </c>
      <c r="M473" t="str" cm="1">
        <f t="array" ref="M473">_xlfn.IFS(F473&lt;30,"short",F473&lt;90,"medium",F473&lt;180,"long",F473&gt;180,"very long")</f>
        <v>long</v>
      </c>
      <c r="N473" t="str">
        <f>LEFT(Table1[[#This Row],[Activity_Type]],3)</f>
        <v>Bir</v>
      </c>
      <c r="O473" t="str">
        <f>UPPER(Table1[[#This Row],[Column2]])</f>
        <v>MEHTA</v>
      </c>
      <c r="P473">
        <f>LEN(Table1[[#This Row],[Visitor_Name]])</f>
        <v>5</v>
      </c>
      <c r="S473">
        <f>ROUND(Table1[[#This Row],[Rating]],0)</f>
        <v>3</v>
      </c>
      <c r="T473" t="s">
        <v>68</v>
      </c>
      <c r="U473" t="s">
        <v>62</v>
      </c>
      <c r="V473" s="5" t="s">
        <v>15</v>
      </c>
      <c r="W473">
        <v>146</v>
      </c>
    </row>
    <row r="474" spans="1:23" x14ac:dyDescent="0.25">
      <c r="A474">
        <v>1473</v>
      </c>
      <c r="B474" t="s">
        <v>91</v>
      </c>
      <c r="C474" t="s">
        <v>87</v>
      </c>
      <c r="D474" t="s">
        <v>21</v>
      </c>
      <c r="E474" s="1">
        <v>45612</v>
      </c>
      <c r="F474">
        <v>164</v>
      </c>
      <c r="G474" t="s">
        <v>26</v>
      </c>
      <c r="H474">
        <v>4.8</v>
      </c>
      <c r="I474">
        <v>470</v>
      </c>
      <c r="J474" t="s">
        <v>37</v>
      </c>
      <c r="L474" t="str" cm="1">
        <f t="array" ref="L474">_xlfn.IFS(H474&lt;=2,"bad",H474&lt;=2.5,"neutral",H474&gt;2.5,"good")</f>
        <v>good</v>
      </c>
      <c r="M474" t="str" cm="1">
        <f t="array" ref="M474">_xlfn.IFS(F474&lt;30,"short",F474&lt;90,"medium",F474&lt;180,"long",F474&gt;180,"very long")</f>
        <v>long</v>
      </c>
      <c r="N474" t="str">
        <f>LEFT(Table1[[#This Row],[Activity_Type]],3)</f>
        <v>Bir</v>
      </c>
      <c r="O474" t="str">
        <f>UPPER(Table1[[#This Row],[Column2]])</f>
        <v>VERMA</v>
      </c>
      <c r="P474">
        <f>LEN(Table1[[#This Row],[Visitor_Name]])</f>
        <v>5</v>
      </c>
      <c r="S474">
        <f>ROUND(Table1[[#This Row],[Rating]],0)</f>
        <v>5</v>
      </c>
      <c r="T474" t="s">
        <v>72</v>
      </c>
      <c r="U474" t="s">
        <v>61</v>
      </c>
      <c r="V474" s="5" t="s">
        <v>16</v>
      </c>
      <c r="W474">
        <v>147</v>
      </c>
    </row>
    <row r="475" spans="1:23" x14ac:dyDescent="0.25">
      <c r="A475">
        <v>1474</v>
      </c>
      <c r="B475" t="s">
        <v>86</v>
      </c>
      <c r="C475" t="s">
        <v>81</v>
      </c>
      <c r="D475" t="s">
        <v>23</v>
      </c>
      <c r="E475" s="1">
        <v>45456</v>
      </c>
      <c r="F475">
        <v>240</v>
      </c>
      <c r="G475" t="s">
        <v>24</v>
      </c>
      <c r="H475">
        <v>3.8</v>
      </c>
      <c r="I475">
        <v>155</v>
      </c>
      <c r="J475" t="s">
        <v>37</v>
      </c>
      <c r="L475" t="str" cm="1">
        <f t="array" ref="L475">_xlfn.IFS(H475&lt;=2,"bad",H475&lt;=2.5,"neutral",H475&gt;2.5,"good")</f>
        <v>good</v>
      </c>
      <c r="M475" t="str" cm="1">
        <f t="array" ref="M475">_xlfn.IFS(F475&lt;30,"short",F475&lt;90,"medium",F475&lt;180,"long",F475&gt;180,"very long")</f>
        <v>very long</v>
      </c>
      <c r="N475" t="str">
        <f>LEFT(Table1[[#This Row],[Activity_Type]],3)</f>
        <v>Boa</v>
      </c>
      <c r="O475" t="str">
        <f>UPPER(Table1[[#This Row],[Column2]])</f>
        <v>PATEL</v>
      </c>
      <c r="P475">
        <f>LEN(Table1[[#This Row],[Visitor_Name]])</f>
        <v>6</v>
      </c>
      <c r="S475">
        <f>ROUND(Table1[[#This Row],[Rating]],0)</f>
        <v>4</v>
      </c>
      <c r="T475" t="s">
        <v>69</v>
      </c>
      <c r="U475" t="s">
        <v>66</v>
      </c>
      <c r="V475" s="5" t="s">
        <v>16</v>
      </c>
      <c r="W475">
        <v>149</v>
      </c>
    </row>
    <row r="476" spans="1:23" x14ac:dyDescent="0.25">
      <c r="A476">
        <v>1475</v>
      </c>
      <c r="B476" t="s">
        <v>82</v>
      </c>
      <c r="C476" t="s">
        <v>83</v>
      </c>
      <c r="D476" t="s">
        <v>19</v>
      </c>
      <c r="E476" s="1">
        <v>45377</v>
      </c>
      <c r="F476">
        <v>170</v>
      </c>
      <c r="G476" t="s">
        <v>27</v>
      </c>
      <c r="H476">
        <v>3.5</v>
      </c>
      <c r="I476">
        <v>140</v>
      </c>
      <c r="J476" t="s">
        <v>33</v>
      </c>
      <c r="L476" t="str" cm="1">
        <f t="array" ref="L476">_xlfn.IFS(H476&lt;=2,"bad",H476&lt;=2.5,"neutral",H476&gt;2.5,"good")</f>
        <v>good</v>
      </c>
      <c r="M476" t="str" cm="1">
        <f t="array" ref="M476">_xlfn.IFS(F476&lt;30,"short",F476&lt;90,"medium",F476&lt;180,"long",F476&gt;180,"very long")</f>
        <v>long</v>
      </c>
      <c r="N476" t="str">
        <f>LEFT(Table1[[#This Row],[Activity_Type]],3)</f>
        <v>Saf</v>
      </c>
      <c r="O476" t="str">
        <f>UPPER(Table1[[#This Row],[Column2]])</f>
        <v>NAIR</v>
      </c>
      <c r="P476">
        <f>LEN(Table1[[#This Row],[Visitor_Name]])</f>
        <v>5</v>
      </c>
      <c r="S476">
        <f>ROUND(Table1[[#This Row],[Rating]],0)</f>
        <v>4</v>
      </c>
      <c r="T476" t="s">
        <v>70</v>
      </c>
      <c r="U476" t="s">
        <v>59</v>
      </c>
      <c r="V476" s="5" t="s">
        <v>13</v>
      </c>
      <c r="W476">
        <v>152</v>
      </c>
    </row>
    <row r="477" spans="1:23" x14ac:dyDescent="0.25">
      <c r="A477">
        <v>1476</v>
      </c>
      <c r="B477" t="s">
        <v>84</v>
      </c>
      <c r="C477" t="s">
        <v>98</v>
      </c>
      <c r="D477" t="s">
        <v>23</v>
      </c>
      <c r="E477" s="1">
        <v>45339</v>
      </c>
      <c r="F477">
        <v>223</v>
      </c>
      <c r="G477" t="s">
        <v>25</v>
      </c>
      <c r="H477">
        <v>2.9</v>
      </c>
      <c r="I477">
        <v>376</v>
      </c>
      <c r="J477" t="s">
        <v>35</v>
      </c>
      <c r="L477" t="str" cm="1">
        <f t="array" ref="L477">_xlfn.IFS(H477&lt;=2,"bad",H477&lt;=2.5,"neutral",H477&gt;2.5,"good")</f>
        <v>good</v>
      </c>
      <c r="M477" t="str" cm="1">
        <f t="array" ref="M477">_xlfn.IFS(F477&lt;30,"short",F477&lt;90,"medium",F477&lt;180,"long",F477&gt;180,"very long")</f>
        <v>very long</v>
      </c>
      <c r="N477" t="str">
        <f>LEFT(Table1[[#This Row],[Activity_Type]],3)</f>
        <v>Boa</v>
      </c>
      <c r="O477" t="str">
        <f>UPPER(Table1[[#This Row],[Column2]])</f>
        <v>REDDY</v>
      </c>
      <c r="P477">
        <f>LEN(Table1[[#This Row],[Visitor_Name]])</f>
        <v>5</v>
      </c>
      <c r="S477">
        <f>ROUND(Table1[[#This Row],[Rating]],0)</f>
        <v>3</v>
      </c>
      <c r="T477" t="s">
        <v>77</v>
      </c>
      <c r="U477" t="s">
        <v>63</v>
      </c>
      <c r="V477" s="5" t="s">
        <v>12</v>
      </c>
      <c r="W477">
        <v>154</v>
      </c>
    </row>
    <row r="478" spans="1:23" x14ac:dyDescent="0.25">
      <c r="A478">
        <v>1477</v>
      </c>
      <c r="B478" t="s">
        <v>84</v>
      </c>
      <c r="C478" t="s">
        <v>81</v>
      </c>
      <c r="D478" t="s">
        <v>20</v>
      </c>
      <c r="E478" s="1">
        <v>45310</v>
      </c>
      <c r="F478">
        <v>76</v>
      </c>
      <c r="G478" t="s">
        <v>25</v>
      </c>
      <c r="H478">
        <v>4.7</v>
      </c>
      <c r="I478">
        <v>218</v>
      </c>
      <c r="J478" t="s">
        <v>35</v>
      </c>
      <c r="L478" t="str" cm="1">
        <f t="array" ref="L478">_xlfn.IFS(H478&lt;=2,"bad",H478&lt;=2.5,"neutral",H478&gt;2.5,"good")</f>
        <v>good</v>
      </c>
      <c r="M478" t="str" cm="1">
        <f t="array" ref="M478">_xlfn.IFS(F478&lt;30,"short",F478&lt;90,"medium",F478&lt;180,"long",F478&gt;180,"very long")</f>
        <v>medium</v>
      </c>
      <c r="N478" t="str">
        <f>LEFT(Table1[[#This Row],[Activity_Type]],3)</f>
        <v>Hik</v>
      </c>
      <c r="O478" t="str">
        <f>UPPER(Table1[[#This Row],[Column2]])</f>
        <v>PATEL</v>
      </c>
      <c r="P478">
        <f>LEN(Table1[[#This Row],[Visitor_Name]])</f>
        <v>5</v>
      </c>
      <c r="S478">
        <f>ROUND(Table1[[#This Row],[Rating]],0)</f>
        <v>5</v>
      </c>
      <c r="T478" t="s">
        <v>69</v>
      </c>
      <c r="U478" t="s">
        <v>63</v>
      </c>
      <c r="V478" s="5" t="s">
        <v>12</v>
      </c>
      <c r="W478">
        <v>157</v>
      </c>
    </row>
    <row r="479" spans="1:23" x14ac:dyDescent="0.25">
      <c r="A479">
        <v>1478</v>
      </c>
      <c r="B479" t="s">
        <v>94</v>
      </c>
      <c r="C479" t="s">
        <v>95</v>
      </c>
      <c r="D479" t="s">
        <v>19</v>
      </c>
      <c r="E479" s="1">
        <v>45649</v>
      </c>
      <c r="F479">
        <v>238</v>
      </c>
      <c r="G479" t="s">
        <v>27</v>
      </c>
      <c r="H479">
        <v>3.5</v>
      </c>
      <c r="I479">
        <v>196</v>
      </c>
      <c r="J479" t="s">
        <v>30</v>
      </c>
      <c r="L479" t="str" cm="1">
        <f t="array" ref="L479">_xlfn.IFS(H479&lt;=2,"bad",H479&lt;=2.5,"neutral",H479&gt;2.5,"good")</f>
        <v>good</v>
      </c>
      <c r="M479" t="str" cm="1">
        <f t="array" ref="M479">_xlfn.IFS(F479&lt;30,"short",F479&lt;90,"medium",F479&lt;180,"long",F479&gt;180,"very long")</f>
        <v>very long</v>
      </c>
      <c r="N479" t="str">
        <f>LEFT(Table1[[#This Row],[Activity_Type]],3)</f>
        <v>Saf</v>
      </c>
      <c r="O479" t="str">
        <f>UPPER(Table1[[#This Row],[Column2]])</f>
        <v>SINGH</v>
      </c>
      <c r="P479">
        <f>LEN(Table1[[#This Row],[Visitor_Name]])</f>
        <v>5</v>
      </c>
      <c r="S479">
        <f>ROUND(Table1[[#This Row],[Rating]],0)</f>
        <v>4</v>
      </c>
      <c r="T479" t="s">
        <v>75</v>
      </c>
      <c r="U479" t="s">
        <v>64</v>
      </c>
      <c r="V479" s="5" t="s">
        <v>11</v>
      </c>
      <c r="W479">
        <v>159</v>
      </c>
    </row>
    <row r="480" spans="1:23" x14ac:dyDescent="0.25">
      <c r="A480">
        <v>1479</v>
      </c>
      <c r="B480" t="s">
        <v>92</v>
      </c>
      <c r="C480" t="s">
        <v>95</v>
      </c>
      <c r="D480" t="s">
        <v>23</v>
      </c>
      <c r="E480" s="1">
        <v>45539</v>
      </c>
      <c r="F480">
        <v>154</v>
      </c>
      <c r="G480" t="s">
        <v>25</v>
      </c>
      <c r="H480">
        <v>3.3</v>
      </c>
      <c r="I480">
        <v>384</v>
      </c>
      <c r="J480" t="s">
        <v>36</v>
      </c>
      <c r="L480" t="str" cm="1">
        <f t="array" ref="L480">_xlfn.IFS(H480&lt;=2,"bad",H480&lt;=2.5,"neutral",H480&gt;2.5,"good")</f>
        <v>good</v>
      </c>
      <c r="M480" t="str" cm="1">
        <f t="array" ref="M480">_xlfn.IFS(F480&lt;30,"short",F480&lt;90,"medium",F480&lt;180,"long",F480&gt;180,"very long")</f>
        <v>long</v>
      </c>
      <c r="N480" t="str">
        <f>LEFT(Table1[[#This Row],[Activity_Type]],3)</f>
        <v>Boa</v>
      </c>
      <c r="O480" t="str">
        <f>UPPER(Table1[[#This Row],[Column2]])</f>
        <v>SINGH</v>
      </c>
      <c r="P480">
        <f>LEN(Table1[[#This Row],[Visitor_Name]])</f>
        <v>5</v>
      </c>
      <c r="S480">
        <f>ROUND(Table1[[#This Row],[Rating]],0)</f>
        <v>3</v>
      </c>
      <c r="T480" t="s">
        <v>75</v>
      </c>
      <c r="U480" t="s">
        <v>62</v>
      </c>
      <c r="V480" s="5" t="s">
        <v>17</v>
      </c>
      <c r="W480">
        <v>162</v>
      </c>
    </row>
    <row r="481" spans="1:23" x14ac:dyDescent="0.25">
      <c r="A481">
        <v>1480</v>
      </c>
      <c r="B481" t="s">
        <v>88</v>
      </c>
      <c r="C481" t="s">
        <v>87</v>
      </c>
      <c r="D481" t="s">
        <v>23</v>
      </c>
      <c r="E481" s="1">
        <v>45391</v>
      </c>
      <c r="F481">
        <v>194</v>
      </c>
      <c r="G481" t="s">
        <v>27</v>
      </c>
      <c r="H481">
        <v>2.5</v>
      </c>
      <c r="I481">
        <v>170</v>
      </c>
      <c r="J481" t="s">
        <v>37</v>
      </c>
      <c r="L481" t="str" cm="1">
        <f t="array" ref="L481">_xlfn.IFS(H481&lt;=2,"bad",H481&lt;=2.5,"neutral",H481&gt;2.5,"good")</f>
        <v>neutral</v>
      </c>
      <c r="M481" t="str" cm="1">
        <f t="array" ref="M481">_xlfn.IFS(F481&lt;30,"short",F481&lt;90,"medium",F481&lt;180,"long",F481&gt;180,"very long")</f>
        <v>very long</v>
      </c>
      <c r="N481" t="str">
        <f>LEFT(Table1[[#This Row],[Activity_Type]],3)</f>
        <v>Boa</v>
      </c>
      <c r="O481" t="str">
        <f>UPPER(Table1[[#This Row],[Column2]])</f>
        <v>VERMA</v>
      </c>
      <c r="P481">
        <f>LEN(Table1[[#This Row],[Visitor_Name]])</f>
        <v>6</v>
      </c>
      <c r="S481">
        <f>ROUND(Table1[[#This Row],[Rating]],0)</f>
        <v>3</v>
      </c>
      <c r="T481" t="s">
        <v>72</v>
      </c>
      <c r="U481" t="s">
        <v>67</v>
      </c>
      <c r="V481" s="5" t="s">
        <v>11</v>
      </c>
      <c r="W481">
        <v>164</v>
      </c>
    </row>
    <row r="482" spans="1:23" x14ac:dyDescent="0.25">
      <c r="A482">
        <v>1481</v>
      </c>
      <c r="B482" t="s">
        <v>97</v>
      </c>
      <c r="C482" t="s">
        <v>89</v>
      </c>
      <c r="D482" t="s">
        <v>20</v>
      </c>
      <c r="E482" s="1">
        <v>45463</v>
      </c>
      <c r="F482">
        <v>145</v>
      </c>
      <c r="G482" t="s">
        <v>26</v>
      </c>
      <c r="H482">
        <v>2.6</v>
      </c>
      <c r="I482">
        <v>321</v>
      </c>
      <c r="J482" t="s">
        <v>29</v>
      </c>
      <c r="L482" t="str" cm="1">
        <f t="array" ref="L482">_xlfn.IFS(H482&lt;=2,"bad",H482&lt;=2.5,"neutral",H482&gt;2.5,"good")</f>
        <v>good</v>
      </c>
      <c r="M482" t="str" cm="1">
        <f t="array" ref="M482">_xlfn.IFS(F482&lt;30,"short",F482&lt;90,"medium",F482&lt;180,"long",F482&gt;180,"very long")</f>
        <v>long</v>
      </c>
      <c r="N482" t="str">
        <f>LEFT(Table1[[#This Row],[Activity_Type]],3)</f>
        <v>Hik</v>
      </c>
      <c r="O482" t="str">
        <f>UPPER(Table1[[#This Row],[Column2]])</f>
        <v>MENON</v>
      </c>
      <c r="P482">
        <f>LEN(Table1[[#This Row],[Visitor_Name]])</f>
        <v>5</v>
      </c>
      <c r="S482">
        <f>ROUND(Table1[[#This Row],[Rating]],0)</f>
        <v>3</v>
      </c>
      <c r="T482" t="s">
        <v>73</v>
      </c>
      <c r="U482" t="s">
        <v>65</v>
      </c>
      <c r="V482" s="5" t="s">
        <v>13</v>
      </c>
      <c r="W482">
        <v>170</v>
      </c>
    </row>
    <row r="483" spans="1:23" x14ac:dyDescent="0.25">
      <c r="A483">
        <v>1482</v>
      </c>
      <c r="B483" t="s">
        <v>79</v>
      </c>
      <c r="C483" t="s">
        <v>87</v>
      </c>
      <c r="D483" t="s">
        <v>18</v>
      </c>
      <c r="E483" s="1">
        <v>45407</v>
      </c>
      <c r="F483">
        <v>225</v>
      </c>
      <c r="G483" t="s">
        <v>25</v>
      </c>
      <c r="H483">
        <v>4.3</v>
      </c>
      <c r="I483">
        <v>394</v>
      </c>
      <c r="J483" t="s">
        <v>29</v>
      </c>
      <c r="L483" t="str" cm="1">
        <f t="array" ref="L483">_xlfn.IFS(H483&lt;=2,"bad",H483&lt;=2.5,"neutral",H483&gt;2.5,"good")</f>
        <v>good</v>
      </c>
      <c r="M483" t="str" cm="1">
        <f t="array" ref="M483">_xlfn.IFS(F483&lt;30,"short",F483&lt;90,"medium",F483&lt;180,"long",F483&gt;180,"very long")</f>
        <v>very long</v>
      </c>
      <c r="N483" t="str">
        <f>LEFT(Table1[[#This Row],[Activity_Type]],3)</f>
        <v>Pho</v>
      </c>
      <c r="O483" t="str">
        <f>UPPER(Table1[[#This Row],[Column2]])</f>
        <v>VERMA</v>
      </c>
      <c r="P483">
        <f>LEN(Table1[[#This Row],[Visitor_Name]])</f>
        <v>5</v>
      </c>
      <c r="S483">
        <f>ROUND(Table1[[#This Row],[Rating]],0)</f>
        <v>4</v>
      </c>
      <c r="T483" t="s">
        <v>72</v>
      </c>
      <c r="U483" t="s">
        <v>58</v>
      </c>
      <c r="V483" s="5" t="s">
        <v>12</v>
      </c>
      <c r="W483">
        <v>172</v>
      </c>
    </row>
    <row r="484" spans="1:23" x14ac:dyDescent="0.25">
      <c r="A484">
        <v>1483</v>
      </c>
      <c r="B484" t="s">
        <v>86</v>
      </c>
      <c r="C484" t="s">
        <v>98</v>
      </c>
      <c r="D484" t="s">
        <v>23</v>
      </c>
      <c r="E484" s="1">
        <v>45380</v>
      </c>
      <c r="F484">
        <v>29</v>
      </c>
      <c r="G484" t="s">
        <v>26</v>
      </c>
      <c r="H484">
        <v>2.6</v>
      </c>
      <c r="I484">
        <v>191</v>
      </c>
      <c r="J484" t="s">
        <v>34</v>
      </c>
      <c r="L484" t="str" cm="1">
        <f t="array" ref="L484">_xlfn.IFS(H484&lt;=2,"bad",H484&lt;=2.5,"neutral",H484&gt;2.5,"good")</f>
        <v>good</v>
      </c>
      <c r="M484" t="str" cm="1">
        <f t="array" ref="M484">_xlfn.IFS(F484&lt;30,"short",F484&lt;90,"medium",F484&lt;180,"long",F484&gt;180,"very long")</f>
        <v>short</v>
      </c>
      <c r="N484" t="str">
        <f>LEFT(Table1[[#This Row],[Activity_Type]],3)</f>
        <v>Boa</v>
      </c>
      <c r="O484" t="str">
        <f>UPPER(Table1[[#This Row],[Column2]])</f>
        <v>REDDY</v>
      </c>
      <c r="P484">
        <f>LEN(Table1[[#This Row],[Visitor_Name]])</f>
        <v>6</v>
      </c>
      <c r="S484">
        <f>ROUND(Table1[[#This Row],[Rating]],0)</f>
        <v>3</v>
      </c>
      <c r="T484" t="s">
        <v>77</v>
      </c>
      <c r="U484" t="s">
        <v>66</v>
      </c>
      <c r="V484" s="5" t="s">
        <v>11</v>
      </c>
      <c r="W484">
        <v>174</v>
      </c>
    </row>
    <row r="485" spans="1:23" x14ac:dyDescent="0.25">
      <c r="A485">
        <v>1484</v>
      </c>
      <c r="B485" t="s">
        <v>88</v>
      </c>
      <c r="C485" t="s">
        <v>81</v>
      </c>
      <c r="D485" t="s">
        <v>18</v>
      </c>
      <c r="E485" s="1">
        <v>45608</v>
      </c>
      <c r="F485">
        <v>146</v>
      </c>
      <c r="G485" t="s">
        <v>25</v>
      </c>
      <c r="H485">
        <v>3.6</v>
      </c>
      <c r="I485">
        <v>420</v>
      </c>
      <c r="J485" t="s">
        <v>32</v>
      </c>
      <c r="L485" t="str" cm="1">
        <f t="array" ref="L485">_xlfn.IFS(H485&lt;=2,"bad",H485&lt;=2.5,"neutral",H485&gt;2.5,"good")</f>
        <v>good</v>
      </c>
      <c r="M485" t="str" cm="1">
        <f t="array" ref="M485">_xlfn.IFS(F485&lt;30,"short",F485&lt;90,"medium",F485&lt;180,"long",F485&gt;180,"very long")</f>
        <v>long</v>
      </c>
      <c r="N485" t="str">
        <f>LEFT(Table1[[#This Row],[Activity_Type]],3)</f>
        <v>Pho</v>
      </c>
      <c r="O485" t="str">
        <f>UPPER(Table1[[#This Row],[Column2]])</f>
        <v>PATEL</v>
      </c>
      <c r="P485">
        <f>LEN(Table1[[#This Row],[Visitor_Name]])</f>
        <v>6</v>
      </c>
      <c r="S485">
        <f>ROUND(Table1[[#This Row],[Rating]],0)</f>
        <v>4</v>
      </c>
      <c r="T485" t="s">
        <v>69</v>
      </c>
      <c r="U485" t="s">
        <v>67</v>
      </c>
      <c r="V485" s="5" t="s">
        <v>11</v>
      </c>
      <c r="W485">
        <v>190</v>
      </c>
    </row>
    <row r="486" spans="1:23" x14ac:dyDescent="0.25">
      <c r="A486">
        <v>1485</v>
      </c>
      <c r="B486" t="s">
        <v>79</v>
      </c>
      <c r="C486" t="s">
        <v>98</v>
      </c>
      <c r="D486" t="s">
        <v>20</v>
      </c>
      <c r="E486" s="1">
        <v>45409</v>
      </c>
      <c r="F486">
        <v>162</v>
      </c>
      <c r="G486" t="s">
        <v>27</v>
      </c>
      <c r="H486">
        <v>4</v>
      </c>
      <c r="I486">
        <v>281</v>
      </c>
      <c r="J486" t="s">
        <v>29</v>
      </c>
      <c r="L486" t="str" cm="1">
        <f t="array" ref="L486">_xlfn.IFS(H486&lt;=2,"bad",H486&lt;=2.5,"neutral",H486&gt;2.5,"good")</f>
        <v>good</v>
      </c>
      <c r="M486" t="str" cm="1">
        <f t="array" ref="M486">_xlfn.IFS(F486&lt;30,"short",F486&lt;90,"medium",F486&lt;180,"long",F486&gt;180,"very long")</f>
        <v>long</v>
      </c>
      <c r="N486" t="str">
        <f>LEFT(Table1[[#This Row],[Activity_Type]],3)</f>
        <v>Hik</v>
      </c>
      <c r="O486" t="str">
        <f>UPPER(Table1[[#This Row],[Column2]])</f>
        <v>REDDY</v>
      </c>
      <c r="P486">
        <f>LEN(Table1[[#This Row],[Visitor_Name]])</f>
        <v>5</v>
      </c>
      <c r="S486">
        <f>ROUND(Table1[[#This Row],[Rating]],0)</f>
        <v>4</v>
      </c>
      <c r="T486" t="s">
        <v>77</v>
      </c>
      <c r="U486" t="s">
        <v>58</v>
      </c>
      <c r="V486" s="5" t="s">
        <v>13</v>
      </c>
      <c r="W486">
        <v>194</v>
      </c>
    </row>
    <row r="487" spans="1:23" x14ac:dyDescent="0.25">
      <c r="A487">
        <v>1486</v>
      </c>
      <c r="B487" t="s">
        <v>91</v>
      </c>
      <c r="C487" t="s">
        <v>85</v>
      </c>
      <c r="D487" t="s">
        <v>21</v>
      </c>
      <c r="E487" s="1">
        <v>45425</v>
      </c>
      <c r="F487">
        <v>223</v>
      </c>
      <c r="G487" t="s">
        <v>24</v>
      </c>
      <c r="H487">
        <v>3.1</v>
      </c>
      <c r="I487">
        <v>388</v>
      </c>
      <c r="J487" t="s">
        <v>28</v>
      </c>
      <c r="L487" t="str" cm="1">
        <f t="array" ref="L487">_xlfn.IFS(H487&lt;=2,"bad",H487&lt;=2.5,"neutral",H487&gt;2.5,"good")</f>
        <v>good</v>
      </c>
      <c r="M487" t="str" cm="1">
        <f t="array" ref="M487">_xlfn.IFS(F487&lt;30,"short",F487&lt;90,"medium",F487&lt;180,"long",F487&gt;180,"very long")</f>
        <v>very long</v>
      </c>
      <c r="N487" t="str">
        <f>LEFT(Table1[[#This Row],[Activity_Type]],3)</f>
        <v>Bir</v>
      </c>
      <c r="O487" t="str">
        <f>UPPER(Table1[[#This Row],[Column2]])</f>
        <v>DAS</v>
      </c>
      <c r="P487">
        <f>LEN(Table1[[#This Row],[Visitor_Name]])</f>
        <v>5</v>
      </c>
      <c r="S487">
        <f>ROUND(Table1[[#This Row],[Rating]],0)</f>
        <v>3</v>
      </c>
      <c r="T487" t="s">
        <v>71</v>
      </c>
      <c r="U487" t="s">
        <v>61</v>
      </c>
      <c r="V487" s="5" t="s">
        <v>17</v>
      </c>
      <c r="W487">
        <v>197</v>
      </c>
    </row>
    <row r="488" spans="1:23" x14ac:dyDescent="0.25">
      <c r="A488">
        <v>1487</v>
      </c>
      <c r="B488" t="s">
        <v>84</v>
      </c>
      <c r="C488" t="s">
        <v>95</v>
      </c>
      <c r="D488" t="s">
        <v>22</v>
      </c>
      <c r="E488" s="1">
        <v>45382</v>
      </c>
      <c r="F488">
        <v>129</v>
      </c>
      <c r="G488" t="s">
        <v>27</v>
      </c>
      <c r="H488">
        <v>4.4000000000000004</v>
      </c>
      <c r="I488">
        <v>411</v>
      </c>
      <c r="J488" t="s">
        <v>28</v>
      </c>
      <c r="L488" t="str" cm="1">
        <f t="array" ref="L488">_xlfn.IFS(H488&lt;=2,"bad",H488&lt;=2.5,"neutral",H488&gt;2.5,"good")</f>
        <v>good</v>
      </c>
      <c r="M488" t="str" cm="1">
        <f t="array" ref="M488">_xlfn.IFS(F488&lt;30,"short",F488&lt;90,"medium",F488&lt;180,"long",F488&gt;180,"very long")</f>
        <v>long</v>
      </c>
      <c r="N488" t="str">
        <f>LEFT(Table1[[#This Row],[Activity_Type]],3)</f>
        <v>Cam</v>
      </c>
      <c r="O488" t="str">
        <f>UPPER(Table1[[#This Row],[Column2]])</f>
        <v>SINGH</v>
      </c>
      <c r="P488">
        <f>LEN(Table1[[#This Row],[Visitor_Name]])</f>
        <v>5</v>
      </c>
      <c r="S488">
        <f>ROUND(Table1[[#This Row],[Rating]],0)</f>
        <v>4</v>
      </c>
      <c r="T488" t="s">
        <v>75</v>
      </c>
      <c r="U488" t="s">
        <v>63</v>
      </c>
      <c r="V488" s="5" t="s">
        <v>17</v>
      </c>
      <c r="W488">
        <v>204</v>
      </c>
    </row>
    <row r="489" spans="1:23" x14ac:dyDescent="0.25">
      <c r="A489">
        <v>1488</v>
      </c>
      <c r="B489" t="s">
        <v>90</v>
      </c>
      <c r="C489" t="s">
        <v>83</v>
      </c>
      <c r="D489" t="s">
        <v>20</v>
      </c>
      <c r="E489" s="1">
        <v>45414</v>
      </c>
      <c r="F489">
        <v>149</v>
      </c>
      <c r="G489" t="s">
        <v>25</v>
      </c>
      <c r="H489">
        <v>3.7</v>
      </c>
      <c r="I489">
        <v>394</v>
      </c>
      <c r="J489" t="s">
        <v>34</v>
      </c>
      <c r="L489" t="str" cm="1">
        <f t="array" ref="L489">_xlfn.IFS(H489&lt;=2,"bad",H489&lt;=2.5,"neutral",H489&gt;2.5,"good")</f>
        <v>good</v>
      </c>
      <c r="M489" t="str" cm="1">
        <f t="array" ref="M489">_xlfn.IFS(F489&lt;30,"short",F489&lt;90,"medium",F489&lt;180,"long",F489&gt;180,"very long")</f>
        <v>long</v>
      </c>
      <c r="N489" t="str">
        <f>LEFT(Table1[[#This Row],[Activity_Type]],3)</f>
        <v>Hik</v>
      </c>
      <c r="O489" t="str">
        <f>UPPER(Table1[[#This Row],[Column2]])</f>
        <v>NAIR</v>
      </c>
      <c r="P489">
        <f>LEN(Table1[[#This Row],[Visitor_Name]])</f>
        <v>5</v>
      </c>
      <c r="S489">
        <f>ROUND(Table1[[#This Row],[Rating]],0)</f>
        <v>4</v>
      </c>
      <c r="T489" t="s">
        <v>70</v>
      </c>
      <c r="U489" t="s">
        <v>60</v>
      </c>
      <c r="V489" s="5" t="s">
        <v>15</v>
      </c>
      <c r="W489">
        <v>214</v>
      </c>
    </row>
    <row r="490" spans="1:23" x14ac:dyDescent="0.25">
      <c r="A490">
        <v>1489</v>
      </c>
      <c r="B490" t="s">
        <v>88</v>
      </c>
      <c r="C490" t="s">
        <v>87</v>
      </c>
      <c r="D490" t="s">
        <v>18</v>
      </c>
      <c r="E490" s="1">
        <v>45617</v>
      </c>
      <c r="F490">
        <v>57</v>
      </c>
      <c r="G490" t="s">
        <v>24</v>
      </c>
      <c r="H490">
        <v>4</v>
      </c>
      <c r="I490">
        <v>129</v>
      </c>
      <c r="J490" t="s">
        <v>29</v>
      </c>
      <c r="L490" t="str" cm="1">
        <f t="array" ref="L490">_xlfn.IFS(H490&lt;=2,"bad",H490&lt;=2.5,"neutral",H490&gt;2.5,"good")</f>
        <v>good</v>
      </c>
      <c r="M490" t="str" cm="1">
        <f t="array" ref="M490">_xlfn.IFS(F490&lt;30,"short",F490&lt;90,"medium",F490&lt;180,"long",F490&gt;180,"very long")</f>
        <v>medium</v>
      </c>
      <c r="N490" t="str">
        <f>LEFT(Table1[[#This Row],[Activity_Type]],3)</f>
        <v>Pho</v>
      </c>
      <c r="O490" t="str">
        <f>UPPER(Table1[[#This Row],[Column2]])</f>
        <v>VERMA</v>
      </c>
      <c r="P490">
        <f>LEN(Table1[[#This Row],[Visitor_Name]])</f>
        <v>6</v>
      </c>
      <c r="S490">
        <f>ROUND(Table1[[#This Row],[Rating]],0)</f>
        <v>4</v>
      </c>
      <c r="T490" t="s">
        <v>72</v>
      </c>
      <c r="U490" t="s">
        <v>67</v>
      </c>
      <c r="V490" s="5" t="s">
        <v>12</v>
      </c>
      <c r="W490">
        <v>217</v>
      </c>
    </row>
    <row r="491" spans="1:23" x14ac:dyDescent="0.25">
      <c r="A491">
        <v>1490</v>
      </c>
      <c r="B491" t="s">
        <v>79</v>
      </c>
      <c r="C491" t="s">
        <v>87</v>
      </c>
      <c r="D491" t="s">
        <v>19</v>
      </c>
      <c r="E491" s="1">
        <v>45617</v>
      </c>
      <c r="F491">
        <v>126</v>
      </c>
      <c r="G491" t="s">
        <v>27</v>
      </c>
      <c r="H491">
        <v>3.9</v>
      </c>
      <c r="I491">
        <v>292</v>
      </c>
      <c r="J491" t="s">
        <v>33</v>
      </c>
      <c r="L491" t="str" cm="1">
        <f t="array" ref="L491">_xlfn.IFS(H491&lt;=2,"bad",H491&lt;=2.5,"neutral",H491&gt;2.5,"good")</f>
        <v>good</v>
      </c>
      <c r="M491" t="str" cm="1">
        <f t="array" ref="M491">_xlfn.IFS(F491&lt;30,"short",F491&lt;90,"medium",F491&lt;180,"long",F491&gt;180,"very long")</f>
        <v>long</v>
      </c>
      <c r="N491" t="str">
        <f>LEFT(Table1[[#This Row],[Activity_Type]],3)</f>
        <v>Saf</v>
      </c>
      <c r="O491" t="str">
        <f>UPPER(Table1[[#This Row],[Column2]])</f>
        <v>VERMA</v>
      </c>
      <c r="P491">
        <f>LEN(Table1[[#This Row],[Visitor_Name]])</f>
        <v>5</v>
      </c>
      <c r="S491">
        <f>ROUND(Table1[[#This Row],[Rating]],0)</f>
        <v>4</v>
      </c>
      <c r="T491" t="s">
        <v>72</v>
      </c>
      <c r="U491" t="s">
        <v>58</v>
      </c>
      <c r="V491" s="5" t="s">
        <v>16</v>
      </c>
      <c r="W491">
        <v>223</v>
      </c>
    </row>
    <row r="492" spans="1:23" x14ac:dyDescent="0.25">
      <c r="A492">
        <v>1491</v>
      </c>
      <c r="B492" t="s">
        <v>94</v>
      </c>
      <c r="C492" t="s">
        <v>89</v>
      </c>
      <c r="D492" t="s">
        <v>20</v>
      </c>
      <c r="E492" s="1">
        <v>45500</v>
      </c>
      <c r="F492">
        <v>48</v>
      </c>
      <c r="G492" t="s">
        <v>25</v>
      </c>
      <c r="H492">
        <v>4.8</v>
      </c>
      <c r="I492">
        <v>109</v>
      </c>
      <c r="J492" t="s">
        <v>35</v>
      </c>
      <c r="L492" t="str" cm="1">
        <f t="array" ref="L492">_xlfn.IFS(H492&lt;=2,"bad",H492&lt;=2.5,"neutral",H492&gt;2.5,"good")</f>
        <v>good</v>
      </c>
      <c r="M492" t="str" cm="1">
        <f t="array" ref="M492">_xlfn.IFS(F492&lt;30,"short",F492&lt;90,"medium",F492&lt;180,"long",F492&gt;180,"very long")</f>
        <v>medium</v>
      </c>
      <c r="N492" t="str">
        <f>LEFT(Table1[[#This Row],[Activity_Type]],3)</f>
        <v>Hik</v>
      </c>
      <c r="O492" t="str">
        <f>UPPER(Table1[[#This Row],[Column2]])</f>
        <v>MENON</v>
      </c>
      <c r="P492">
        <f>LEN(Table1[[#This Row],[Visitor_Name]])</f>
        <v>5</v>
      </c>
      <c r="S492">
        <f>ROUND(Table1[[#This Row],[Rating]],0)</f>
        <v>5</v>
      </c>
      <c r="T492" t="s">
        <v>73</v>
      </c>
      <c r="U492" t="s">
        <v>64</v>
      </c>
      <c r="V492" s="5" t="s">
        <v>13</v>
      </c>
      <c r="W492">
        <v>223</v>
      </c>
    </row>
    <row r="493" spans="1:23" x14ac:dyDescent="0.25">
      <c r="A493">
        <v>1492</v>
      </c>
      <c r="B493" t="s">
        <v>94</v>
      </c>
      <c r="C493" t="s">
        <v>96</v>
      </c>
      <c r="D493" t="s">
        <v>19</v>
      </c>
      <c r="E493" s="1">
        <v>45403</v>
      </c>
      <c r="F493">
        <v>141</v>
      </c>
      <c r="G493" t="s">
        <v>24</v>
      </c>
      <c r="H493">
        <v>3</v>
      </c>
      <c r="I493">
        <v>225</v>
      </c>
      <c r="J493" t="s">
        <v>36</v>
      </c>
      <c r="L493" t="str" cm="1">
        <f t="array" ref="L493">_xlfn.IFS(H493&lt;=2,"bad",H493&lt;=2.5,"neutral",H493&gt;2.5,"good")</f>
        <v>good</v>
      </c>
      <c r="M493" t="str" cm="1">
        <f t="array" ref="M493">_xlfn.IFS(F493&lt;30,"short",F493&lt;90,"medium",F493&lt;180,"long",F493&gt;180,"very long")</f>
        <v>long</v>
      </c>
      <c r="N493" t="str">
        <f>LEFT(Table1[[#This Row],[Activity_Type]],3)</f>
        <v>Saf</v>
      </c>
      <c r="O493" t="str">
        <f>UPPER(Table1[[#This Row],[Column2]])</f>
        <v>SHARMA</v>
      </c>
      <c r="P493">
        <f>LEN(Table1[[#This Row],[Visitor_Name]])</f>
        <v>5</v>
      </c>
      <c r="S493">
        <f>ROUND(Table1[[#This Row],[Rating]],0)</f>
        <v>3</v>
      </c>
      <c r="T493" t="s">
        <v>76</v>
      </c>
      <c r="U493" t="s">
        <v>64</v>
      </c>
      <c r="V493" s="5" t="s">
        <v>17</v>
      </c>
      <c r="W493">
        <v>225</v>
      </c>
    </row>
    <row r="494" spans="1:23" x14ac:dyDescent="0.25">
      <c r="A494">
        <v>1493</v>
      </c>
      <c r="B494" t="s">
        <v>94</v>
      </c>
      <c r="C494" t="s">
        <v>80</v>
      </c>
      <c r="D494" t="s">
        <v>21</v>
      </c>
      <c r="E494" s="1">
        <v>45360</v>
      </c>
      <c r="F494">
        <v>137</v>
      </c>
      <c r="G494" t="s">
        <v>25</v>
      </c>
      <c r="H494">
        <v>2.9</v>
      </c>
      <c r="I494">
        <v>374</v>
      </c>
      <c r="J494" t="s">
        <v>29</v>
      </c>
      <c r="L494" t="str" cm="1">
        <f t="array" ref="L494">_xlfn.IFS(H494&lt;=2,"bad",H494&lt;=2.5,"neutral",H494&gt;2.5,"good")</f>
        <v>good</v>
      </c>
      <c r="M494" t="str" cm="1">
        <f t="array" ref="M494">_xlfn.IFS(F494&lt;30,"short",F494&lt;90,"medium",F494&lt;180,"long",F494&gt;180,"very long")</f>
        <v>long</v>
      </c>
      <c r="N494" t="str">
        <f>LEFT(Table1[[#This Row],[Activity_Type]],3)</f>
        <v>Bir</v>
      </c>
      <c r="O494" t="str">
        <f>UPPER(Table1[[#This Row],[Column2]])</f>
        <v>MEHTA</v>
      </c>
      <c r="P494">
        <f>LEN(Table1[[#This Row],[Visitor_Name]])</f>
        <v>5</v>
      </c>
      <c r="S494">
        <f>ROUND(Table1[[#This Row],[Rating]],0)</f>
        <v>3</v>
      </c>
      <c r="T494" t="s">
        <v>68</v>
      </c>
      <c r="U494" t="s">
        <v>64</v>
      </c>
      <c r="V494" s="5" t="s">
        <v>12</v>
      </c>
      <c r="W494">
        <v>225</v>
      </c>
    </row>
    <row r="495" spans="1:23" x14ac:dyDescent="0.25">
      <c r="A495">
        <v>1494</v>
      </c>
      <c r="B495" t="s">
        <v>79</v>
      </c>
      <c r="C495" t="s">
        <v>87</v>
      </c>
      <c r="D495" t="s">
        <v>21</v>
      </c>
      <c r="E495" s="1">
        <v>45397</v>
      </c>
      <c r="F495">
        <v>94</v>
      </c>
      <c r="G495" t="s">
        <v>27</v>
      </c>
      <c r="H495">
        <v>4.7</v>
      </c>
      <c r="I495">
        <v>284</v>
      </c>
      <c r="J495" t="s">
        <v>37</v>
      </c>
      <c r="L495" t="str" cm="1">
        <f t="array" ref="L495">_xlfn.IFS(H495&lt;=2,"bad",H495&lt;=2.5,"neutral",H495&gt;2.5,"good")</f>
        <v>good</v>
      </c>
      <c r="M495" t="str" cm="1">
        <f t="array" ref="M495">_xlfn.IFS(F495&lt;30,"short",F495&lt;90,"medium",F495&lt;180,"long",F495&gt;180,"very long")</f>
        <v>long</v>
      </c>
      <c r="N495" t="str">
        <f>LEFT(Table1[[#This Row],[Activity_Type]],3)</f>
        <v>Bir</v>
      </c>
      <c r="O495" t="str">
        <f>UPPER(Table1[[#This Row],[Column2]])</f>
        <v>VERMA</v>
      </c>
      <c r="P495">
        <f>LEN(Table1[[#This Row],[Visitor_Name]])</f>
        <v>5</v>
      </c>
      <c r="S495">
        <f>ROUND(Table1[[#This Row],[Rating]],0)</f>
        <v>5</v>
      </c>
      <c r="T495" t="s">
        <v>72</v>
      </c>
      <c r="U495" t="s">
        <v>58</v>
      </c>
      <c r="V495" s="5" t="s">
        <v>14</v>
      </c>
      <c r="W495">
        <v>226</v>
      </c>
    </row>
    <row r="496" spans="1:23" x14ac:dyDescent="0.25">
      <c r="A496">
        <v>1495</v>
      </c>
      <c r="B496" t="s">
        <v>91</v>
      </c>
      <c r="C496" t="s">
        <v>80</v>
      </c>
      <c r="D496" t="s">
        <v>23</v>
      </c>
      <c r="E496" s="1">
        <v>45490</v>
      </c>
      <c r="F496">
        <v>52</v>
      </c>
      <c r="G496" t="s">
        <v>27</v>
      </c>
      <c r="H496">
        <v>4.5999999999999996</v>
      </c>
      <c r="I496">
        <v>474</v>
      </c>
      <c r="J496" t="s">
        <v>34</v>
      </c>
      <c r="L496" t="str" cm="1">
        <f t="array" ref="L496">_xlfn.IFS(H496&lt;=2,"bad",H496&lt;=2.5,"neutral",H496&gt;2.5,"good")</f>
        <v>good</v>
      </c>
      <c r="M496" t="str" cm="1">
        <f t="array" ref="M496">_xlfn.IFS(F496&lt;30,"short",F496&lt;90,"medium",F496&lt;180,"long",F496&gt;180,"very long")</f>
        <v>medium</v>
      </c>
      <c r="N496" t="str">
        <f>LEFT(Table1[[#This Row],[Activity_Type]],3)</f>
        <v>Boa</v>
      </c>
      <c r="O496" t="str">
        <f>UPPER(Table1[[#This Row],[Column2]])</f>
        <v>MEHTA</v>
      </c>
      <c r="P496">
        <f>LEN(Table1[[#This Row],[Visitor_Name]])</f>
        <v>5</v>
      </c>
      <c r="S496">
        <f>ROUND(Table1[[#This Row],[Rating]],0)</f>
        <v>5</v>
      </c>
      <c r="T496" t="s">
        <v>68</v>
      </c>
      <c r="U496" t="s">
        <v>61</v>
      </c>
      <c r="V496" s="5" t="s">
        <v>17</v>
      </c>
      <c r="W496">
        <v>230</v>
      </c>
    </row>
    <row r="497" spans="1:23" x14ac:dyDescent="0.25">
      <c r="A497">
        <v>1496</v>
      </c>
      <c r="B497" t="s">
        <v>88</v>
      </c>
      <c r="C497" t="s">
        <v>85</v>
      </c>
      <c r="D497" t="s">
        <v>21</v>
      </c>
      <c r="E497" s="1">
        <v>45296</v>
      </c>
      <c r="F497">
        <v>109</v>
      </c>
      <c r="G497" t="s">
        <v>25</v>
      </c>
      <c r="H497">
        <v>4.5999999999999996</v>
      </c>
      <c r="I497">
        <v>386</v>
      </c>
      <c r="J497" t="s">
        <v>28</v>
      </c>
      <c r="L497" t="str" cm="1">
        <f t="array" ref="L497">_xlfn.IFS(H497&lt;=2,"bad",H497&lt;=2.5,"neutral",H497&gt;2.5,"good")</f>
        <v>good</v>
      </c>
      <c r="M497" t="str" cm="1">
        <f t="array" ref="M497">_xlfn.IFS(F497&lt;30,"short",F497&lt;90,"medium",F497&lt;180,"long",F497&gt;180,"very long")</f>
        <v>long</v>
      </c>
      <c r="N497" t="str">
        <f>LEFT(Table1[[#This Row],[Activity_Type]],3)</f>
        <v>Bir</v>
      </c>
      <c r="O497" t="str">
        <f>UPPER(Table1[[#This Row],[Column2]])</f>
        <v>DAS</v>
      </c>
      <c r="P497">
        <f>LEN(Table1[[#This Row],[Visitor_Name]])</f>
        <v>6</v>
      </c>
      <c r="S497">
        <f>ROUND(Table1[[#This Row],[Rating]],0)</f>
        <v>5</v>
      </c>
      <c r="T497" t="s">
        <v>71</v>
      </c>
      <c r="U497" t="s">
        <v>67</v>
      </c>
      <c r="V497" s="5" t="s">
        <v>10</v>
      </c>
      <c r="W497">
        <v>232</v>
      </c>
    </row>
    <row r="498" spans="1:23" x14ac:dyDescent="0.25">
      <c r="A498">
        <v>1497</v>
      </c>
      <c r="B498" t="s">
        <v>90</v>
      </c>
      <c r="C498" t="s">
        <v>96</v>
      </c>
      <c r="D498" t="s">
        <v>18</v>
      </c>
      <c r="E498" s="1">
        <v>45637</v>
      </c>
      <c r="F498">
        <v>72</v>
      </c>
      <c r="G498" t="s">
        <v>25</v>
      </c>
      <c r="H498">
        <v>2.5</v>
      </c>
      <c r="I498">
        <v>131</v>
      </c>
      <c r="J498" t="s">
        <v>28</v>
      </c>
      <c r="L498" t="str" cm="1">
        <f t="array" ref="L498">_xlfn.IFS(H498&lt;=2,"bad",H498&lt;=2.5,"neutral",H498&gt;2.5,"good")</f>
        <v>neutral</v>
      </c>
      <c r="M498" t="str" cm="1">
        <f t="array" ref="M498">_xlfn.IFS(F498&lt;30,"short",F498&lt;90,"medium",F498&lt;180,"long",F498&gt;180,"very long")</f>
        <v>medium</v>
      </c>
      <c r="N498" t="str">
        <f>LEFT(Table1[[#This Row],[Activity_Type]],3)</f>
        <v>Pho</v>
      </c>
      <c r="O498" t="str">
        <f>UPPER(Table1[[#This Row],[Column2]])</f>
        <v>SHARMA</v>
      </c>
      <c r="P498">
        <f>LEN(Table1[[#This Row],[Visitor_Name]])</f>
        <v>5</v>
      </c>
      <c r="S498">
        <f>ROUND(Table1[[#This Row],[Rating]],0)</f>
        <v>3</v>
      </c>
      <c r="T498" t="s">
        <v>76</v>
      </c>
      <c r="U498" t="s">
        <v>60</v>
      </c>
      <c r="V498" s="5" t="s">
        <v>14</v>
      </c>
      <c r="W498">
        <v>232</v>
      </c>
    </row>
    <row r="499" spans="1:23" x14ac:dyDescent="0.25">
      <c r="A499">
        <v>1498</v>
      </c>
      <c r="B499" t="s">
        <v>92</v>
      </c>
      <c r="C499" t="s">
        <v>81</v>
      </c>
      <c r="D499" t="s">
        <v>23</v>
      </c>
      <c r="E499" s="1">
        <v>45468</v>
      </c>
      <c r="F499">
        <v>232</v>
      </c>
      <c r="G499" t="s">
        <v>24</v>
      </c>
      <c r="H499">
        <v>2.9</v>
      </c>
      <c r="I499">
        <v>365</v>
      </c>
      <c r="J499" t="s">
        <v>32</v>
      </c>
      <c r="L499" t="str" cm="1">
        <f t="array" ref="L499">_xlfn.IFS(H499&lt;=2,"bad",H499&lt;=2.5,"neutral",H499&gt;2.5,"good")</f>
        <v>good</v>
      </c>
      <c r="M499" t="str" cm="1">
        <f t="array" ref="M499">_xlfn.IFS(F499&lt;30,"short",F499&lt;90,"medium",F499&lt;180,"long",F499&gt;180,"very long")</f>
        <v>very long</v>
      </c>
      <c r="N499" t="str">
        <f>LEFT(Table1[[#This Row],[Activity_Type]],3)</f>
        <v>Boa</v>
      </c>
      <c r="O499" t="str">
        <f>UPPER(Table1[[#This Row],[Column2]])</f>
        <v>PATEL</v>
      </c>
      <c r="P499">
        <f>LEN(Table1[[#This Row],[Visitor_Name]])</f>
        <v>5</v>
      </c>
      <c r="S499">
        <f>ROUND(Table1[[#This Row],[Rating]],0)</f>
        <v>3</v>
      </c>
      <c r="T499" t="s">
        <v>69</v>
      </c>
      <c r="U499" t="s">
        <v>62</v>
      </c>
      <c r="V499" s="5" t="s">
        <v>10</v>
      </c>
      <c r="W499">
        <v>238</v>
      </c>
    </row>
    <row r="500" spans="1:23" x14ac:dyDescent="0.25">
      <c r="A500">
        <v>1499</v>
      </c>
      <c r="B500" t="s">
        <v>90</v>
      </c>
      <c r="C500" t="s">
        <v>95</v>
      </c>
      <c r="D500" t="s">
        <v>20</v>
      </c>
      <c r="E500" s="1">
        <v>45351</v>
      </c>
      <c r="F500">
        <v>126</v>
      </c>
      <c r="G500" t="s">
        <v>24</v>
      </c>
      <c r="H500">
        <v>4.9000000000000004</v>
      </c>
      <c r="I500">
        <v>380</v>
      </c>
      <c r="J500" t="s">
        <v>34</v>
      </c>
      <c r="L500" t="str" cm="1">
        <f t="array" ref="L500">_xlfn.IFS(H500&lt;=2,"bad",H500&lt;=2.5,"neutral",H500&gt;2.5,"good")</f>
        <v>good</v>
      </c>
      <c r="M500" t="str" cm="1">
        <f t="array" ref="M500">_xlfn.IFS(F500&lt;30,"short",F500&lt;90,"medium",F500&lt;180,"long",F500&gt;180,"very long")</f>
        <v>long</v>
      </c>
      <c r="N500" t="str">
        <f>LEFT(Table1[[#This Row],[Activity_Type]],3)</f>
        <v>Hik</v>
      </c>
      <c r="O500" t="str">
        <f>UPPER(Table1[[#This Row],[Column2]])</f>
        <v>SINGH</v>
      </c>
      <c r="P500">
        <f>LEN(Table1[[#This Row],[Visitor_Name]])</f>
        <v>5</v>
      </c>
      <c r="S500">
        <f>ROUND(Table1[[#This Row],[Rating]],0)</f>
        <v>5</v>
      </c>
      <c r="T500" t="s">
        <v>75</v>
      </c>
      <c r="U500" t="s">
        <v>60</v>
      </c>
      <c r="V500" s="5" t="s">
        <v>15</v>
      </c>
      <c r="W500">
        <v>240</v>
      </c>
    </row>
    <row r="501" spans="1:23" x14ac:dyDescent="0.25">
      <c r="A501">
        <v>1500</v>
      </c>
      <c r="B501" t="s">
        <v>90</v>
      </c>
      <c r="C501" t="s">
        <v>80</v>
      </c>
      <c r="D501" t="s">
        <v>20</v>
      </c>
      <c r="E501" s="1">
        <v>45496</v>
      </c>
      <c r="F501">
        <v>62</v>
      </c>
      <c r="G501" t="s">
        <v>25</v>
      </c>
      <c r="H501">
        <v>2.6</v>
      </c>
      <c r="I501">
        <v>499</v>
      </c>
      <c r="J501" t="s">
        <v>28</v>
      </c>
      <c r="L501" t="str" cm="1">
        <f t="array" ref="L501">_xlfn.IFS(H501&lt;=2,"bad",H501&lt;=2.5,"neutral",H501&gt;2.5,"good")</f>
        <v>good</v>
      </c>
      <c r="M501" t="str" cm="1">
        <f t="array" ref="M501">_xlfn.IFS(F501&lt;30,"short",F501&lt;90,"medium",F501&lt;180,"long",F501&gt;180,"very long")</f>
        <v>medium</v>
      </c>
      <c r="N501" t="str">
        <f>LEFT(Table1[[#This Row],[Activity_Type]],3)</f>
        <v>Hik</v>
      </c>
      <c r="O501" t="str">
        <f>UPPER(Table1[[#This Row],[Column2]])</f>
        <v>MEHTA</v>
      </c>
      <c r="P501">
        <f>LEN(Table1[[#This Row],[Visitor_Name]])</f>
        <v>5</v>
      </c>
      <c r="S501">
        <f>ROUND(Table1[[#This Row],[Rating]],0)</f>
        <v>3</v>
      </c>
      <c r="T501" t="s">
        <v>68</v>
      </c>
      <c r="U501" t="s">
        <v>60</v>
      </c>
      <c r="V501" s="5" t="s">
        <v>15</v>
      </c>
      <c r="W501">
        <v>240</v>
      </c>
    </row>
    <row r="502" spans="1:23" x14ac:dyDescent="0.25">
      <c r="L502" t="str" cm="1">
        <f t="array" ref="L502">_xlfn.IFS(H502&lt;=2,"bad",H502&lt;=2.5,"neutral",H502&gt;2.5,"good")</f>
        <v>bad</v>
      </c>
      <c r="M502" t="str" cm="1">
        <f t="array" ref="M502">_xlfn.IFS(F502&lt;30,"short",F502&lt;90,"medium",F502&lt;180,"long",F502&gt;180,"very long")</f>
        <v>short</v>
      </c>
      <c r="N502" t="str">
        <f>LEFT(Table1[[#This Row],[Activity_Type]],3)</f>
        <v/>
      </c>
      <c r="O502" t="str">
        <f>UPPER(Table1[[#This Row],[Column2]])</f>
        <v/>
      </c>
      <c r="P502">
        <f>LEN(Table1[[#This Row],[Visitor_Name]])</f>
        <v>0</v>
      </c>
      <c r="S502">
        <f>ROUND(Table1[[#This Row],[Rating]],0)</f>
        <v>0</v>
      </c>
      <c r="V502" s="5"/>
    </row>
    <row r="503" spans="1:23" x14ac:dyDescent="0.25">
      <c r="V503" s="5"/>
    </row>
  </sheetData>
  <conditionalFormatting sqref="H2">
    <cfRule type="cellIs" dxfId="4" priority="3" operator="greaterThan">
      <formula>$H$20</formula>
    </cfRule>
    <cfRule type="cellIs" dxfId="3" priority="4" operator="greaterThan">
      <formula>$H$5</formula>
    </cfRule>
  </conditionalFormatting>
  <conditionalFormatting sqref="H2:H502">
    <cfRule type="cellIs" dxfId="2" priority="1" operator="greaterThan">
      <formula>4.5</formula>
    </cfRule>
  </conditionalFormatting>
  <conditionalFormatting sqref="H20">
    <cfRule type="cellIs" dxfId="1" priority="2" operator="greaterThan">
      <formula>4.5</formula>
    </cfRule>
  </conditionalFormatting>
  <conditionalFormatting sqref="M2">
    <cfRule type="cellIs" dxfId="0" priority="5" operator="greaterThan">
      <formula>4.5</formula>
    </cfRule>
  </conditionalFormatting>
  <dataValidations count="5">
    <dataValidation type="decimal" allowBlank="1" showInputMessage="1" showErrorMessage="1" sqref="L1:L459 L503:L1048535 L1048576" xr:uid="{61712DB2-E0FB-4E2B-9014-4C13EFB23ABA}">
      <formula1>L43</formula1>
      <formula2>L2</formula2>
    </dataValidation>
    <dataValidation type="decimal" allowBlank="1" showInputMessage="1" showErrorMessage="1" sqref="L460:L500" xr:uid="{BCAC3559-43A7-4A8E-A39A-83C0535CD5DC}">
      <formula1>L503</formula1>
      <formula2>L461</formula2>
    </dataValidation>
    <dataValidation type="decimal" allowBlank="1" showInputMessage="1" showErrorMessage="1" sqref="L1048536:L1048576" xr:uid="{685426E2-E546-46BC-9A78-BC080DFC9CD5}">
      <formula1>L1</formula1>
      <formula2>L1048537</formula2>
    </dataValidation>
    <dataValidation type="decimal" allowBlank="1" showInputMessage="1" showErrorMessage="1" sqref="L501:L502" xr:uid="{991E9F7F-5152-4C48-AF1D-1A3AB5AE765F}">
      <formula1>L544</formula1>
      <formula2>L503</formula2>
    </dataValidation>
    <dataValidation type="list" allowBlank="1" showInputMessage="1" showErrorMessage="1" sqref="F1:F1048576" xr:uid="{2BF7F7B9-0604-43BB-8CBF-C44F4287637F}">
      <formula1>"excellent,good,average,poor"</formula1>
    </dataValidation>
  </dataValidations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7F4B8F-D7D8-4249-A44A-2230770C70EF}">
  <dimension ref="A1:C501"/>
  <sheetViews>
    <sheetView workbookViewId="0">
      <pane ySplit="1" topLeftCell="A2" activePane="bottomLeft" state="frozen"/>
      <selection pane="bottomLeft" activeCell="C3" sqref="C3"/>
    </sheetView>
  </sheetViews>
  <sheetFormatPr defaultRowHeight="15" x14ac:dyDescent="0.25"/>
  <cols>
    <col min="1" max="1" width="18" customWidth="1"/>
    <col min="2" max="2" width="10.42578125" bestFit="1" customWidth="1"/>
  </cols>
  <sheetData>
    <row r="1" spans="1:3" x14ac:dyDescent="0.25">
      <c r="A1" t="s">
        <v>39</v>
      </c>
      <c r="B1" t="s">
        <v>40</v>
      </c>
    </row>
    <row r="2" spans="1:3" x14ac:dyDescent="0.25">
      <c r="A2" s="3">
        <f ca="1">NOW()</f>
        <v>45978.546743749997</v>
      </c>
      <c r="B2" s="4">
        <f ca="1">TODAY()</f>
        <v>45978</v>
      </c>
      <c r="C2">
        <f>MIN(F2:F501)</f>
        <v>0</v>
      </c>
    </row>
    <row r="3" spans="1:3" x14ac:dyDescent="0.25">
      <c r="A3" s="3">
        <f t="shared" ref="A3:A66" ca="1" si="0">NOW()</f>
        <v>45978.546743749997</v>
      </c>
      <c r="B3" s="4">
        <f t="shared" ref="B3:B66" ca="1" si="1">TODAY()</f>
        <v>45978</v>
      </c>
    </row>
    <row r="4" spans="1:3" x14ac:dyDescent="0.25">
      <c r="A4" s="3">
        <f t="shared" ca="1" si="0"/>
        <v>45978.546743749997</v>
      </c>
      <c r="B4" s="4">
        <f t="shared" ca="1" si="1"/>
        <v>45978</v>
      </c>
    </row>
    <row r="5" spans="1:3" x14ac:dyDescent="0.25">
      <c r="A5" s="3">
        <f t="shared" ca="1" si="0"/>
        <v>45978.546743749997</v>
      </c>
      <c r="B5" s="4">
        <f t="shared" ca="1" si="1"/>
        <v>45978</v>
      </c>
    </row>
    <row r="6" spans="1:3" x14ac:dyDescent="0.25">
      <c r="A6" s="3">
        <f t="shared" ca="1" si="0"/>
        <v>45978.546743749997</v>
      </c>
      <c r="B6" s="4">
        <f t="shared" ca="1" si="1"/>
        <v>45978</v>
      </c>
    </row>
    <row r="7" spans="1:3" x14ac:dyDescent="0.25">
      <c r="A7" s="3">
        <f t="shared" ca="1" si="0"/>
        <v>45978.546743749997</v>
      </c>
      <c r="B7" s="4">
        <f t="shared" ca="1" si="1"/>
        <v>45978</v>
      </c>
    </row>
    <row r="8" spans="1:3" x14ac:dyDescent="0.25">
      <c r="A8" s="3">
        <f t="shared" ca="1" si="0"/>
        <v>45978.546743749997</v>
      </c>
      <c r="B8" s="4">
        <f t="shared" ca="1" si="1"/>
        <v>45978</v>
      </c>
    </row>
    <row r="9" spans="1:3" x14ac:dyDescent="0.25">
      <c r="A9" s="3">
        <f t="shared" ca="1" si="0"/>
        <v>45978.546743749997</v>
      </c>
      <c r="B9" s="4">
        <f t="shared" ca="1" si="1"/>
        <v>45978</v>
      </c>
    </row>
    <row r="10" spans="1:3" x14ac:dyDescent="0.25">
      <c r="A10" s="3">
        <f t="shared" ca="1" si="0"/>
        <v>45978.546743749997</v>
      </c>
      <c r="B10" s="4">
        <f t="shared" ca="1" si="1"/>
        <v>45978</v>
      </c>
    </row>
    <row r="11" spans="1:3" x14ac:dyDescent="0.25">
      <c r="A11" s="3">
        <f t="shared" ca="1" si="0"/>
        <v>45978.546743749997</v>
      </c>
      <c r="B11" s="4">
        <f t="shared" ca="1" si="1"/>
        <v>45978</v>
      </c>
    </row>
    <row r="12" spans="1:3" x14ac:dyDescent="0.25">
      <c r="A12" s="3">
        <f t="shared" ca="1" si="0"/>
        <v>45978.546743749997</v>
      </c>
      <c r="B12" s="4">
        <f t="shared" ca="1" si="1"/>
        <v>45978</v>
      </c>
    </row>
    <row r="13" spans="1:3" x14ac:dyDescent="0.25">
      <c r="A13" s="3">
        <f t="shared" ca="1" si="0"/>
        <v>45978.546743749997</v>
      </c>
      <c r="B13" s="4">
        <f t="shared" ca="1" si="1"/>
        <v>45978</v>
      </c>
    </row>
    <row r="14" spans="1:3" x14ac:dyDescent="0.25">
      <c r="A14" s="3">
        <f t="shared" ca="1" si="0"/>
        <v>45978.546743749997</v>
      </c>
      <c r="B14" s="4">
        <f t="shared" ca="1" si="1"/>
        <v>45978</v>
      </c>
    </row>
    <row r="15" spans="1:3" x14ac:dyDescent="0.25">
      <c r="A15" s="3">
        <f t="shared" ca="1" si="0"/>
        <v>45978.546743749997</v>
      </c>
      <c r="B15" s="4">
        <f t="shared" ca="1" si="1"/>
        <v>45978</v>
      </c>
    </row>
    <row r="16" spans="1:3" x14ac:dyDescent="0.25">
      <c r="A16" s="3">
        <f t="shared" ca="1" si="0"/>
        <v>45978.546743749997</v>
      </c>
      <c r="B16" s="4">
        <f t="shared" ca="1" si="1"/>
        <v>45978</v>
      </c>
    </row>
    <row r="17" spans="1:2" x14ac:dyDescent="0.25">
      <c r="A17" s="3">
        <f t="shared" ca="1" si="0"/>
        <v>45978.546743749997</v>
      </c>
      <c r="B17" s="4">
        <f t="shared" ca="1" si="1"/>
        <v>45978</v>
      </c>
    </row>
    <row r="18" spans="1:2" x14ac:dyDescent="0.25">
      <c r="A18" s="3">
        <f t="shared" ca="1" si="0"/>
        <v>45978.546743749997</v>
      </c>
      <c r="B18" s="4">
        <f t="shared" ca="1" si="1"/>
        <v>45978</v>
      </c>
    </row>
    <row r="19" spans="1:2" x14ac:dyDescent="0.25">
      <c r="A19" s="3">
        <f t="shared" ca="1" si="0"/>
        <v>45978.546743749997</v>
      </c>
      <c r="B19" s="4">
        <f t="shared" ca="1" si="1"/>
        <v>45978</v>
      </c>
    </row>
    <row r="20" spans="1:2" x14ac:dyDescent="0.25">
      <c r="A20" s="3">
        <f t="shared" ca="1" si="0"/>
        <v>45978.546743749997</v>
      </c>
      <c r="B20" s="4">
        <f t="shared" ca="1" si="1"/>
        <v>45978</v>
      </c>
    </row>
    <row r="21" spans="1:2" x14ac:dyDescent="0.25">
      <c r="A21" s="3">
        <f t="shared" ca="1" si="0"/>
        <v>45978.546743749997</v>
      </c>
      <c r="B21" s="4">
        <f t="shared" ca="1" si="1"/>
        <v>45978</v>
      </c>
    </row>
    <row r="22" spans="1:2" x14ac:dyDescent="0.25">
      <c r="A22" s="3">
        <f t="shared" ca="1" si="0"/>
        <v>45978.546743749997</v>
      </c>
      <c r="B22" s="4">
        <f t="shared" ca="1" si="1"/>
        <v>45978</v>
      </c>
    </row>
    <row r="23" spans="1:2" x14ac:dyDescent="0.25">
      <c r="A23" s="3">
        <f t="shared" ca="1" si="0"/>
        <v>45978.546743749997</v>
      </c>
      <c r="B23" s="4">
        <f t="shared" ca="1" si="1"/>
        <v>45978</v>
      </c>
    </row>
    <row r="24" spans="1:2" x14ac:dyDescent="0.25">
      <c r="A24" s="3">
        <f t="shared" ca="1" si="0"/>
        <v>45978.546743749997</v>
      </c>
      <c r="B24" s="4">
        <f t="shared" ca="1" si="1"/>
        <v>45978</v>
      </c>
    </row>
    <row r="25" spans="1:2" x14ac:dyDescent="0.25">
      <c r="A25" s="3">
        <f t="shared" ca="1" si="0"/>
        <v>45978.546743749997</v>
      </c>
      <c r="B25" s="4">
        <f t="shared" ca="1" si="1"/>
        <v>45978</v>
      </c>
    </row>
    <row r="26" spans="1:2" x14ac:dyDescent="0.25">
      <c r="A26" s="3">
        <f t="shared" ca="1" si="0"/>
        <v>45978.546743749997</v>
      </c>
      <c r="B26" s="4">
        <f t="shared" ca="1" si="1"/>
        <v>45978</v>
      </c>
    </row>
    <row r="27" spans="1:2" x14ac:dyDescent="0.25">
      <c r="A27" s="3">
        <f t="shared" ca="1" si="0"/>
        <v>45978.546743749997</v>
      </c>
      <c r="B27" s="4">
        <f t="shared" ca="1" si="1"/>
        <v>45978</v>
      </c>
    </row>
    <row r="28" spans="1:2" x14ac:dyDescent="0.25">
      <c r="A28" s="3">
        <f t="shared" ca="1" si="0"/>
        <v>45978.546743749997</v>
      </c>
      <c r="B28" s="4">
        <f t="shared" ca="1" si="1"/>
        <v>45978</v>
      </c>
    </row>
    <row r="29" spans="1:2" x14ac:dyDescent="0.25">
      <c r="A29" s="3">
        <f t="shared" ca="1" si="0"/>
        <v>45978.546743749997</v>
      </c>
      <c r="B29" s="4">
        <f t="shared" ca="1" si="1"/>
        <v>45978</v>
      </c>
    </row>
    <row r="30" spans="1:2" x14ac:dyDescent="0.25">
      <c r="A30" s="3">
        <f t="shared" ca="1" si="0"/>
        <v>45978.546743749997</v>
      </c>
      <c r="B30" s="4">
        <f t="shared" ca="1" si="1"/>
        <v>45978</v>
      </c>
    </row>
    <row r="31" spans="1:2" x14ac:dyDescent="0.25">
      <c r="A31" s="3">
        <f t="shared" ca="1" si="0"/>
        <v>45978.546743749997</v>
      </c>
      <c r="B31" s="4">
        <f t="shared" ca="1" si="1"/>
        <v>45978</v>
      </c>
    </row>
    <row r="32" spans="1:2" x14ac:dyDescent="0.25">
      <c r="A32" s="3">
        <f t="shared" ca="1" si="0"/>
        <v>45978.546743749997</v>
      </c>
      <c r="B32" s="4">
        <f t="shared" ca="1" si="1"/>
        <v>45978</v>
      </c>
    </row>
    <row r="33" spans="1:2" x14ac:dyDescent="0.25">
      <c r="A33" s="3">
        <f t="shared" ca="1" si="0"/>
        <v>45978.546743749997</v>
      </c>
      <c r="B33" s="4">
        <f t="shared" ca="1" si="1"/>
        <v>45978</v>
      </c>
    </row>
    <row r="34" spans="1:2" x14ac:dyDescent="0.25">
      <c r="A34" s="3">
        <f t="shared" ca="1" si="0"/>
        <v>45978.546743749997</v>
      </c>
      <c r="B34" s="4">
        <f t="shared" ca="1" si="1"/>
        <v>45978</v>
      </c>
    </row>
    <row r="35" spans="1:2" x14ac:dyDescent="0.25">
      <c r="A35" s="3">
        <f t="shared" ca="1" si="0"/>
        <v>45978.546743749997</v>
      </c>
      <c r="B35" s="4">
        <f t="shared" ca="1" si="1"/>
        <v>45978</v>
      </c>
    </row>
    <row r="36" spans="1:2" x14ac:dyDescent="0.25">
      <c r="A36" s="3">
        <f t="shared" ca="1" si="0"/>
        <v>45978.546743749997</v>
      </c>
      <c r="B36" s="4">
        <f t="shared" ca="1" si="1"/>
        <v>45978</v>
      </c>
    </row>
    <row r="37" spans="1:2" x14ac:dyDescent="0.25">
      <c r="A37" s="3">
        <f t="shared" ca="1" si="0"/>
        <v>45978.546743749997</v>
      </c>
      <c r="B37" s="4">
        <f t="shared" ca="1" si="1"/>
        <v>45978</v>
      </c>
    </row>
    <row r="38" spans="1:2" x14ac:dyDescent="0.25">
      <c r="A38" s="3">
        <f t="shared" ca="1" si="0"/>
        <v>45978.546743749997</v>
      </c>
      <c r="B38" s="4">
        <f t="shared" ca="1" si="1"/>
        <v>45978</v>
      </c>
    </row>
    <row r="39" spans="1:2" x14ac:dyDescent="0.25">
      <c r="A39" s="3">
        <f t="shared" ca="1" si="0"/>
        <v>45978.546743749997</v>
      </c>
      <c r="B39" s="4">
        <f t="shared" ca="1" si="1"/>
        <v>45978</v>
      </c>
    </row>
    <row r="40" spans="1:2" x14ac:dyDescent="0.25">
      <c r="A40" s="3">
        <f t="shared" ca="1" si="0"/>
        <v>45978.546743749997</v>
      </c>
      <c r="B40" s="4">
        <f t="shared" ca="1" si="1"/>
        <v>45978</v>
      </c>
    </row>
    <row r="41" spans="1:2" x14ac:dyDescent="0.25">
      <c r="A41" s="3">
        <f t="shared" ca="1" si="0"/>
        <v>45978.546743749997</v>
      </c>
      <c r="B41" s="4">
        <f t="shared" ca="1" si="1"/>
        <v>45978</v>
      </c>
    </row>
    <row r="42" spans="1:2" x14ac:dyDescent="0.25">
      <c r="A42" s="3">
        <f t="shared" ca="1" si="0"/>
        <v>45978.546743749997</v>
      </c>
      <c r="B42" s="4">
        <f t="shared" ca="1" si="1"/>
        <v>45978</v>
      </c>
    </row>
    <row r="43" spans="1:2" x14ac:dyDescent="0.25">
      <c r="A43" s="3">
        <f t="shared" ca="1" si="0"/>
        <v>45978.546743749997</v>
      </c>
      <c r="B43" s="4">
        <f t="shared" ca="1" si="1"/>
        <v>45978</v>
      </c>
    </row>
    <row r="44" spans="1:2" x14ac:dyDescent="0.25">
      <c r="A44" s="3">
        <f t="shared" ca="1" si="0"/>
        <v>45978.546743749997</v>
      </c>
      <c r="B44" s="4">
        <f t="shared" ca="1" si="1"/>
        <v>45978</v>
      </c>
    </row>
    <row r="45" spans="1:2" x14ac:dyDescent="0.25">
      <c r="A45" s="3">
        <f t="shared" ca="1" si="0"/>
        <v>45978.546743749997</v>
      </c>
      <c r="B45" s="4">
        <f t="shared" ca="1" si="1"/>
        <v>45978</v>
      </c>
    </row>
    <row r="46" spans="1:2" x14ac:dyDescent="0.25">
      <c r="A46" s="3">
        <f t="shared" ca="1" si="0"/>
        <v>45978.546743749997</v>
      </c>
      <c r="B46" s="4">
        <f t="shared" ca="1" si="1"/>
        <v>45978</v>
      </c>
    </row>
    <row r="47" spans="1:2" x14ac:dyDescent="0.25">
      <c r="A47" s="3">
        <f t="shared" ca="1" si="0"/>
        <v>45978.546743749997</v>
      </c>
      <c r="B47" s="4">
        <f t="shared" ca="1" si="1"/>
        <v>45978</v>
      </c>
    </row>
    <row r="48" spans="1:2" x14ac:dyDescent="0.25">
      <c r="A48" s="3">
        <f t="shared" ca="1" si="0"/>
        <v>45978.546743749997</v>
      </c>
      <c r="B48" s="4">
        <f t="shared" ca="1" si="1"/>
        <v>45978</v>
      </c>
    </row>
    <row r="49" spans="1:2" x14ac:dyDescent="0.25">
      <c r="A49" s="3">
        <f t="shared" ca="1" si="0"/>
        <v>45978.546743749997</v>
      </c>
      <c r="B49" s="4">
        <f t="shared" ca="1" si="1"/>
        <v>45978</v>
      </c>
    </row>
    <row r="50" spans="1:2" x14ac:dyDescent="0.25">
      <c r="A50" s="3">
        <f t="shared" ca="1" si="0"/>
        <v>45978.546743749997</v>
      </c>
      <c r="B50" s="4">
        <f t="shared" ca="1" si="1"/>
        <v>45978</v>
      </c>
    </row>
    <row r="51" spans="1:2" x14ac:dyDescent="0.25">
      <c r="A51" s="3">
        <f t="shared" ca="1" si="0"/>
        <v>45978.546743749997</v>
      </c>
      <c r="B51" s="4">
        <f t="shared" ca="1" si="1"/>
        <v>45978</v>
      </c>
    </row>
    <row r="52" spans="1:2" x14ac:dyDescent="0.25">
      <c r="A52" s="3">
        <f t="shared" ca="1" si="0"/>
        <v>45978.546743749997</v>
      </c>
      <c r="B52" s="4">
        <f t="shared" ca="1" si="1"/>
        <v>45978</v>
      </c>
    </row>
    <row r="53" spans="1:2" x14ac:dyDescent="0.25">
      <c r="A53" s="3">
        <f t="shared" ca="1" si="0"/>
        <v>45978.546743749997</v>
      </c>
      <c r="B53" s="4">
        <f t="shared" ca="1" si="1"/>
        <v>45978</v>
      </c>
    </row>
    <row r="54" spans="1:2" x14ac:dyDescent="0.25">
      <c r="A54" s="3">
        <f t="shared" ca="1" si="0"/>
        <v>45978.546743749997</v>
      </c>
      <c r="B54" s="4">
        <f t="shared" ca="1" si="1"/>
        <v>45978</v>
      </c>
    </row>
    <row r="55" spans="1:2" x14ac:dyDescent="0.25">
      <c r="A55" s="3">
        <f t="shared" ca="1" si="0"/>
        <v>45978.546743749997</v>
      </c>
      <c r="B55" s="4">
        <f t="shared" ca="1" si="1"/>
        <v>45978</v>
      </c>
    </row>
    <row r="56" spans="1:2" x14ac:dyDescent="0.25">
      <c r="A56" s="3">
        <f t="shared" ca="1" si="0"/>
        <v>45978.546743749997</v>
      </c>
      <c r="B56" s="4">
        <f t="shared" ca="1" si="1"/>
        <v>45978</v>
      </c>
    </row>
    <row r="57" spans="1:2" x14ac:dyDescent="0.25">
      <c r="A57" s="3">
        <f t="shared" ca="1" si="0"/>
        <v>45978.546743749997</v>
      </c>
      <c r="B57" s="4">
        <f t="shared" ca="1" si="1"/>
        <v>45978</v>
      </c>
    </row>
    <row r="58" spans="1:2" x14ac:dyDescent="0.25">
      <c r="A58" s="3">
        <f t="shared" ca="1" si="0"/>
        <v>45978.546743749997</v>
      </c>
      <c r="B58" s="4">
        <f t="shared" ca="1" si="1"/>
        <v>45978</v>
      </c>
    </row>
    <row r="59" spans="1:2" x14ac:dyDescent="0.25">
      <c r="A59" s="3">
        <f t="shared" ca="1" si="0"/>
        <v>45978.546743749997</v>
      </c>
      <c r="B59" s="4">
        <f t="shared" ca="1" si="1"/>
        <v>45978</v>
      </c>
    </row>
    <row r="60" spans="1:2" x14ac:dyDescent="0.25">
      <c r="A60" s="3">
        <f t="shared" ca="1" si="0"/>
        <v>45978.546743749997</v>
      </c>
      <c r="B60" s="4">
        <f t="shared" ca="1" si="1"/>
        <v>45978</v>
      </c>
    </row>
    <row r="61" spans="1:2" x14ac:dyDescent="0.25">
      <c r="A61" s="3">
        <f t="shared" ca="1" si="0"/>
        <v>45978.546743749997</v>
      </c>
      <c r="B61" s="4">
        <f t="shared" ca="1" si="1"/>
        <v>45978</v>
      </c>
    </row>
    <row r="62" spans="1:2" x14ac:dyDescent="0.25">
      <c r="A62" s="3">
        <f t="shared" ca="1" si="0"/>
        <v>45978.546743749997</v>
      </c>
      <c r="B62" s="4">
        <f t="shared" ca="1" si="1"/>
        <v>45978</v>
      </c>
    </row>
    <row r="63" spans="1:2" x14ac:dyDescent="0.25">
      <c r="A63" s="3">
        <f t="shared" ca="1" si="0"/>
        <v>45978.546743749997</v>
      </c>
      <c r="B63" s="4">
        <f t="shared" ca="1" si="1"/>
        <v>45978</v>
      </c>
    </row>
    <row r="64" spans="1:2" x14ac:dyDescent="0.25">
      <c r="A64" s="3">
        <f t="shared" ca="1" si="0"/>
        <v>45978.546743749997</v>
      </c>
      <c r="B64" s="4">
        <f t="shared" ca="1" si="1"/>
        <v>45978</v>
      </c>
    </row>
    <row r="65" spans="1:2" x14ac:dyDescent="0.25">
      <c r="A65" s="3">
        <f t="shared" ca="1" si="0"/>
        <v>45978.546743749997</v>
      </c>
      <c r="B65" s="4">
        <f t="shared" ca="1" si="1"/>
        <v>45978</v>
      </c>
    </row>
    <row r="66" spans="1:2" x14ac:dyDescent="0.25">
      <c r="A66" s="3">
        <f t="shared" ca="1" si="0"/>
        <v>45978.546743749997</v>
      </c>
      <c r="B66" s="4">
        <f t="shared" ca="1" si="1"/>
        <v>45978</v>
      </c>
    </row>
    <row r="67" spans="1:2" x14ac:dyDescent="0.25">
      <c r="A67" s="3">
        <f t="shared" ref="A67:A130" ca="1" si="2">NOW()</f>
        <v>45978.546743749997</v>
      </c>
      <c r="B67" s="4">
        <f t="shared" ref="B67:B130" ca="1" si="3">TODAY()</f>
        <v>45978</v>
      </c>
    </row>
    <row r="68" spans="1:2" x14ac:dyDescent="0.25">
      <c r="A68" s="3">
        <f t="shared" ca="1" si="2"/>
        <v>45978.546743749997</v>
      </c>
      <c r="B68" s="4">
        <f t="shared" ca="1" si="3"/>
        <v>45978</v>
      </c>
    </row>
    <row r="69" spans="1:2" x14ac:dyDescent="0.25">
      <c r="A69" s="3">
        <f t="shared" ca="1" si="2"/>
        <v>45978.546743749997</v>
      </c>
      <c r="B69" s="4">
        <f t="shared" ca="1" si="3"/>
        <v>45978</v>
      </c>
    </row>
    <row r="70" spans="1:2" x14ac:dyDescent="0.25">
      <c r="A70" s="3">
        <f t="shared" ca="1" si="2"/>
        <v>45978.546743749997</v>
      </c>
      <c r="B70" s="4">
        <f t="shared" ca="1" si="3"/>
        <v>45978</v>
      </c>
    </row>
    <row r="71" spans="1:2" x14ac:dyDescent="0.25">
      <c r="A71" s="3">
        <f t="shared" ca="1" si="2"/>
        <v>45978.546743749997</v>
      </c>
      <c r="B71" s="4">
        <f t="shared" ca="1" si="3"/>
        <v>45978</v>
      </c>
    </row>
    <row r="72" spans="1:2" x14ac:dyDescent="0.25">
      <c r="A72" s="3">
        <f t="shared" ca="1" si="2"/>
        <v>45978.546743749997</v>
      </c>
      <c r="B72" s="4">
        <f t="shared" ca="1" si="3"/>
        <v>45978</v>
      </c>
    </row>
    <row r="73" spans="1:2" x14ac:dyDescent="0.25">
      <c r="A73" s="3">
        <f t="shared" ca="1" si="2"/>
        <v>45978.546743749997</v>
      </c>
      <c r="B73" s="4">
        <f t="shared" ca="1" si="3"/>
        <v>45978</v>
      </c>
    </row>
    <row r="74" spans="1:2" x14ac:dyDescent="0.25">
      <c r="A74" s="3">
        <f t="shared" ca="1" si="2"/>
        <v>45978.546743749997</v>
      </c>
      <c r="B74" s="4">
        <f t="shared" ca="1" si="3"/>
        <v>45978</v>
      </c>
    </row>
    <row r="75" spans="1:2" x14ac:dyDescent="0.25">
      <c r="A75" s="3">
        <f t="shared" ca="1" si="2"/>
        <v>45978.546743749997</v>
      </c>
      <c r="B75" s="4">
        <f t="shared" ca="1" si="3"/>
        <v>45978</v>
      </c>
    </row>
    <row r="76" spans="1:2" x14ac:dyDescent="0.25">
      <c r="A76" s="3">
        <f t="shared" ca="1" si="2"/>
        <v>45978.546743749997</v>
      </c>
      <c r="B76" s="4">
        <f t="shared" ca="1" si="3"/>
        <v>45978</v>
      </c>
    </row>
    <row r="77" spans="1:2" x14ac:dyDescent="0.25">
      <c r="A77" s="3">
        <f t="shared" ca="1" si="2"/>
        <v>45978.546743749997</v>
      </c>
      <c r="B77" s="4">
        <f t="shared" ca="1" si="3"/>
        <v>45978</v>
      </c>
    </row>
    <row r="78" spans="1:2" x14ac:dyDescent="0.25">
      <c r="A78" s="3">
        <f t="shared" ca="1" si="2"/>
        <v>45978.546743749997</v>
      </c>
      <c r="B78" s="4">
        <f t="shared" ca="1" si="3"/>
        <v>45978</v>
      </c>
    </row>
    <row r="79" spans="1:2" x14ac:dyDescent="0.25">
      <c r="A79" s="3">
        <f t="shared" ca="1" si="2"/>
        <v>45978.546743749997</v>
      </c>
      <c r="B79" s="4">
        <f t="shared" ca="1" si="3"/>
        <v>45978</v>
      </c>
    </row>
    <row r="80" spans="1:2" x14ac:dyDescent="0.25">
      <c r="A80" s="3">
        <f t="shared" ca="1" si="2"/>
        <v>45978.546743749997</v>
      </c>
      <c r="B80" s="4">
        <f t="shared" ca="1" si="3"/>
        <v>45978</v>
      </c>
    </row>
    <row r="81" spans="1:2" x14ac:dyDescent="0.25">
      <c r="A81" s="3">
        <f t="shared" ca="1" si="2"/>
        <v>45978.546743749997</v>
      </c>
      <c r="B81" s="4">
        <f t="shared" ca="1" si="3"/>
        <v>45978</v>
      </c>
    </row>
    <row r="82" spans="1:2" x14ac:dyDescent="0.25">
      <c r="A82" s="3">
        <f t="shared" ca="1" si="2"/>
        <v>45978.546743749997</v>
      </c>
      <c r="B82" s="4">
        <f t="shared" ca="1" si="3"/>
        <v>45978</v>
      </c>
    </row>
    <row r="83" spans="1:2" x14ac:dyDescent="0.25">
      <c r="A83" s="3">
        <f t="shared" ca="1" si="2"/>
        <v>45978.546743749997</v>
      </c>
      <c r="B83" s="4">
        <f t="shared" ca="1" si="3"/>
        <v>45978</v>
      </c>
    </row>
    <row r="84" spans="1:2" x14ac:dyDescent="0.25">
      <c r="A84" s="3">
        <f t="shared" ca="1" si="2"/>
        <v>45978.546743749997</v>
      </c>
      <c r="B84" s="4">
        <f t="shared" ca="1" si="3"/>
        <v>45978</v>
      </c>
    </row>
    <row r="85" spans="1:2" x14ac:dyDescent="0.25">
      <c r="A85" s="3">
        <f t="shared" ca="1" si="2"/>
        <v>45978.546743749997</v>
      </c>
      <c r="B85" s="4">
        <f t="shared" ca="1" si="3"/>
        <v>45978</v>
      </c>
    </row>
    <row r="86" spans="1:2" x14ac:dyDescent="0.25">
      <c r="A86" s="3">
        <f t="shared" ca="1" si="2"/>
        <v>45978.546743749997</v>
      </c>
      <c r="B86" s="4">
        <f t="shared" ca="1" si="3"/>
        <v>45978</v>
      </c>
    </row>
    <row r="87" spans="1:2" x14ac:dyDescent="0.25">
      <c r="A87" s="3">
        <f t="shared" ca="1" si="2"/>
        <v>45978.546743749997</v>
      </c>
      <c r="B87" s="4">
        <f t="shared" ca="1" si="3"/>
        <v>45978</v>
      </c>
    </row>
    <row r="88" spans="1:2" x14ac:dyDescent="0.25">
      <c r="A88" s="3">
        <f t="shared" ca="1" si="2"/>
        <v>45978.546743749997</v>
      </c>
      <c r="B88" s="4">
        <f t="shared" ca="1" si="3"/>
        <v>45978</v>
      </c>
    </row>
    <row r="89" spans="1:2" x14ac:dyDescent="0.25">
      <c r="A89" s="3">
        <f t="shared" ca="1" si="2"/>
        <v>45978.546743749997</v>
      </c>
      <c r="B89" s="4">
        <f t="shared" ca="1" si="3"/>
        <v>45978</v>
      </c>
    </row>
    <row r="90" spans="1:2" x14ac:dyDescent="0.25">
      <c r="A90" s="3">
        <f t="shared" ca="1" si="2"/>
        <v>45978.546743749997</v>
      </c>
      <c r="B90" s="4">
        <f t="shared" ca="1" si="3"/>
        <v>45978</v>
      </c>
    </row>
    <row r="91" spans="1:2" x14ac:dyDescent="0.25">
      <c r="A91" s="3">
        <f t="shared" ca="1" si="2"/>
        <v>45978.546743749997</v>
      </c>
      <c r="B91" s="4">
        <f t="shared" ca="1" si="3"/>
        <v>45978</v>
      </c>
    </row>
    <row r="92" spans="1:2" x14ac:dyDescent="0.25">
      <c r="A92" s="3">
        <f t="shared" ca="1" si="2"/>
        <v>45978.546743749997</v>
      </c>
      <c r="B92" s="4">
        <f t="shared" ca="1" si="3"/>
        <v>45978</v>
      </c>
    </row>
    <row r="93" spans="1:2" x14ac:dyDescent="0.25">
      <c r="A93" s="3">
        <f t="shared" ca="1" si="2"/>
        <v>45978.546743749997</v>
      </c>
      <c r="B93" s="4">
        <f t="shared" ca="1" si="3"/>
        <v>45978</v>
      </c>
    </row>
    <row r="94" spans="1:2" x14ac:dyDescent="0.25">
      <c r="A94" s="3">
        <f t="shared" ca="1" si="2"/>
        <v>45978.546743749997</v>
      </c>
      <c r="B94" s="4">
        <f t="shared" ca="1" si="3"/>
        <v>45978</v>
      </c>
    </row>
    <row r="95" spans="1:2" x14ac:dyDescent="0.25">
      <c r="A95" s="3">
        <f t="shared" ca="1" si="2"/>
        <v>45978.546743749997</v>
      </c>
      <c r="B95" s="4">
        <f t="shared" ca="1" si="3"/>
        <v>45978</v>
      </c>
    </row>
    <row r="96" spans="1:2" x14ac:dyDescent="0.25">
      <c r="A96" s="3">
        <f t="shared" ca="1" si="2"/>
        <v>45978.546743749997</v>
      </c>
      <c r="B96" s="4">
        <f t="shared" ca="1" si="3"/>
        <v>45978</v>
      </c>
    </row>
    <row r="97" spans="1:2" x14ac:dyDescent="0.25">
      <c r="A97" s="3">
        <f t="shared" ca="1" si="2"/>
        <v>45978.546743749997</v>
      </c>
      <c r="B97" s="4">
        <f t="shared" ca="1" si="3"/>
        <v>45978</v>
      </c>
    </row>
    <row r="98" spans="1:2" x14ac:dyDescent="0.25">
      <c r="A98" s="3">
        <f t="shared" ca="1" si="2"/>
        <v>45978.546743749997</v>
      </c>
      <c r="B98" s="4">
        <f t="shared" ca="1" si="3"/>
        <v>45978</v>
      </c>
    </row>
    <row r="99" spans="1:2" x14ac:dyDescent="0.25">
      <c r="A99" s="3">
        <f t="shared" ca="1" si="2"/>
        <v>45978.546743749997</v>
      </c>
      <c r="B99" s="4">
        <f t="shared" ca="1" si="3"/>
        <v>45978</v>
      </c>
    </row>
    <row r="100" spans="1:2" x14ac:dyDescent="0.25">
      <c r="A100" s="3">
        <f t="shared" ca="1" si="2"/>
        <v>45978.546743749997</v>
      </c>
      <c r="B100" s="4">
        <f t="shared" ca="1" si="3"/>
        <v>45978</v>
      </c>
    </row>
    <row r="101" spans="1:2" x14ac:dyDescent="0.25">
      <c r="A101" s="3">
        <f t="shared" ca="1" si="2"/>
        <v>45978.546743749997</v>
      </c>
      <c r="B101" s="4">
        <f t="shared" ca="1" si="3"/>
        <v>45978</v>
      </c>
    </row>
    <row r="102" spans="1:2" x14ac:dyDescent="0.25">
      <c r="A102" s="3">
        <f t="shared" ca="1" si="2"/>
        <v>45978.546743749997</v>
      </c>
      <c r="B102" s="4">
        <f t="shared" ca="1" si="3"/>
        <v>45978</v>
      </c>
    </row>
    <row r="103" spans="1:2" x14ac:dyDescent="0.25">
      <c r="A103" s="3">
        <f t="shared" ca="1" si="2"/>
        <v>45978.546743749997</v>
      </c>
      <c r="B103" s="4">
        <f t="shared" ca="1" si="3"/>
        <v>45978</v>
      </c>
    </row>
    <row r="104" spans="1:2" x14ac:dyDescent="0.25">
      <c r="A104" s="3">
        <f t="shared" ca="1" si="2"/>
        <v>45978.546743749997</v>
      </c>
      <c r="B104" s="4">
        <f t="shared" ca="1" si="3"/>
        <v>45978</v>
      </c>
    </row>
    <row r="105" spans="1:2" x14ac:dyDescent="0.25">
      <c r="A105" s="3">
        <f t="shared" ca="1" si="2"/>
        <v>45978.546743749997</v>
      </c>
      <c r="B105" s="4">
        <f t="shared" ca="1" si="3"/>
        <v>45978</v>
      </c>
    </row>
    <row r="106" spans="1:2" x14ac:dyDescent="0.25">
      <c r="A106" s="3">
        <f t="shared" ca="1" si="2"/>
        <v>45978.546743749997</v>
      </c>
      <c r="B106" s="4">
        <f t="shared" ca="1" si="3"/>
        <v>45978</v>
      </c>
    </row>
    <row r="107" spans="1:2" x14ac:dyDescent="0.25">
      <c r="A107" s="3">
        <f t="shared" ca="1" si="2"/>
        <v>45978.546743749997</v>
      </c>
      <c r="B107" s="4">
        <f t="shared" ca="1" si="3"/>
        <v>45978</v>
      </c>
    </row>
    <row r="108" spans="1:2" x14ac:dyDescent="0.25">
      <c r="A108" s="3">
        <f t="shared" ca="1" si="2"/>
        <v>45978.546743749997</v>
      </c>
      <c r="B108" s="4">
        <f t="shared" ca="1" si="3"/>
        <v>45978</v>
      </c>
    </row>
    <row r="109" spans="1:2" x14ac:dyDescent="0.25">
      <c r="A109" s="3">
        <f t="shared" ca="1" si="2"/>
        <v>45978.546743749997</v>
      </c>
      <c r="B109" s="4">
        <f t="shared" ca="1" si="3"/>
        <v>45978</v>
      </c>
    </row>
    <row r="110" spans="1:2" x14ac:dyDescent="0.25">
      <c r="A110" s="3">
        <f t="shared" ca="1" si="2"/>
        <v>45978.546743749997</v>
      </c>
      <c r="B110" s="4">
        <f t="shared" ca="1" si="3"/>
        <v>45978</v>
      </c>
    </row>
    <row r="111" spans="1:2" x14ac:dyDescent="0.25">
      <c r="A111" s="3">
        <f t="shared" ca="1" si="2"/>
        <v>45978.546743749997</v>
      </c>
      <c r="B111" s="4">
        <f t="shared" ca="1" si="3"/>
        <v>45978</v>
      </c>
    </row>
    <row r="112" spans="1:2" x14ac:dyDescent="0.25">
      <c r="A112" s="3">
        <f t="shared" ca="1" si="2"/>
        <v>45978.546743749997</v>
      </c>
      <c r="B112" s="4">
        <f t="shared" ca="1" si="3"/>
        <v>45978</v>
      </c>
    </row>
    <row r="113" spans="1:2" x14ac:dyDescent="0.25">
      <c r="A113" s="3">
        <f t="shared" ca="1" si="2"/>
        <v>45978.546743749997</v>
      </c>
      <c r="B113" s="4">
        <f t="shared" ca="1" si="3"/>
        <v>45978</v>
      </c>
    </row>
    <row r="114" spans="1:2" x14ac:dyDescent="0.25">
      <c r="A114" s="3">
        <f t="shared" ca="1" si="2"/>
        <v>45978.546743749997</v>
      </c>
      <c r="B114" s="4">
        <f t="shared" ca="1" si="3"/>
        <v>45978</v>
      </c>
    </row>
    <row r="115" spans="1:2" x14ac:dyDescent="0.25">
      <c r="A115" s="3">
        <f t="shared" ca="1" si="2"/>
        <v>45978.546743749997</v>
      </c>
      <c r="B115" s="4">
        <f t="shared" ca="1" si="3"/>
        <v>45978</v>
      </c>
    </row>
    <row r="116" spans="1:2" x14ac:dyDescent="0.25">
      <c r="A116" s="3">
        <f t="shared" ca="1" si="2"/>
        <v>45978.546743749997</v>
      </c>
      <c r="B116" s="4">
        <f t="shared" ca="1" si="3"/>
        <v>45978</v>
      </c>
    </row>
    <row r="117" spans="1:2" x14ac:dyDescent="0.25">
      <c r="A117" s="3">
        <f t="shared" ca="1" si="2"/>
        <v>45978.546743749997</v>
      </c>
      <c r="B117" s="4">
        <f t="shared" ca="1" si="3"/>
        <v>45978</v>
      </c>
    </row>
    <row r="118" spans="1:2" x14ac:dyDescent="0.25">
      <c r="A118" s="3">
        <f t="shared" ca="1" si="2"/>
        <v>45978.546743749997</v>
      </c>
      <c r="B118" s="4">
        <f t="shared" ca="1" si="3"/>
        <v>45978</v>
      </c>
    </row>
    <row r="119" spans="1:2" x14ac:dyDescent="0.25">
      <c r="A119" s="3">
        <f t="shared" ca="1" si="2"/>
        <v>45978.546743749997</v>
      </c>
      <c r="B119" s="4">
        <f t="shared" ca="1" si="3"/>
        <v>45978</v>
      </c>
    </row>
    <row r="120" spans="1:2" x14ac:dyDescent="0.25">
      <c r="A120" s="3">
        <f t="shared" ca="1" si="2"/>
        <v>45978.546743749997</v>
      </c>
      <c r="B120" s="4">
        <f t="shared" ca="1" si="3"/>
        <v>45978</v>
      </c>
    </row>
    <row r="121" spans="1:2" x14ac:dyDescent="0.25">
      <c r="A121" s="3">
        <f t="shared" ca="1" si="2"/>
        <v>45978.546743749997</v>
      </c>
      <c r="B121" s="4">
        <f t="shared" ca="1" si="3"/>
        <v>45978</v>
      </c>
    </row>
    <row r="122" spans="1:2" x14ac:dyDescent="0.25">
      <c r="A122" s="3">
        <f t="shared" ca="1" si="2"/>
        <v>45978.546743749997</v>
      </c>
      <c r="B122" s="4">
        <f t="shared" ca="1" si="3"/>
        <v>45978</v>
      </c>
    </row>
    <row r="123" spans="1:2" x14ac:dyDescent="0.25">
      <c r="A123" s="3">
        <f t="shared" ca="1" si="2"/>
        <v>45978.546743749997</v>
      </c>
      <c r="B123" s="4">
        <f t="shared" ca="1" si="3"/>
        <v>45978</v>
      </c>
    </row>
    <row r="124" spans="1:2" x14ac:dyDescent="0.25">
      <c r="A124" s="3">
        <f t="shared" ca="1" si="2"/>
        <v>45978.546743749997</v>
      </c>
      <c r="B124" s="4">
        <f t="shared" ca="1" si="3"/>
        <v>45978</v>
      </c>
    </row>
    <row r="125" spans="1:2" x14ac:dyDescent="0.25">
      <c r="A125" s="3">
        <f t="shared" ca="1" si="2"/>
        <v>45978.546743749997</v>
      </c>
      <c r="B125" s="4">
        <f t="shared" ca="1" si="3"/>
        <v>45978</v>
      </c>
    </row>
    <row r="126" spans="1:2" x14ac:dyDescent="0.25">
      <c r="A126" s="3">
        <f t="shared" ca="1" si="2"/>
        <v>45978.546743749997</v>
      </c>
      <c r="B126" s="4">
        <f t="shared" ca="1" si="3"/>
        <v>45978</v>
      </c>
    </row>
    <row r="127" spans="1:2" x14ac:dyDescent="0.25">
      <c r="A127" s="3">
        <f t="shared" ca="1" si="2"/>
        <v>45978.546743749997</v>
      </c>
      <c r="B127" s="4">
        <f t="shared" ca="1" si="3"/>
        <v>45978</v>
      </c>
    </row>
    <row r="128" spans="1:2" x14ac:dyDescent="0.25">
      <c r="A128" s="3">
        <f t="shared" ca="1" si="2"/>
        <v>45978.546743749997</v>
      </c>
      <c r="B128" s="4">
        <f t="shared" ca="1" si="3"/>
        <v>45978</v>
      </c>
    </row>
    <row r="129" spans="1:2" x14ac:dyDescent="0.25">
      <c r="A129" s="3">
        <f t="shared" ca="1" si="2"/>
        <v>45978.546743749997</v>
      </c>
      <c r="B129" s="4">
        <f t="shared" ca="1" si="3"/>
        <v>45978</v>
      </c>
    </row>
    <row r="130" spans="1:2" x14ac:dyDescent="0.25">
      <c r="A130" s="3">
        <f t="shared" ca="1" si="2"/>
        <v>45978.546743749997</v>
      </c>
      <c r="B130" s="4">
        <f t="shared" ca="1" si="3"/>
        <v>45978</v>
      </c>
    </row>
    <row r="131" spans="1:2" x14ac:dyDescent="0.25">
      <c r="A131" s="3">
        <f t="shared" ref="A131:A194" ca="1" si="4">NOW()</f>
        <v>45978.546743749997</v>
      </c>
      <c r="B131" s="4">
        <f t="shared" ref="B131:B194" ca="1" si="5">TODAY()</f>
        <v>45978</v>
      </c>
    </row>
    <row r="132" spans="1:2" x14ac:dyDescent="0.25">
      <c r="A132" s="3">
        <f t="shared" ca="1" si="4"/>
        <v>45978.546743749997</v>
      </c>
      <c r="B132" s="4">
        <f t="shared" ca="1" si="5"/>
        <v>45978</v>
      </c>
    </row>
    <row r="133" spans="1:2" x14ac:dyDescent="0.25">
      <c r="A133" s="3">
        <f t="shared" ca="1" si="4"/>
        <v>45978.546743749997</v>
      </c>
      <c r="B133" s="4">
        <f t="shared" ca="1" si="5"/>
        <v>45978</v>
      </c>
    </row>
    <row r="134" spans="1:2" x14ac:dyDescent="0.25">
      <c r="A134" s="3">
        <f t="shared" ca="1" si="4"/>
        <v>45978.546743749997</v>
      </c>
      <c r="B134" s="4">
        <f t="shared" ca="1" si="5"/>
        <v>45978</v>
      </c>
    </row>
    <row r="135" spans="1:2" x14ac:dyDescent="0.25">
      <c r="A135" s="3">
        <f t="shared" ca="1" si="4"/>
        <v>45978.546743749997</v>
      </c>
      <c r="B135" s="4">
        <f t="shared" ca="1" si="5"/>
        <v>45978</v>
      </c>
    </row>
    <row r="136" spans="1:2" x14ac:dyDescent="0.25">
      <c r="A136" s="3">
        <f t="shared" ca="1" si="4"/>
        <v>45978.546743749997</v>
      </c>
      <c r="B136" s="4">
        <f t="shared" ca="1" si="5"/>
        <v>45978</v>
      </c>
    </row>
    <row r="137" spans="1:2" x14ac:dyDescent="0.25">
      <c r="A137" s="3">
        <f t="shared" ca="1" si="4"/>
        <v>45978.546743749997</v>
      </c>
      <c r="B137" s="4">
        <f t="shared" ca="1" si="5"/>
        <v>45978</v>
      </c>
    </row>
    <row r="138" spans="1:2" x14ac:dyDescent="0.25">
      <c r="A138" s="3">
        <f t="shared" ca="1" si="4"/>
        <v>45978.546743749997</v>
      </c>
      <c r="B138" s="4">
        <f t="shared" ca="1" si="5"/>
        <v>45978</v>
      </c>
    </row>
    <row r="139" spans="1:2" x14ac:dyDescent="0.25">
      <c r="A139" s="3">
        <f t="shared" ca="1" si="4"/>
        <v>45978.546743749997</v>
      </c>
      <c r="B139" s="4">
        <f t="shared" ca="1" si="5"/>
        <v>45978</v>
      </c>
    </row>
    <row r="140" spans="1:2" x14ac:dyDescent="0.25">
      <c r="A140" s="3">
        <f t="shared" ca="1" si="4"/>
        <v>45978.546743749997</v>
      </c>
      <c r="B140" s="4">
        <f t="shared" ca="1" si="5"/>
        <v>45978</v>
      </c>
    </row>
    <row r="141" spans="1:2" x14ac:dyDescent="0.25">
      <c r="A141" s="3">
        <f t="shared" ca="1" si="4"/>
        <v>45978.546743749997</v>
      </c>
      <c r="B141" s="4">
        <f t="shared" ca="1" si="5"/>
        <v>45978</v>
      </c>
    </row>
    <row r="142" spans="1:2" x14ac:dyDescent="0.25">
      <c r="A142" s="3">
        <f t="shared" ca="1" si="4"/>
        <v>45978.546743749997</v>
      </c>
      <c r="B142" s="4">
        <f t="shared" ca="1" si="5"/>
        <v>45978</v>
      </c>
    </row>
    <row r="143" spans="1:2" x14ac:dyDescent="0.25">
      <c r="A143" s="3">
        <f t="shared" ca="1" si="4"/>
        <v>45978.546743749997</v>
      </c>
      <c r="B143" s="4">
        <f t="shared" ca="1" si="5"/>
        <v>45978</v>
      </c>
    </row>
    <row r="144" spans="1:2" x14ac:dyDescent="0.25">
      <c r="A144" s="3">
        <f t="shared" ca="1" si="4"/>
        <v>45978.546743749997</v>
      </c>
      <c r="B144" s="4">
        <f t="shared" ca="1" si="5"/>
        <v>45978</v>
      </c>
    </row>
    <row r="145" spans="1:2" x14ac:dyDescent="0.25">
      <c r="A145" s="3">
        <f t="shared" ca="1" si="4"/>
        <v>45978.546743749997</v>
      </c>
      <c r="B145" s="4">
        <f t="shared" ca="1" si="5"/>
        <v>45978</v>
      </c>
    </row>
    <row r="146" spans="1:2" x14ac:dyDescent="0.25">
      <c r="A146" s="3">
        <f t="shared" ca="1" si="4"/>
        <v>45978.546743749997</v>
      </c>
      <c r="B146" s="4">
        <f t="shared" ca="1" si="5"/>
        <v>45978</v>
      </c>
    </row>
    <row r="147" spans="1:2" x14ac:dyDescent="0.25">
      <c r="A147" s="3">
        <f t="shared" ca="1" si="4"/>
        <v>45978.546743749997</v>
      </c>
      <c r="B147" s="4">
        <f t="shared" ca="1" si="5"/>
        <v>45978</v>
      </c>
    </row>
    <row r="148" spans="1:2" x14ac:dyDescent="0.25">
      <c r="A148" s="3">
        <f t="shared" ca="1" si="4"/>
        <v>45978.546743749997</v>
      </c>
      <c r="B148" s="4">
        <f t="shared" ca="1" si="5"/>
        <v>45978</v>
      </c>
    </row>
    <row r="149" spans="1:2" x14ac:dyDescent="0.25">
      <c r="A149" s="3">
        <f t="shared" ca="1" si="4"/>
        <v>45978.546743749997</v>
      </c>
      <c r="B149" s="4">
        <f t="shared" ca="1" si="5"/>
        <v>45978</v>
      </c>
    </row>
    <row r="150" spans="1:2" x14ac:dyDescent="0.25">
      <c r="A150" s="3">
        <f t="shared" ca="1" si="4"/>
        <v>45978.546743749997</v>
      </c>
      <c r="B150" s="4">
        <f t="shared" ca="1" si="5"/>
        <v>45978</v>
      </c>
    </row>
    <row r="151" spans="1:2" x14ac:dyDescent="0.25">
      <c r="A151" s="3">
        <f t="shared" ca="1" si="4"/>
        <v>45978.546743749997</v>
      </c>
      <c r="B151" s="4">
        <f t="shared" ca="1" si="5"/>
        <v>45978</v>
      </c>
    </row>
    <row r="152" spans="1:2" x14ac:dyDescent="0.25">
      <c r="A152" s="3">
        <f t="shared" ca="1" si="4"/>
        <v>45978.546743749997</v>
      </c>
      <c r="B152" s="4">
        <f t="shared" ca="1" si="5"/>
        <v>45978</v>
      </c>
    </row>
    <row r="153" spans="1:2" x14ac:dyDescent="0.25">
      <c r="A153" s="3">
        <f t="shared" ca="1" si="4"/>
        <v>45978.546743749997</v>
      </c>
      <c r="B153" s="4">
        <f t="shared" ca="1" si="5"/>
        <v>45978</v>
      </c>
    </row>
    <row r="154" spans="1:2" x14ac:dyDescent="0.25">
      <c r="A154" s="3">
        <f t="shared" ca="1" si="4"/>
        <v>45978.546743749997</v>
      </c>
      <c r="B154" s="4">
        <f t="shared" ca="1" si="5"/>
        <v>45978</v>
      </c>
    </row>
    <row r="155" spans="1:2" x14ac:dyDescent="0.25">
      <c r="A155" s="3">
        <f t="shared" ca="1" si="4"/>
        <v>45978.546743749997</v>
      </c>
      <c r="B155" s="4">
        <f t="shared" ca="1" si="5"/>
        <v>45978</v>
      </c>
    </row>
    <row r="156" spans="1:2" x14ac:dyDescent="0.25">
      <c r="A156" s="3">
        <f t="shared" ca="1" si="4"/>
        <v>45978.546743749997</v>
      </c>
      <c r="B156" s="4">
        <f t="shared" ca="1" si="5"/>
        <v>45978</v>
      </c>
    </row>
    <row r="157" spans="1:2" x14ac:dyDescent="0.25">
      <c r="A157" s="3">
        <f t="shared" ca="1" si="4"/>
        <v>45978.546743749997</v>
      </c>
      <c r="B157" s="4">
        <f t="shared" ca="1" si="5"/>
        <v>45978</v>
      </c>
    </row>
    <row r="158" spans="1:2" x14ac:dyDescent="0.25">
      <c r="A158" s="3">
        <f t="shared" ca="1" si="4"/>
        <v>45978.546743749997</v>
      </c>
      <c r="B158" s="4">
        <f t="shared" ca="1" si="5"/>
        <v>45978</v>
      </c>
    </row>
    <row r="159" spans="1:2" x14ac:dyDescent="0.25">
      <c r="A159" s="3">
        <f t="shared" ca="1" si="4"/>
        <v>45978.546743749997</v>
      </c>
      <c r="B159" s="4">
        <f t="shared" ca="1" si="5"/>
        <v>45978</v>
      </c>
    </row>
    <row r="160" spans="1:2" x14ac:dyDescent="0.25">
      <c r="A160" s="3">
        <f t="shared" ca="1" si="4"/>
        <v>45978.546743749997</v>
      </c>
      <c r="B160" s="4">
        <f t="shared" ca="1" si="5"/>
        <v>45978</v>
      </c>
    </row>
    <row r="161" spans="1:2" x14ac:dyDescent="0.25">
      <c r="A161" s="3">
        <f t="shared" ca="1" si="4"/>
        <v>45978.546743749997</v>
      </c>
      <c r="B161" s="4">
        <f t="shared" ca="1" si="5"/>
        <v>45978</v>
      </c>
    </row>
    <row r="162" spans="1:2" x14ac:dyDescent="0.25">
      <c r="A162" s="3">
        <f t="shared" ca="1" si="4"/>
        <v>45978.546743749997</v>
      </c>
      <c r="B162" s="4">
        <f t="shared" ca="1" si="5"/>
        <v>45978</v>
      </c>
    </row>
    <row r="163" spans="1:2" x14ac:dyDescent="0.25">
      <c r="A163" s="3">
        <f t="shared" ca="1" si="4"/>
        <v>45978.546743749997</v>
      </c>
      <c r="B163" s="4">
        <f t="shared" ca="1" si="5"/>
        <v>45978</v>
      </c>
    </row>
    <row r="164" spans="1:2" x14ac:dyDescent="0.25">
      <c r="A164" s="3">
        <f t="shared" ca="1" si="4"/>
        <v>45978.546743749997</v>
      </c>
      <c r="B164" s="4">
        <f t="shared" ca="1" si="5"/>
        <v>45978</v>
      </c>
    </row>
    <row r="165" spans="1:2" x14ac:dyDescent="0.25">
      <c r="A165" s="3">
        <f t="shared" ca="1" si="4"/>
        <v>45978.546743749997</v>
      </c>
      <c r="B165" s="4">
        <f t="shared" ca="1" si="5"/>
        <v>45978</v>
      </c>
    </row>
    <row r="166" spans="1:2" x14ac:dyDescent="0.25">
      <c r="A166" s="3">
        <f t="shared" ca="1" si="4"/>
        <v>45978.546743749997</v>
      </c>
      <c r="B166" s="4">
        <f t="shared" ca="1" si="5"/>
        <v>45978</v>
      </c>
    </row>
    <row r="167" spans="1:2" x14ac:dyDescent="0.25">
      <c r="A167" s="3">
        <f t="shared" ca="1" si="4"/>
        <v>45978.546743749997</v>
      </c>
      <c r="B167" s="4">
        <f t="shared" ca="1" si="5"/>
        <v>45978</v>
      </c>
    </row>
    <row r="168" spans="1:2" x14ac:dyDescent="0.25">
      <c r="A168" s="3">
        <f t="shared" ca="1" si="4"/>
        <v>45978.546743749997</v>
      </c>
      <c r="B168" s="4">
        <f t="shared" ca="1" si="5"/>
        <v>45978</v>
      </c>
    </row>
    <row r="169" spans="1:2" x14ac:dyDescent="0.25">
      <c r="A169" s="3">
        <f t="shared" ca="1" si="4"/>
        <v>45978.546743749997</v>
      </c>
      <c r="B169" s="4">
        <f t="shared" ca="1" si="5"/>
        <v>45978</v>
      </c>
    </row>
    <row r="170" spans="1:2" x14ac:dyDescent="0.25">
      <c r="A170" s="3">
        <f t="shared" ca="1" si="4"/>
        <v>45978.546743749997</v>
      </c>
      <c r="B170" s="4">
        <f t="shared" ca="1" si="5"/>
        <v>45978</v>
      </c>
    </row>
    <row r="171" spans="1:2" x14ac:dyDescent="0.25">
      <c r="A171" s="3">
        <f t="shared" ca="1" si="4"/>
        <v>45978.546743749997</v>
      </c>
      <c r="B171" s="4">
        <f t="shared" ca="1" si="5"/>
        <v>45978</v>
      </c>
    </row>
    <row r="172" spans="1:2" x14ac:dyDescent="0.25">
      <c r="A172" s="3">
        <f t="shared" ca="1" si="4"/>
        <v>45978.546743749997</v>
      </c>
      <c r="B172" s="4">
        <f t="shared" ca="1" si="5"/>
        <v>45978</v>
      </c>
    </row>
    <row r="173" spans="1:2" x14ac:dyDescent="0.25">
      <c r="A173" s="3">
        <f t="shared" ca="1" si="4"/>
        <v>45978.546743749997</v>
      </c>
      <c r="B173" s="4">
        <f t="shared" ca="1" si="5"/>
        <v>45978</v>
      </c>
    </row>
    <row r="174" spans="1:2" x14ac:dyDescent="0.25">
      <c r="A174" s="3">
        <f t="shared" ca="1" si="4"/>
        <v>45978.546743749997</v>
      </c>
      <c r="B174" s="4">
        <f t="shared" ca="1" si="5"/>
        <v>45978</v>
      </c>
    </row>
    <row r="175" spans="1:2" x14ac:dyDescent="0.25">
      <c r="A175" s="3">
        <f t="shared" ca="1" si="4"/>
        <v>45978.546743749997</v>
      </c>
      <c r="B175" s="4">
        <f t="shared" ca="1" si="5"/>
        <v>45978</v>
      </c>
    </row>
    <row r="176" spans="1:2" x14ac:dyDescent="0.25">
      <c r="A176" s="3">
        <f t="shared" ca="1" si="4"/>
        <v>45978.546743749997</v>
      </c>
      <c r="B176" s="4">
        <f t="shared" ca="1" si="5"/>
        <v>45978</v>
      </c>
    </row>
    <row r="177" spans="1:2" x14ac:dyDescent="0.25">
      <c r="A177" s="3">
        <f t="shared" ca="1" si="4"/>
        <v>45978.546743749997</v>
      </c>
      <c r="B177" s="4">
        <f t="shared" ca="1" si="5"/>
        <v>45978</v>
      </c>
    </row>
    <row r="178" spans="1:2" x14ac:dyDescent="0.25">
      <c r="A178" s="3">
        <f t="shared" ca="1" si="4"/>
        <v>45978.546743749997</v>
      </c>
      <c r="B178" s="4">
        <f t="shared" ca="1" si="5"/>
        <v>45978</v>
      </c>
    </row>
    <row r="179" spans="1:2" x14ac:dyDescent="0.25">
      <c r="A179" s="3">
        <f t="shared" ca="1" si="4"/>
        <v>45978.546743749997</v>
      </c>
      <c r="B179" s="4">
        <f t="shared" ca="1" si="5"/>
        <v>45978</v>
      </c>
    </row>
    <row r="180" spans="1:2" x14ac:dyDescent="0.25">
      <c r="A180" s="3">
        <f t="shared" ca="1" si="4"/>
        <v>45978.546743749997</v>
      </c>
      <c r="B180" s="4">
        <f t="shared" ca="1" si="5"/>
        <v>45978</v>
      </c>
    </row>
    <row r="181" spans="1:2" x14ac:dyDescent="0.25">
      <c r="A181" s="3">
        <f t="shared" ca="1" si="4"/>
        <v>45978.546743749997</v>
      </c>
      <c r="B181" s="4">
        <f t="shared" ca="1" si="5"/>
        <v>45978</v>
      </c>
    </row>
    <row r="182" spans="1:2" x14ac:dyDescent="0.25">
      <c r="A182" s="3">
        <f t="shared" ca="1" si="4"/>
        <v>45978.546743749997</v>
      </c>
      <c r="B182" s="4">
        <f t="shared" ca="1" si="5"/>
        <v>45978</v>
      </c>
    </row>
    <row r="183" spans="1:2" x14ac:dyDescent="0.25">
      <c r="A183" s="3">
        <f t="shared" ca="1" si="4"/>
        <v>45978.546743749997</v>
      </c>
      <c r="B183" s="4">
        <f t="shared" ca="1" si="5"/>
        <v>45978</v>
      </c>
    </row>
    <row r="184" spans="1:2" x14ac:dyDescent="0.25">
      <c r="A184" s="3">
        <f t="shared" ca="1" si="4"/>
        <v>45978.546743749997</v>
      </c>
      <c r="B184" s="4">
        <f t="shared" ca="1" si="5"/>
        <v>45978</v>
      </c>
    </row>
    <row r="185" spans="1:2" x14ac:dyDescent="0.25">
      <c r="A185" s="3">
        <f t="shared" ca="1" si="4"/>
        <v>45978.546743749997</v>
      </c>
      <c r="B185" s="4">
        <f t="shared" ca="1" si="5"/>
        <v>45978</v>
      </c>
    </row>
    <row r="186" spans="1:2" x14ac:dyDescent="0.25">
      <c r="A186" s="3">
        <f t="shared" ca="1" si="4"/>
        <v>45978.546743749997</v>
      </c>
      <c r="B186" s="4">
        <f t="shared" ca="1" si="5"/>
        <v>45978</v>
      </c>
    </row>
    <row r="187" spans="1:2" x14ac:dyDescent="0.25">
      <c r="A187" s="3">
        <f t="shared" ca="1" si="4"/>
        <v>45978.546743749997</v>
      </c>
      <c r="B187" s="4">
        <f t="shared" ca="1" si="5"/>
        <v>45978</v>
      </c>
    </row>
    <row r="188" spans="1:2" x14ac:dyDescent="0.25">
      <c r="A188" s="3">
        <f t="shared" ca="1" si="4"/>
        <v>45978.546743749997</v>
      </c>
      <c r="B188" s="4">
        <f t="shared" ca="1" si="5"/>
        <v>45978</v>
      </c>
    </row>
    <row r="189" spans="1:2" x14ac:dyDescent="0.25">
      <c r="A189" s="3">
        <f t="shared" ca="1" si="4"/>
        <v>45978.546743749997</v>
      </c>
      <c r="B189" s="4">
        <f t="shared" ca="1" si="5"/>
        <v>45978</v>
      </c>
    </row>
    <row r="190" spans="1:2" x14ac:dyDescent="0.25">
      <c r="A190" s="3">
        <f t="shared" ca="1" si="4"/>
        <v>45978.546743749997</v>
      </c>
      <c r="B190" s="4">
        <f t="shared" ca="1" si="5"/>
        <v>45978</v>
      </c>
    </row>
    <row r="191" spans="1:2" x14ac:dyDescent="0.25">
      <c r="A191" s="3">
        <f t="shared" ca="1" si="4"/>
        <v>45978.546743749997</v>
      </c>
      <c r="B191" s="4">
        <f t="shared" ca="1" si="5"/>
        <v>45978</v>
      </c>
    </row>
    <row r="192" spans="1:2" x14ac:dyDescent="0.25">
      <c r="A192" s="3">
        <f t="shared" ca="1" si="4"/>
        <v>45978.546743749997</v>
      </c>
      <c r="B192" s="4">
        <f t="shared" ca="1" si="5"/>
        <v>45978</v>
      </c>
    </row>
    <row r="193" spans="1:2" x14ac:dyDescent="0.25">
      <c r="A193" s="3">
        <f t="shared" ca="1" si="4"/>
        <v>45978.546743749997</v>
      </c>
      <c r="B193" s="4">
        <f t="shared" ca="1" si="5"/>
        <v>45978</v>
      </c>
    </row>
    <row r="194" spans="1:2" x14ac:dyDescent="0.25">
      <c r="A194" s="3">
        <f t="shared" ca="1" si="4"/>
        <v>45978.546743749997</v>
      </c>
      <c r="B194" s="4">
        <f t="shared" ca="1" si="5"/>
        <v>45978</v>
      </c>
    </row>
    <row r="195" spans="1:2" x14ac:dyDescent="0.25">
      <c r="A195" s="3">
        <f t="shared" ref="A195:A258" ca="1" si="6">NOW()</f>
        <v>45978.546743749997</v>
      </c>
      <c r="B195" s="4">
        <f t="shared" ref="B195:B258" ca="1" si="7">TODAY()</f>
        <v>45978</v>
      </c>
    </row>
    <row r="196" spans="1:2" x14ac:dyDescent="0.25">
      <c r="A196" s="3">
        <f t="shared" ca="1" si="6"/>
        <v>45978.546743749997</v>
      </c>
      <c r="B196" s="4">
        <f t="shared" ca="1" si="7"/>
        <v>45978</v>
      </c>
    </row>
    <row r="197" spans="1:2" x14ac:dyDescent="0.25">
      <c r="A197" s="3">
        <f t="shared" ca="1" si="6"/>
        <v>45978.546743749997</v>
      </c>
      <c r="B197" s="4">
        <f t="shared" ca="1" si="7"/>
        <v>45978</v>
      </c>
    </row>
    <row r="198" spans="1:2" x14ac:dyDescent="0.25">
      <c r="A198" s="3">
        <f t="shared" ca="1" si="6"/>
        <v>45978.546743749997</v>
      </c>
      <c r="B198" s="4">
        <f t="shared" ca="1" si="7"/>
        <v>45978</v>
      </c>
    </row>
    <row r="199" spans="1:2" x14ac:dyDescent="0.25">
      <c r="A199" s="3">
        <f t="shared" ca="1" si="6"/>
        <v>45978.546743749997</v>
      </c>
      <c r="B199" s="4">
        <f t="shared" ca="1" si="7"/>
        <v>45978</v>
      </c>
    </row>
    <row r="200" spans="1:2" x14ac:dyDescent="0.25">
      <c r="A200" s="3">
        <f t="shared" ca="1" si="6"/>
        <v>45978.546743749997</v>
      </c>
      <c r="B200" s="4">
        <f t="shared" ca="1" si="7"/>
        <v>45978</v>
      </c>
    </row>
    <row r="201" spans="1:2" x14ac:dyDescent="0.25">
      <c r="A201" s="3">
        <f t="shared" ca="1" si="6"/>
        <v>45978.546743749997</v>
      </c>
      <c r="B201" s="4">
        <f t="shared" ca="1" si="7"/>
        <v>45978</v>
      </c>
    </row>
    <row r="202" spans="1:2" x14ac:dyDescent="0.25">
      <c r="A202" s="3">
        <f t="shared" ca="1" si="6"/>
        <v>45978.546743749997</v>
      </c>
      <c r="B202" s="4">
        <f t="shared" ca="1" si="7"/>
        <v>45978</v>
      </c>
    </row>
    <row r="203" spans="1:2" x14ac:dyDescent="0.25">
      <c r="A203" s="3">
        <f t="shared" ca="1" si="6"/>
        <v>45978.546743749997</v>
      </c>
      <c r="B203" s="4">
        <f t="shared" ca="1" si="7"/>
        <v>45978</v>
      </c>
    </row>
    <row r="204" spans="1:2" x14ac:dyDescent="0.25">
      <c r="A204" s="3">
        <f t="shared" ca="1" si="6"/>
        <v>45978.546743749997</v>
      </c>
      <c r="B204" s="4">
        <f t="shared" ca="1" si="7"/>
        <v>45978</v>
      </c>
    </row>
    <row r="205" spans="1:2" x14ac:dyDescent="0.25">
      <c r="A205" s="3">
        <f t="shared" ca="1" si="6"/>
        <v>45978.546743749997</v>
      </c>
      <c r="B205" s="4">
        <f t="shared" ca="1" si="7"/>
        <v>45978</v>
      </c>
    </row>
    <row r="206" spans="1:2" x14ac:dyDescent="0.25">
      <c r="A206" s="3">
        <f t="shared" ca="1" si="6"/>
        <v>45978.546743749997</v>
      </c>
      <c r="B206" s="4">
        <f t="shared" ca="1" si="7"/>
        <v>45978</v>
      </c>
    </row>
    <row r="207" spans="1:2" x14ac:dyDescent="0.25">
      <c r="A207" s="3">
        <f t="shared" ca="1" si="6"/>
        <v>45978.546743749997</v>
      </c>
      <c r="B207" s="4">
        <f t="shared" ca="1" si="7"/>
        <v>45978</v>
      </c>
    </row>
    <row r="208" spans="1:2" x14ac:dyDescent="0.25">
      <c r="A208" s="3">
        <f t="shared" ca="1" si="6"/>
        <v>45978.546743749997</v>
      </c>
      <c r="B208" s="4">
        <f t="shared" ca="1" si="7"/>
        <v>45978</v>
      </c>
    </row>
    <row r="209" spans="1:2" x14ac:dyDescent="0.25">
      <c r="A209" s="3">
        <f t="shared" ca="1" si="6"/>
        <v>45978.546743749997</v>
      </c>
      <c r="B209" s="4">
        <f t="shared" ca="1" si="7"/>
        <v>45978</v>
      </c>
    </row>
    <row r="210" spans="1:2" x14ac:dyDescent="0.25">
      <c r="A210" s="3">
        <f t="shared" ca="1" si="6"/>
        <v>45978.546743749997</v>
      </c>
      <c r="B210" s="4">
        <f t="shared" ca="1" si="7"/>
        <v>45978</v>
      </c>
    </row>
    <row r="211" spans="1:2" x14ac:dyDescent="0.25">
      <c r="A211" s="3">
        <f t="shared" ca="1" si="6"/>
        <v>45978.546743749997</v>
      </c>
      <c r="B211" s="4">
        <f t="shared" ca="1" si="7"/>
        <v>45978</v>
      </c>
    </row>
    <row r="212" spans="1:2" x14ac:dyDescent="0.25">
      <c r="A212" s="3">
        <f t="shared" ca="1" si="6"/>
        <v>45978.546743749997</v>
      </c>
      <c r="B212" s="4">
        <f t="shared" ca="1" si="7"/>
        <v>45978</v>
      </c>
    </row>
    <row r="213" spans="1:2" x14ac:dyDescent="0.25">
      <c r="A213" s="3">
        <f t="shared" ca="1" si="6"/>
        <v>45978.546743749997</v>
      </c>
      <c r="B213" s="4">
        <f t="shared" ca="1" si="7"/>
        <v>45978</v>
      </c>
    </row>
    <row r="214" spans="1:2" x14ac:dyDescent="0.25">
      <c r="A214" s="3">
        <f t="shared" ca="1" si="6"/>
        <v>45978.546743749997</v>
      </c>
      <c r="B214" s="4">
        <f t="shared" ca="1" si="7"/>
        <v>45978</v>
      </c>
    </row>
    <row r="215" spans="1:2" x14ac:dyDescent="0.25">
      <c r="A215" s="3">
        <f t="shared" ca="1" si="6"/>
        <v>45978.546743749997</v>
      </c>
      <c r="B215" s="4">
        <f t="shared" ca="1" si="7"/>
        <v>45978</v>
      </c>
    </row>
    <row r="216" spans="1:2" x14ac:dyDescent="0.25">
      <c r="A216" s="3">
        <f t="shared" ca="1" si="6"/>
        <v>45978.546743749997</v>
      </c>
      <c r="B216" s="4">
        <f t="shared" ca="1" si="7"/>
        <v>45978</v>
      </c>
    </row>
    <row r="217" spans="1:2" x14ac:dyDescent="0.25">
      <c r="A217" s="3">
        <f t="shared" ca="1" si="6"/>
        <v>45978.546743749997</v>
      </c>
      <c r="B217" s="4">
        <f t="shared" ca="1" si="7"/>
        <v>45978</v>
      </c>
    </row>
    <row r="218" spans="1:2" x14ac:dyDescent="0.25">
      <c r="A218" s="3">
        <f t="shared" ca="1" si="6"/>
        <v>45978.546743749997</v>
      </c>
      <c r="B218" s="4">
        <f t="shared" ca="1" si="7"/>
        <v>45978</v>
      </c>
    </row>
    <row r="219" spans="1:2" x14ac:dyDescent="0.25">
      <c r="A219" s="3">
        <f t="shared" ca="1" si="6"/>
        <v>45978.546743749997</v>
      </c>
      <c r="B219" s="4">
        <f t="shared" ca="1" si="7"/>
        <v>45978</v>
      </c>
    </row>
    <row r="220" spans="1:2" x14ac:dyDescent="0.25">
      <c r="A220" s="3">
        <f t="shared" ca="1" si="6"/>
        <v>45978.546743749997</v>
      </c>
      <c r="B220" s="4">
        <f t="shared" ca="1" si="7"/>
        <v>45978</v>
      </c>
    </row>
    <row r="221" spans="1:2" x14ac:dyDescent="0.25">
      <c r="A221" s="3">
        <f t="shared" ca="1" si="6"/>
        <v>45978.546743749997</v>
      </c>
      <c r="B221" s="4">
        <f t="shared" ca="1" si="7"/>
        <v>45978</v>
      </c>
    </row>
    <row r="222" spans="1:2" x14ac:dyDescent="0.25">
      <c r="A222" s="3">
        <f t="shared" ca="1" si="6"/>
        <v>45978.546743749997</v>
      </c>
      <c r="B222" s="4">
        <f t="shared" ca="1" si="7"/>
        <v>45978</v>
      </c>
    </row>
    <row r="223" spans="1:2" x14ac:dyDescent="0.25">
      <c r="A223" s="3">
        <f t="shared" ca="1" si="6"/>
        <v>45978.546743749997</v>
      </c>
      <c r="B223" s="4">
        <f t="shared" ca="1" si="7"/>
        <v>45978</v>
      </c>
    </row>
    <row r="224" spans="1:2" x14ac:dyDescent="0.25">
      <c r="A224" s="3">
        <f t="shared" ca="1" si="6"/>
        <v>45978.546743749997</v>
      </c>
      <c r="B224" s="4">
        <f t="shared" ca="1" si="7"/>
        <v>45978</v>
      </c>
    </row>
    <row r="225" spans="1:2" x14ac:dyDescent="0.25">
      <c r="A225" s="3">
        <f t="shared" ca="1" si="6"/>
        <v>45978.546743749997</v>
      </c>
      <c r="B225" s="4">
        <f t="shared" ca="1" si="7"/>
        <v>45978</v>
      </c>
    </row>
    <row r="226" spans="1:2" x14ac:dyDescent="0.25">
      <c r="A226" s="3">
        <f t="shared" ca="1" si="6"/>
        <v>45978.546743749997</v>
      </c>
      <c r="B226" s="4">
        <f t="shared" ca="1" si="7"/>
        <v>45978</v>
      </c>
    </row>
    <row r="227" spans="1:2" x14ac:dyDescent="0.25">
      <c r="A227" s="3">
        <f t="shared" ca="1" si="6"/>
        <v>45978.546743749997</v>
      </c>
      <c r="B227" s="4">
        <f t="shared" ca="1" si="7"/>
        <v>45978</v>
      </c>
    </row>
    <row r="228" spans="1:2" x14ac:dyDescent="0.25">
      <c r="A228" s="3">
        <f t="shared" ca="1" si="6"/>
        <v>45978.546743749997</v>
      </c>
      <c r="B228" s="4">
        <f t="shared" ca="1" si="7"/>
        <v>45978</v>
      </c>
    </row>
    <row r="229" spans="1:2" x14ac:dyDescent="0.25">
      <c r="A229" s="3">
        <f t="shared" ca="1" si="6"/>
        <v>45978.546743749997</v>
      </c>
      <c r="B229" s="4">
        <f t="shared" ca="1" si="7"/>
        <v>45978</v>
      </c>
    </row>
    <row r="230" spans="1:2" x14ac:dyDescent="0.25">
      <c r="A230" s="3">
        <f t="shared" ca="1" si="6"/>
        <v>45978.546743749997</v>
      </c>
      <c r="B230" s="4">
        <f t="shared" ca="1" si="7"/>
        <v>45978</v>
      </c>
    </row>
    <row r="231" spans="1:2" x14ac:dyDescent="0.25">
      <c r="A231" s="3">
        <f t="shared" ca="1" si="6"/>
        <v>45978.546743749997</v>
      </c>
      <c r="B231" s="4">
        <f t="shared" ca="1" si="7"/>
        <v>45978</v>
      </c>
    </row>
    <row r="232" spans="1:2" x14ac:dyDescent="0.25">
      <c r="A232" s="3">
        <f t="shared" ca="1" si="6"/>
        <v>45978.546743749997</v>
      </c>
      <c r="B232" s="4">
        <f t="shared" ca="1" si="7"/>
        <v>45978</v>
      </c>
    </row>
    <row r="233" spans="1:2" x14ac:dyDescent="0.25">
      <c r="A233" s="3">
        <f t="shared" ca="1" si="6"/>
        <v>45978.546743749997</v>
      </c>
      <c r="B233" s="4">
        <f t="shared" ca="1" si="7"/>
        <v>45978</v>
      </c>
    </row>
    <row r="234" spans="1:2" x14ac:dyDescent="0.25">
      <c r="A234" s="3">
        <f t="shared" ca="1" si="6"/>
        <v>45978.546743749997</v>
      </c>
      <c r="B234" s="4">
        <f t="shared" ca="1" si="7"/>
        <v>45978</v>
      </c>
    </row>
    <row r="235" spans="1:2" x14ac:dyDescent="0.25">
      <c r="A235" s="3">
        <f t="shared" ca="1" si="6"/>
        <v>45978.546743749997</v>
      </c>
      <c r="B235" s="4">
        <f t="shared" ca="1" si="7"/>
        <v>45978</v>
      </c>
    </row>
    <row r="236" spans="1:2" x14ac:dyDescent="0.25">
      <c r="A236" s="3">
        <f t="shared" ca="1" si="6"/>
        <v>45978.546743749997</v>
      </c>
      <c r="B236" s="4">
        <f t="shared" ca="1" si="7"/>
        <v>45978</v>
      </c>
    </row>
    <row r="237" spans="1:2" x14ac:dyDescent="0.25">
      <c r="A237" s="3">
        <f t="shared" ca="1" si="6"/>
        <v>45978.546743749997</v>
      </c>
      <c r="B237" s="4">
        <f t="shared" ca="1" si="7"/>
        <v>45978</v>
      </c>
    </row>
    <row r="238" spans="1:2" x14ac:dyDescent="0.25">
      <c r="A238" s="3">
        <f t="shared" ca="1" si="6"/>
        <v>45978.546743749997</v>
      </c>
      <c r="B238" s="4">
        <f t="shared" ca="1" si="7"/>
        <v>45978</v>
      </c>
    </row>
    <row r="239" spans="1:2" x14ac:dyDescent="0.25">
      <c r="A239" s="3">
        <f t="shared" ca="1" si="6"/>
        <v>45978.546743749997</v>
      </c>
      <c r="B239" s="4">
        <f t="shared" ca="1" si="7"/>
        <v>45978</v>
      </c>
    </row>
    <row r="240" spans="1:2" x14ac:dyDescent="0.25">
      <c r="A240" s="3">
        <f t="shared" ca="1" si="6"/>
        <v>45978.546743749997</v>
      </c>
      <c r="B240" s="4">
        <f t="shared" ca="1" si="7"/>
        <v>45978</v>
      </c>
    </row>
    <row r="241" spans="1:2" x14ac:dyDescent="0.25">
      <c r="A241" s="3">
        <f t="shared" ca="1" si="6"/>
        <v>45978.546743749997</v>
      </c>
      <c r="B241" s="4">
        <f t="shared" ca="1" si="7"/>
        <v>45978</v>
      </c>
    </row>
    <row r="242" spans="1:2" x14ac:dyDescent="0.25">
      <c r="A242" s="3">
        <f t="shared" ca="1" si="6"/>
        <v>45978.546743749997</v>
      </c>
      <c r="B242" s="4">
        <f t="shared" ca="1" si="7"/>
        <v>45978</v>
      </c>
    </row>
    <row r="243" spans="1:2" x14ac:dyDescent="0.25">
      <c r="A243" s="3">
        <f t="shared" ca="1" si="6"/>
        <v>45978.546743749997</v>
      </c>
      <c r="B243" s="4">
        <f t="shared" ca="1" si="7"/>
        <v>45978</v>
      </c>
    </row>
    <row r="244" spans="1:2" x14ac:dyDescent="0.25">
      <c r="A244" s="3">
        <f t="shared" ca="1" si="6"/>
        <v>45978.546743749997</v>
      </c>
      <c r="B244" s="4">
        <f t="shared" ca="1" si="7"/>
        <v>45978</v>
      </c>
    </row>
    <row r="245" spans="1:2" x14ac:dyDescent="0.25">
      <c r="A245" s="3">
        <f t="shared" ca="1" si="6"/>
        <v>45978.546743749997</v>
      </c>
      <c r="B245" s="4">
        <f t="shared" ca="1" si="7"/>
        <v>45978</v>
      </c>
    </row>
    <row r="246" spans="1:2" x14ac:dyDescent="0.25">
      <c r="A246" s="3">
        <f t="shared" ca="1" si="6"/>
        <v>45978.546743749997</v>
      </c>
      <c r="B246" s="4">
        <f t="shared" ca="1" si="7"/>
        <v>45978</v>
      </c>
    </row>
    <row r="247" spans="1:2" x14ac:dyDescent="0.25">
      <c r="A247" s="3">
        <f t="shared" ca="1" si="6"/>
        <v>45978.546743749997</v>
      </c>
      <c r="B247" s="4">
        <f t="shared" ca="1" si="7"/>
        <v>45978</v>
      </c>
    </row>
    <row r="248" spans="1:2" x14ac:dyDescent="0.25">
      <c r="A248" s="3">
        <f t="shared" ca="1" si="6"/>
        <v>45978.546743749997</v>
      </c>
      <c r="B248" s="4">
        <f t="shared" ca="1" si="7"/>
        <v>45978</v>
      </c>
    </row>
    <row r="249" spans="1:2" x14ac:dyDescent="0.25">
      <c r="A249" s="3">
        <f t="shared" ca="1" si="6"/>
        <v>45978.546743749997</v>
      </c>
      <c r="B249" s="4">
        <f t="shared" ca="1" si="7"/>
        <v>45978</v>
      </c>
    </row>
    <row r="250" spans="1:2" x14ac:dyDescent="0.25">
      <c r="A250" s="3">
        <f t="shared" ca="1" si="6"/>
        <v>45978.546743749997</v>
      </c>
      <c r="B250" s="4">
        <f t="shared" ca="1" si="7"/>
        <v>45978</v>
      </c>
    </row>
    <row r="251" spans="1:2" x14ac:dyDescent="0.25">
      <c r="A251" s="3">
        <f t="shared" ca="1" si="6"/>
        <v>45978.546743749997</v>
      </c>
      <c r="B251" s="4">
        <f t="shared" ca="1" si="7"/>
        <v>45978</v>
      </c>
    </row>
    <row r="252" spans="1:2" x14ac:dyDescent="0.25">
      <c r="A252" s="3">
        <f t="shared" ca="1" si="6"/>
        <v>45978.546743749997</v>
      </c>
      <c r="B252" s="4">
        <f t="shared" ca="1" si="7"/>
        <v>45978</v>
      </c>
    </row>
    <row r="253" spans="1:2" x14ac:dyDescent="0.25">
      <c r="A253" s="3">
        <f t="shared" ca="1" si="6"/>
        <v>45978.546743749997</v>
      </c>
      <c r="B253" s="4">
        <f t="shared" ca="1" si="7"/>
        <v>45978</v>
      </c>
    </row>
    <row r="254" spans="1:2" x14ac:dyDescent="0.25">
      <c r="A254" s="3">
        <f t="shared" ca="1" si="6"/>
        <v>45978.546743749997</v>
      </c>
      <c r="B254" s="4">
        <f t="shared" ca="1" si="7"/>
        <v>45978</v>
      </c>
    </row>
    <row r="255" spans="1:2" x14ac:dyDescent="0.25">
      <c r="A255" s="3">
        <f t="shared" ca="1" si="6"/>
        <v>45978.546743749997</v>
      </c>
      <c r="B255" s="4">
        <f t="shared" ca="1" si="7"/>
        <v>45978</v>
      </c>
    </row>
    <row r="256" spans="1:2" x14ac:dyDescent="0.25">
      <c r="A256" s="3">
        <f t="shared" ca="1" si="6"/>
        <v>45978.546743749997</v>
      </c>
      <c r="B256" s="4">
        <f t="shared" ca="1" si="7"/>
        <v>45978</v>
      </c>
    </row>
    <row r="257" spans="1:2" x14ac:dyDescent="0.25">
      <c r="A257" s="3">
        <f t="shared" ca="1" si="6"/>
        <v>45978.546743749997</v>
      </c>
      <c r="B257" s="4">
        <f t="shared" ca="1" si="7"/>
        <v>45978</v>
      </c>
    </row>
    <row r="258" spans="1:2" x14ac:dyDescent="0.25">
      <c r="A258" s="3">
        <f t="shared" ca="1" si="6"/>
        <v>45978.546743749997</v>
      </c>
      <c r="B258" s="4">
        <f t="shared" ca="1" si="7"/>
        <v>45978</v>
      </c>
    </row>
    <row r="259" spans="1:2" x14ac:dyDescent="0.25">
      <c r="A259" s="3">
        <f t="shared" ref="A259:A322" ca="1" si="8">NOW()</f>
        <v>45978.546743749997</v>
      </c>
      <c r="B259" s="4">
        <f t="shared" ref="B259:B322" ca="1" si="9">TODAY()</f>
        <v>45978</v>
      </c>
    </row>
    <row r="260" spans="1:2" x14ac:dyDescent="0.25">
      <c r="A260" s="3">
        <f t="shared" ca="1" si="8"/>
        <v>45978.546743749997</v>
      </c>
      <c r="B260" s="4">
        <f t="shared" ca="1" si="9"/>
        <v>45978</v>
      </c>
    </row>
    <row r="261" spans="1:2" x14ac:dyDescent="0.25">
      <c r="A261" s="3">
        <f t="shared" ca="1" si="8"/>
        <v>45978.546743749997</v>
      </c>
      <c r="B261" s="4">
        <f t="shared" ca="1" si="9"/>
        <v>45978</v>
      </c>
    </row>
    <row r="262" spans="1:2" x14ac:dyDescent="0.25">
      <c r="A262" s="3">
        <f t="shared" ca="1" si="8"/>
        <v>45978.546743749997</v>
      </c>
      <c r="B262" s="4">
        <f t="shared" ca="1" si="9"/>
        <v>45978</v>
      </c>
    </row>
    <row r="263" spans="1:2" x14ac:dyDescent="0.25">
      <c r="A263" s="3">
        <f t="shared" ca="1" si="8"/>
        <v>45978.546743749997</v>
      </c>
      <c r="B263" s="4">
        <f t="shared" ca="1" si="9"/>
        <v>45978</v>
      </c>
    </row>
    <row r="264" spans="1:2" x14ac:dyDescent="0.25">
      <c r="A264" s="3">
        <f t="shared" ca="1" si="8"/>
        <v>45978.546743749997</v>
      </c>
      <c r="B264" s="4">
        <f t="shared" ca="1" si="9"/>
        <v>45978</v>
      </c>
    </row>
    <row r="265" spans="1:2" x14ac:dyDescent="0.25">
      <c r="A265" s="3">
        <f t="shared" ca="1" si="8"/>
        <v>45978.546743749997</v>
      </c>
      <c r="B265" s="4">
        <f t="shared" ca="1" si="9"/>
        <v>45978</v>
      </c>
    </row>
    <row r="266" spans="1:2" x14ac:dyDescent="0.25">
      <c r="A266" s="3">
        <f t="shared" ca="1" si="8"/>
        <v>45978.546743749997</v>
      </c>
      <c r="B266" s="4">
        <f t="shared" ca="1" si="9"/>
        <v>45978</v>
      </c>
    </row>
    <row r="267" spans="1:2" x14ac:dyDescent="0.25">
      <c r="A267" s="3">
        <f t="shared" ca="1" si="8"/>
        <v>45978.546743749997</v>
      </c>
      <c r="B267" s="4">
        <f t="shared" ca="1" si="9"/>
        <v>45978</v>
      </c>
    </row>
    <row r="268" spans="1:2" x14ac:dyDescent="0.25">
      <c r="A268" s="3">
        <f t="shared" ca="1" si="8"/>
        <v>45978.546743749997</v>
      </c>
      <c r="B268" s="4">
        <f t="shared" ca="1" si="9"/>
        <v>45978</v>
      </c>
    </row>
    <row r="269" spans="1:2" x14ac:dyDescent="0.25">
      <c r="A269" s="3">
        <f t="shared" ca="1" si="8"/>
        <v>45978.546743749997</v>
      </c>
      <c r="B269" s="4">
        <f t="shared" ca="1" si="9"/>
        <v>45978</v>
      </c>
    </row>
    <row r="270" spans="1:2" x14ac:dyDescent="0.25">
      <c r="A270" s="3">
        <f t="shared" ca="1" si="8"/>
        <v>45978.546743749997</v>
      </c>
      <c r="B270" s="4">
        <f t="shared" ca="1" si="9"/>
        <v>45978</v>
      </c>
    </row>
    <row r="271" spans="1:2" x14ac:dyDescent="0.25">
      <c r="A271" s="3">
        <f t="shared" ca="1" si="8"/>
        <v>45978.546743749997</v>
      </c>
      <c r="B271" s="4">
        <f t="shared" ca="1" si="9"/>
        <v>45978</v>
      </c>
    </row>
    <row r="272" spans="1:2" x14ac:dyDescent="0.25">
      <c r="A272" s="3">
        <f t="shared" ca="1" si="8"/>
        <v>45978.546743749997</v>
      </c>
      <c r="B272" s="4">
        <f t="shared" ca="1" si="9"/>
        <v>45978</v>
      </c>
    </row>
    <row r="273" spans="1:2" x14ac:dyDescent="0.25">
      <c r="A273" s="3">
        <f t="shared" ca="1" si="8"/>
        <v>45978.546743749997</v>
      </c>
      <c r="B273" s="4">
        <f t="shared" ca="1" si="9"/>
        <v>45978</v>
      </c>
    </row>
    <row r="274" spans="1:2" x14ac:dyDescent="0.25">
      <c r="A274" s="3">
        <f t="shared" ca="1" si="8"/>
        <v>45978.546743749997</v>
      </c>
      <c r="B274" s="4">
        <f t="shared" ca="1" si="9"/>
        <v>45978</v>
      </c>
    </row>
    <row r="275" spans="1:2" x14ac:dyDescent="0.25">
      <c r="A275" s="3">
        <f t="shared" ca="1" si="8"/>
        <v>45978.546743749997</v>
      </c>
      <c r="B275" s="4">
        <f t="shared" ca="1" si="9"/>
        <v>45978</v>
      </c>
    </row>
    <row r="276" spans="1:2" x14ac:dyDescent="0.25">
      <c r="A276" s="3">
        <f t="shared" ca="1" si="8"/>
        <v>45978.546743749997</v>
      </c>
      <c r="B276" s="4">
        <f t="shared" ca="1" si="9"/>
        <v>45978</v>
      </c>
    </row>
    <row r="277" spans="1:2" x14ac:dyDescent="0.25">
      <c r="A277" s="3">
        <f t="shared" ca="1" si="8"/>
        <v>45978.546743749997</v>
      </c>
      <c r="B277" s="4">
        <f t="shared" ca="1" si="9"/>
        <v>45978</v>
      </c>
    </row>
    <row r="278" spans="1:2" x14ac:dyDescent="0.25">
      <c r="A278" s="3">
        <f t="shared" ca="1" si="8"/>
        <v>45978.546743749997</v>
      </c>
      <c r="B278" s="4">
        <f t="shared" ca="1" si="9"/>
        <v>45978</v>
      </c>
    </row>
    <row r="279" spans="1:2" x14ac:dyDescent="0.25">
      <c r="A279" s="3">
        <f t="shared" ca="1" si="8"/>
        <v>45978.546743749997</v>
      </c>
      <c r="B279" s="4">
        <f t="shared" ca="1" si="9"/>
        <v>45978</v>
      </c>
    </row>
    <row r="280" spans="1:2" x14ac:dyDescent="0.25">
      <c r="A280" s="3">
        <f t="shared" ca="1" si="8"/>
        <v>45978.546743749997</v>
      </c>
      <c r="B280" s="4">
        <f t="shared" ca="1" si="9"/>
        <v>45978</v>
      </c>
    </row>
    <row r="281" spans="1:2" x14ac:dyDescent="0.25">
      <c r="A281" s="3">
        <f t="shared" ca="1" si="8"/>
        <v>45978.546743749997</v>
      </c>
      <c r="B281" s="4">
        <f t="shared" ca="1" si="9"/>
        <v>45978</v>
      </c>
    </row>
    <row r="282" spans="1:2" x14ac:dyDescent="0.25">
      <c r="A282" s="3">
        <f t="shared" ca="1" si="8"/>
        <v>45978.546743749997</v>
      </c>
      <c r="B282" s="4">
        <f t="shared" ca="1" si="9"/>
        <v>45978</v>
      </c>
    </row>
    <row r="283" spans="1:2" x14ac:dyDescent="0.25">
      <c r="A283" s="3">
        <f t="shared" ca="1" si="8"/>
        <v>45978.546743749997</v>
      </c>
      <c r="B283" s="4">
        <f t="shared" ca="1" si="9"/>
        <v>45978</v>
      </c>
    </row>
    <row r="284" spans="1:2" x14ac:dyDescent="0.25">
      <c r="A284" s="3">
        <f t="shared" ca="1" si="8"/>
        <v>45978.546743749997</v>
      </c>
      <c r="B284" s="4">
        <f t="shared" ca="1" si="9"/>
        <v>45978</v>
      </c>
    </row>
    <row r="285" spans="1:2" x14ac:dyDescent="0.25">
      <c r="A285" s="3">
        <f t="shared" ca="1" si="8"/>
        <v>45978.546743749997</v>
      </c>
      <c r="B285" s="4">
        <f t="shared" ca="1" si="9"/>
        <v>45978</v>
      </c>
    </row>
    <row r="286" spans="1:2" x14ac:dyDescent="0.25">
      <c r="A286" s="3">
        <f t="shared" ca="1" si="8"/>
        <v>45978.546743749997</v>
      </c>
      <c r="B286" s="4">
        <f t="shared" ca="1" si="9"/>
        <v>45978</v>
      </c>
    </row>
    <row r="287" spans="1:2" x14ac:dyDescent="0.25">
      <c r="A287" s="3">
        <f t="shared" ca="1" si="8"/>
        <v>45978.546743749997</v>
      </c>
      <c r="B287" s="4">
        <f t="shared" ca="1" si="9"/>
        <v>45978</v>
      </c>
    </row>
    <row r="288" spans="1:2" x14ac:dyDescent="0.25">
      <c r="A288" s="3">
        <f t="shared" ca="1" si="8"/>
        <v>45978.546743749997</v>
      </c>
      <c r="B288" s="4">
        <f t="shared" ca="1" si="9"/>
        <v>45978</v>
      </c>
    </row>
    <row r="289" spans="1:2" x14ac:dyDescent="0.25">
      <c r="A289" s="3">
        <f t="shared" ca="1" si="8"/>
        <v>45978.546743749997</v>
      </c>
      <c r="B289" s="4">
        <f t="shared" ca="1" si="9"/>
        <v>45978</v>
      </c>
    </row>
    <row r="290" spans="1:2" x14ac:dyDescent="0.25">
      <c r="A290" s="3">
        <f t="shared" ca="1" si="8"/>
        <v>45978.546743749997</v>
      </c>
      <c r="B290" s="4">
        <f t="shared" ca="1" si="9"/>
        <v>45978</v>
      </c>
    </row>
    <row r="291" spans="1:2" x14ac:dyDescent="0.25">
      <c r="A291" s="3">
        <f t="shared" ca="1" si="8"/>
        <v>45978.546743749997</v>
      </c>
      <c r="B291" s="4">
        <f t="shared" ca="1" si="9"/>
        <v>45978</v>
      </c>
    </row>
    <row r="292" spans="1:2" x14ac:dyDescent="0.25">
      <c r="A292" s="3">
        <f t="shared" ca="1" si="8"/>
        <v>45978.546743749997</v>
      </c>
      <c r="B292" s="4">
        <f t="shared" ca="1" si="9"/>
        <v>45978</v>
      </c>
    </row>
    <row r="293" spans="1:2" x14ac:dyDescent="0.25">
      <c r="A293" s="3">
        <f t="shared" ca="1" si="8"/>
        <v>45978.546743749997</v>
      </c>
      <c r="B293" s="4">
        <f t="shared" ca="1" si="9"/>
        <v>45978</v>
      </c>
    </row>
    <row r="294" spans="1:2" x14ac:dyDescent="0.25">
      <c r="A294" s="3">
        <f t="shared" ca="1" si="8"/>
        <v>45978.546743749997</v>
      </c>
      <c r="B294" s="4">
        <f t="shared" ca="1" si="9"/>
        <v>45978</v>
      </c>
    </row>
    <row r="295" spans="1:2" x14ac:dyDescent="0.25">
      <c r="A295" s="3">
        <f t="shared" ca="1" si="8"/>
        <v>45978.546743749997</v>
      </c>
      <c r="B295" s="4">
        <f t="shared" ca="1" si="9"/>
        <v>45978</v>
      </c>
    </row>
    <row r="296" spans="1:2" x14ac:dyDescent="0.25">
      <c r="A296" s="3">
        <f t="shared" ca="1" si="8"/>
        <v>45978.546743749997</v>
      </c>
      <c r="B296" s="4">
        <f t="shared" ca="1" si="9"/>
        <v>45978</v>
      </c>
    </row>
    <row r="297" spans="1:2" x14ac:dyDescent="0.25">
      <c r="A297" s="3">
        <f t="shared" ca="1" si="8"/>
        <v>45978.546743749997</v>
      </c>
      <c r="B297" s="4">
        <f t="shared" ca="1" si="9"/>
        <v>45978</v>
      </c>
    </row>
    <row r="298" spans="1:2" x14ac:dyDescent="0.25">
      <c r="A298" s="3">
        <f t="shared" ca="1" si="8"/>
        <v>45978.546743749997</v>
      </c>
      <c r="B298" s="4">
        <f t="shared" ca="1" si="9"/>
        <v>45978</v>
      </c>
    </row>
    <row r="299" spans="1:2" x14ac:dyDescent="0.25">
      <c r="A299" s="3">
        <f t="shared" ca="1" si="8"/>
        <v>45978.546743749997</v>
      </c>
      <c r="B299" s="4">
        <f t="shared" ca="1" si="9"/>
        <v>45978</v>
      </c>
    </row>
    <row r="300" spans="1:2" x14ac:dyDescent="0.25">
      <c r="A300" s="3">
        <f t="shared" ca="1" si="8"/>
        <v>45978.546743749997</v>
      </c>
      <c r="B300" s="4">
        <f t="shared" ca="1" si="9"/>
        <v>45978</v>
      </c>
    </row>
    <row r="301" spans="1:2" x14ac:dyDescent="0.25">
      <c r="A301" s="3">
        <f t="shared" ca="1" si="8"/>
        <v>45978.546743749997</v>
      </c>
      <c r="B301" s="4">
        <f t="shared" ca="1" si="9"/>
        <v>45978</v>
      </c>
    </row>
    <row r="302" spans="1:2" x14ac:dyDescent="0.25">
      <c r="A302" s="3">
        <f t="shared" ca="1" si="8"/>
        <v>45978.546743749997</v>
      </c>
      <c r="B302" s="4">
        <f t="shared" ca="1" si="9"/>
        <v>45978</v>
      </c>
    </row>
    <row r="303" spans="1:2" x14ac:dyDescent="0.25">
      <c r="A303" s="3">
        <f t="shared" ca="1" si="8"/>
        <v>45978.546743749997</v>
      </c>
      <c r="B303" s="4">
        <f t="shared" ca="1" si="9"/>
        <v>45978</v>
      </c>
    </row>
    <row r="304" spans="1:2" x14ac:dyDescent="0.25">
      <c r="A304" s="3">
        <f t="shared" ca="1" si="8"/>
        <v>45978.546743749997</v>
      </c>
      <c r="B304" s="4">
        <f t="shared" ca="1" si="9"/>
        <v>45978</v>
      </c>
    </row>
    <row r="305" spans="1:2" x14ac:dyDescent="0.25">
      <c r="A305" s="3">
        <f t="shared" ca="1" si="8"/>
        <v>45978.546743749997</v>
      </c>
      <c r="B305" s="4">
        <f t="shared" ca="1" si="9"/>
        <v>45978</v>
      </c>
    </row>
    <row r="306" spans="1:2" x14ac:dyDescent="0.25">
      <c r="A306" s="3">
        <f t="shared" ca="1" si="8"/>
        <v>45978.546743749997</v>
      </c>
      <c r="B306" s="4">
        <f t="shared" ca="1" si="9"/>
        <v>45978</v>
      </c>
    </row>
    <row r="307" spans="1:2" x14ac:dyDescent="0.25">
      <c r="A307" s="3">
        <f t="shared" ca="1" si="8"/>
        <v>45978.546743749997</v>
      </c>
      <c r="B307" s="4">
        <f t="shared" ca="1" si="9"/>
        <v>45978</v>
      </c>
    </row>
    <row r="308" spans="1:2" x14ac:dyDescent="0.25">
      <c r="A308" s="3">
        <f t="shared" ca="1" si="8"/>
        <v>45978.546743749997</v>
      </c>
      <c r="B308" s="4">
        <f t="shared" ca="1" si="9"/>
        <v>45978</v>
      </c>
    </row>
    <row r="309" spans="1:2" x14ac:dyDescent="0.25">
      <c r="A309" s="3">
        <f t="shared" ca="1" si="8"/>
        <v>45978.546743749997</v>
      </c>
      <c r="B309" s="4">
        <f t="shared" ca="1" si="9"/>
        <v>45978</v>
      </c>
    </row>
    <row r="310" spans="1:2" x14ac:dyDescent="0.25">
      <c r="A310" s="3">
        <f t="shared" ca="1" si="8"/>
        <v>45978.546743749997</v>
      </c>
      <c r="B310" s="4">
        <f t="shared" ca="1" si="9"/>
        <v>45978</v>
      </c>
    </row>
    <row r="311" spans="1:2" x14ac:dyDescent="0.25">
      <c r="A311" s="3">
        <f t="shared" ca="1" si="8"/>
        <v>45978.546743749997</v>
      </c>
      <c r="B311" s="4">
        <f t="shared" ca="1" si="9"/>
        <v>45978</v>
      </c>
    </row>
    <row r="312" spans="1:2" x14ac:dyDescent="0.25">
      <c r="A312" s="3">
        <f t="shared" ca="1" si="8"/>
        <v>45978.546743749997</v>
      </c>
      <c r="B312" s="4">
        <f t="shared" ca="1" si="9"/>
        <v>45978</v>
      </c>
    </row>
    <row r="313" spans="1:2" x14ac:dyDescent="0.25">
      <c r="A313" s="3">
        <f t="shared" ca="1" si="8"/>
        <v>45978.546743749997</v>
      </c>
      <c r="B313" s="4">
        <f t="shared" ca="1" si="9"/>
        <v>45978</v>
      </c>
    </row>
    <row r="314" spans="1:2" x14ac:dyDescent="0.25">
      <c r="A314" s="3">
        <f t="shared" ca="1" si="8"/>
        <v>45978.546743749997</v>
      </c>
      <c r="B314" s="4">
        <f t="shared" ca="1" si="9"/>
        <v>45978</v>
      </c>
    </row>
    <row r="315" spans="1:2" x14ac:dyDescent="0.25">
      <c r="A315" s="3">
        <f t="shared" ca="1" si="8"/>
        <v>45978.546743749997</v>
      </c>
      <c r="B315" s="4">
        <f t="shared" ca="1" si="9"/>
        <v>45978</v>
      </c>
    </row>
    <row r="316" spans="1:2" x14ac:dyDescent="0.25">
      <c r="A316" s="3">
        <f t="shared" ca="1" si="8"/>
        <v>45978.546743749997</v>
      </c>
      <c r="B316" s="4">
        <f t="shared" ca="1" si="9"/>
        <v>45978</v>
      </c>
    </row>
    <row r="317" spans="1:2" x14ac:dyDescent="0.25">
      <c r="A317" s="3">
        <f t="shared" ca="1" si="8"/>
        <v>45978.546743749997</v>
      </c>
      <c r="B317" s="4">
        <f t="shared" ca="1" si="9"/>
        <v>45978</v>
      </c>
    </row>
    <row r="318" spans="1:2" x14ac:dyDescent="0.25">
      <c r="A318" s="3">
        <f t="shared" ca="1" si="8"/>
        <v>45978.546743749997</v>
      </c>
      <c r="B318" s="4">
        <f t="shared" ca="1" si="9"/>
        <v>45978</v>
      </c>
    </row>
    <row r="319" spans="1:2" x14ac:dyDescent="0.25">
      <c r="A319" s="3">
        <f t="shared" ca="1" si="8"/>
        <v>45978.546743749997</v>
      </c>
      <c r="B319" s="4">
        <f t="shared" ca="1" si="9"/>
        <v>45978</v>
      </c>
    </row>
    <row r="320" spans="1:2" x14ac:dyDescent="0.25">
      <c r="A320" s="3">
        <f t="shared" ca="1" si="8"/>
        <v>45978.546743749997</v>
      </c>
      <c r="B320" s="4">
        <f t="shared" ca="1" si="9"/>
        <v>45978</v>
      </c>
    </row>
    <row r="321" spans="1:2" x14ac:dyDescent="0.25">
      <c r="A321" s="3">
        <f t="shared" ca="1" si="8"/>
        <v>45978.546743749997</v>
      </c>
      <c r="B321" s="4">
        <f t="shared" ca="1" si="9"/>
        <v>45978</v>
      </c>
    </row>
    <row r="322" spans="1:2" x14ac:dyDescent="0.25">
      <c r="A322" s="3">
        <f t="shared" ca="1" si="8"/>
        <v>45978.546743749997</v>
      </c>
      <c r="B322" s="4">
        <f t="shared" ca="1" si="9"/>
        <v>45978</v>
      </c>
    </row>
    <row r="323" spans="1:2" x14ac:dyDescent="0.25">
      <c r="A323" s="3">
        <f t="shared" ref="A323:A386" ca="1" si="10">NOW()</f>
        <v>45978.546743749997</v>
      </c>
      <c r="B323" s="4">
        <f t="shared" ref="B323:B386" ca="1" si="11">TODAY()</f>
        <v>45978</v>
      </c>
    </row>
    <row r="324" spans="1:2" x14ac:dyDescent="0.25">
      <c r="A324" s="3">
        <f t="shared" ca="1" si="10"/>
        <v>45978.546743749997</v>
      </c>
      <c r="B324" s="4">
        <f t="shared" ca="1" si="11"/>
        <v>45978</v>
      </c>
    </row>
    <row r="325" spans="1:2" x14ac:dyDescent="0.25">
      <c r="A325" s="3">
        <f t="shared" ca="1" si="10"/>
        <v>45978.546743749997</v>
      </c>
      <c r="B325" s="4">
        <f t="shared" ca="1" si="11"/>
        <v>45978</v>
      </c>
    </row>
    <row r="326" spans="1:2" x14ac:dyDescent="0.25">
      <c r="A326" s="3">
        <f t="shared" ca="1" si="10"/>
        <v>45978.546743749997</v>
      </c>
      <c r="B326" s="4">
        <f t="shared" ca="1" si="11"/>
        <v>45978</v>
      </c>
    </row>
    <row r="327" spans="1:2" x14ac:dyDescent="0.25">
      <c r="A327" s="3">
        <f t="shared" ca="1" si="10"/>
        <v>45978.546743749997</v>
      </c>
      <c r="B327" s="4">
        <f t="shared" ca="1" si="11"/>
        <v>45978</v>
      </c>
    </row>
    <row r="328" spans="1:2" x14ac:dyDescent="0.25">
      <c r="A328" s="3">
        <f t="shared" ca="1" si="10"/>
        <v>45978.546743749997</v>
      </c>
      <c r="B328" s="4">
        <f t="shared" ca="1" si="11"/>
        <v>45978</v>
      </c>
    </row>
    <row r="329" spans="1:2" x14ac:dyDescent="0.25">
      <c r="A329" s="3">
        <f t="shared" ca="1" si="10"/>
        <v>45978.546743749997</v>
      </c>
      <c r="B329" s="4">
        <f t="shared" ca="1" si="11"/>
        <v>45978</v>
      </c>
    </row>
    <row r="330" spans="1:2" x14ac:dyDescent="0.25">
      <c r="A330" s="3">
        <f t="shared" ca="1" si="10"/>
        <v>45978.546743749997</v>
      </c>
      <c r="B330" s="4">
        <f t="shared" ca="1" si="11"/>
        <v>45978</v>
      </c>
    </row>
    <row r="331" spans="1:2" x14ac:dyDescent="0.25">
      <c r="A331" s="3">
        <f t="shared" ca="1" si="10"/>
        <v>45978.546743749997</v>
      </c>
      <c r="B331" s="4">
        <f t="shared" ca="1" si="11"/>
        <v>45978</v>
      </c>
    </row>
    <row r="332" spans="1:2" x14ac:dyDescent="0.25">
      <c r="A332" s="3">
        <f t="shared" ca="1" si="10"/>
        <v>45978.546743749997</v>
      </c>
      <c r="B332" s="4">
        <f t="shared" ca="1" si="11"/>
        <v>45978</v>
      </c>
    </row>
    <row r="333" spans="1:2" x14ac:dyDescent="0.25">
      <c r="A333" s="3">
        <f t="shared" ca="1" si="10"/>
        <v>45978.546743749997</v>
      </c>
      <c r="B333" s="4">
        <f t="shared" ca="1" si="11"/>
        <v>45978</v>
      </c>
    </row>
    <row r="334" spans="1:2" x14ac:dyDescent="0.25">
      <c r="A334" s="3">
        <f t="shared" ca="1" si="10"/>
        <v>45978.546743749997</v>
      </c>
      <c r="B334" s="4">
        <f t="shared" ca="1" si="11"/>
        <v>45978</v>
      </c>
    </row>
    <row r="335" spans="1:2" x14ac:dyDescent="0.25">
      <c r="A335" s="3">
        <f t="shared" ca="1" si="10"/>
        <v>45978.546743749997</v>
      </c>
      <c r="B335" s="4">
        <f t="shared" ca="1" si="11"/>
        <v>45978</v>
      </c>
    </row>
    <row r="336" spans="1:2" x14ac:dyDescent="0.25">
      <c r="A336" s="3">
        <f t="shared" ca="1" si="10"/>
        <v>45978.546743749997</v>
      </c>
      <c r="B336" s="4">
        <f t="shared" ca="1" si="11"/>
        <v>45978</v>
      </c>
    </row>
    <row r="337" spans="1:2" x14ac:dyDescent="0.25">
      <c r="A337" s="3">
        <f t="shared" ca="1" si="10"/>
        <v>45978.546743749997</v>
      </c>
      <c r="B337" s="4">
        <f t="shared" ca="1" si="11"/>
        <v>45978</v>
      </c>
    </row>
    <row r="338" spans="1:2" x14ac:dyDescent="0.25">
      <c r="A338" s="3">
        <f t="shared" ca="1" si="10"/>
        <v>45978.546743749997</v>
      </c>
      <c r="B338" s="4">
        <f t="shared" ca="1" si="11"/>
        <v>45978</v>
      </c>
    </row>
    <row r="339" spans="1:2" x14ac:dyDescent="0.25">
      <c r="A339" s="3">
        <f t="shared" ca="1" si="10"/>
        <v>45978.546743749997</v>
      </c>
      <c r="B339" s="4">
        <f t="shared" ca="1" si="11"/>
        <v>45978</v>
      </c>
    </row>
    <row r="340" spans="1:2" x14ac:dyDescent="0.25">
      <c r="A340" s="3">
        <f t="shared" ca="1" si="10"/>
        <v>45978.546743749997</v>
      </c>
      <c r="B340" s="4">
        <f t="shared" ca="1" si="11"/>
        <v>45978</v>
      </c>
    </row>
    <row r="341" spans="1:2" x14ac:dyDescent="0.25">
      <c r="A341" s="3">
        <f t="shared" ca="1" si="10"/>
        <v>45978.546743749997</v>
      </c>
      <c r="B341" s="4">
        <f t="shared" ca="1" si="11"/>
        <v>45978</v>
      </c>
    </row>
    <row r="342" spans="1:2" x14ac:dyDescent="0.25">
      <c r="A342" s="3">
        <f t="shared" ca="1" si="10"/>
        <v>45978.546743749997</v>
      </c>
      <c r="B342" s="4">
        <f t="shared" ca="1" si="11"/>
        <v>45978</v>
      </c>
    </row>
    <row r="343" spans="1:2" x14ac:dyDescent="0.25">
      <c r="A343" s="3">
        <f t="shared" ca="1" si="10"/>
        <v>45978.546743749997</v>
      </c>
      <c r="B343" s="4">
        <f t="shared" ca="1" si="11"/>
        <v>45978</v>
      </c>
    </row>
    <row r="344" spans="1:2" x14ac:dyDescent="0.25">
      <c r="A344" s="3">
        <f t="shared" ca="1" si="10"/>
        <v>45978.546743749997</v>
      </c>
      <c r="B344" s="4">
        <f t="shared" ca="1" si="11"/>
        <v>45978</v>
      </c>
    </row>
    <row r="345" spans="1:2" x14ac:dyDescent="0.25">
      <c r="A345" s="3">
        <f t="shared" ca="1" si="10"/>
        <v>45978.546743749997</v>
      </c>
      <c r="B345" s="4">
        <f t="shared" ca="1" si="11"/>
        <v>45978</v>
      </c>
    </row>
    <row r="346" spans="1:2" x14ac:dyDescent="0.25">
      <c r="A346" s="3">
        <f t="shared" ca="1" si="10"/>
        <v>45978.546743749997</v>
      </c>
      <c r="B346" s="4">
        <f t="shared" ca="1" si="11"/>
        <v>45978</v>
      </c>
    </row>
    <row r="347" spans="1:2" x14ac:dyDescent="0.25">
      <c r="A347" s="3">
        <f t="shared" ca="1" si="10"/>
        <v>45978.546743749997</v>
      </c>
      <c r="B347" s="4">
        <f t="shared" ca="1" si="11"/>
        <v>45978</v>
      </c>
    </row>
    <row r="348" spans="1:2" x14ac:dyDescent="0.25">
      <c r="A348" s="3">
        <f t="shared" ca="1" si="10"/>
        <v>45978.546743749997</v>
      </c>
      <c r="B348" s="4">
        <f t="shared" ca="1" si="11"/>
        <v>45978</v>
      </c>
    </row>
    <row r="349" spans="1:2" x14ac:dyDescent="0.25">
      <c r="A349" s="3">
        <f t="shared" ca="1" si="10"/>
        <v>45978.546743749997</v>
      </c>
      <c r="B349" s="4">
        <f t="shared" ca="1" si="11"/>
        <v>45978</v>
      </c>
    </row>
    <row r="350" spans="1:2" x14ac:dyDescent="0.25">
      <c r="A350" s="3">
        <f t="shared" ca="1" si="10"/>
        <v>45978.546743749997</v>
      </c>
      <c r="B350" s="4">
        <f t="shared" ca="1" si="11"/>
        <v>45978</v>
      </c>
    </row>
    <row r="351" spans="1:2" x14ac:dyDescent="0.25">
      <c r="A351" s="3">
        <f t="shared" ca="1" si="10"/>
        <v>45978.546743749997</v>
      </c>
      <c r="B351" s="4">
        <f t="shared" ca="1" si="11"/>
        <v>45978</v>
      </c>
    </row>
    <row r="352" spans="1:2" x14ac:dyDescent="0.25">
      <c r="A352" s="3">
        <f t="shared" ca="1" si="10"/>
        <v>45978.546743749997</v>
      </c>
      <c r="B352" s="4">
        <f t="shared" ca="1" si="11"/>
        <v>45978</v>
      </c>
    </row>
    <row r="353" spans="1:2" x14ac:dyDescent="0.25">
      <c r="A353" s="3">
        <f t="shared" ca="1" si="10"/>
        <v>45978.546743749997</v>
      </c>
      <c r="B353" s="4">
        <f t="shared" ca="1" si="11"/>
        <v>45978</v>
      </c>
    </row>
    <row r="354" spans="1:2" x14ac:dyDescent="0.25">
      <c r="A354" s="3">
        <f t="shared" ca="1" si="10"/>
        <v>45978.546743749997</v>
      </c>
      <c r="B354" s="4">
        <f t="shared" ca="1" si="11"/>
        <v>45978</v>
      </c>
    </row>
    <row r="355" spans="1:2" x14ac:dyDescent="0.25">
      <c r="A355" s="3">
        <f t="shared" ca="1" si="10"/>
        <v>45978.546743749997</v>
      </c>
      <c r="B355" s="4">
        <f t="shared" ca="1" si="11"/>
        <v>45978</v>
      </c>
    </row>
    <row r="356" spans="1:2" x14ac:dyDescent="0.25">
      <c r="A356" s="3">
        <f t="shared" ca="1" si="10"/>
        <v>45978.546743749997</v>
      </c>
      <c r="B356" s="4">
        <f t="shared" ca="1" si="11"/>
        <v>45978</v>
      </c>
    </row>
    <row r="357" spans="1:2" x14ac:dyDescent="0.25">
      <c r="A357" s="3">
        <f t="shared" ca="1" si="10"/>
        <v>45978.546743749997</v>
      </c>
      <c r="B357" s="4">
        <f t="shared" ca="1" si="11"/>
        <v>45978</v>
      </c>
    </row>
    <row r="358" spans="1:2" x14ac:dyDescent="0.25">
      <c r="A358" s="3">
        <f t="shared" ca="1" si="10"/>
        <v>45978.546743749997</v>
      </c>
      <c r="B358" s="4">
        <f t="shared" ca="1" si="11"/>
        <v>45978</v>
      </c>
    </row>
    <row r="359" spans="1:2" x14ac:dyDescent="0.25">
      <c r="A359" s="3">
        <f t="shared" ca="1" si="10"/>
        <v>45978.546743749997</v>
      </c>
      <c r="B359" s="4">
        <f t="shared" ca="1" si="11"/>
        <v>45978</v>
      </c>
    </row>
    <row r="360" spans="1:2" x14ac:dyDescent="0.25">
      <c r="A360" s="3">
        <f t="shared" ca="1" si="10"/>
        <v>45978.546743749997</v>
      </c>
      <c r="B360" s="4">
        <f t="shared" ca="1" si="11"/>
        <v>45978</v>
      </c>
    </row>
    <row r="361" spans="1:2" x14ac:dyDescent="0.25">
      <c r="A361" s="3">
        <f t="shared" ca="1" si="10"/>
        <v>45978.546743749997</v>
      </c>
      <c r="B361" s="4">
        <f t="shared" ca="1" si="11"/>
        <v>45978</v>
      </c>
    </row>
    <row r="362" spans="1:2" x14ac:dyDescent="0.25">
      <c r="A362" s="3">
        <f t="shared" ca="1" si="10"/>
        <v>45978.546743749997</v>
      </c>
      <c r="B362" s="4">
        <f t="shared" ca="1" si="11"/>
        <v>45978</v>
      </c>
    </row>
    <row r="363" spans="1:2" x14ac:dyDescent="0.25">
      <c r="A363" s="3">
        <f t="shared" ca="1" si="10"/>
        <v>45978.546743749997</v>
      </c>
      <c r="B363" s="4">
        <f t="shared" ca="1" si="11"/>
        <v>45978</v>
      </c>
    </row>
    <row r="364" spans="1:2" x14ac:dyDescent="0.25">
      <c r="A364" s="3">
        <f t="shared" ca="1" si="10"/>
        <v>45978.546743749997</v>
      </c>
      <c r="B364" s="4">
        <f t="shared" ca="1" si="11"/>
        <v>45978</v>
      </c>
    </row>
    <row r="365" spans="1:2" x14ac:dyDescent="0.25">
      <c r="A365" s="3">
        <f t="shared" ca="1" si="10"/>
        <v>45978.546743749997</v>
      </c>
      <c r="B365" s="4">
        <f t="shared" ca="1" si="11"/>
        <v>45978</v>
      </c>
    </row>
    <row r="366" spans="1:2" x14ac:dyDescent="0.25">
      <c r="A366" s="3">
        <f t="shared" ca="1" si="10"/>
        <v>45978.546743749997</v>
      </c>
      <c r="B366" s="4">
        <f t="shared" ca="1" si="11"/>
        <v>45978</v>
      </c>
    </row>
    <row r="367" spans="1:2" x14ac:dyDescent="0.25">
      <c r="A367" s="3">
        <f t="shared" ca="1" si="10"/>
        <v>45978.546743749997</v>
      </c>
      <c r="B367" s="4">
        <f t="shared" ca="1" si="11"/>
        <v>45978</v>
      </c>
    </row>
    <row r="368" spans="1:2" x14ac:dyDescent="0.25">
      <c r="A368" s="3">
        <f t="shared" ca="1" si="10"/>
        <v>45978.546743749997</v>
      </c>
      <c r="B368" s="4">
        <f t="shared" ca="1" si="11"/>
        <v>45978</v>
      </c>
    </row>
    <row r="369" spans="1:2" x14ac:dyDescent="0.25">
      <c r="A369" s="3">
        <f t="shared" ca="1" si="10"/>
        <v>45978.546743749997</v>
      </c>
      <c r="B369" s="4">
        <f t="shared" ca="1" si="11"/>
        <v>45978</v>
      </c>
    </row>
    <row r="370" spans="1:2" x14ac:dyDescent="0.25">
      <c r="A370" s="3">
        <f t="shared" ca="1" si="10"/>
        <v>45978.546743749997</v>
      </c>
      <c r="B370" s="4">
        <f t="shared" ca="1" si="11"/>
        <v>45978</v>
      </c>
    </row>
    <row r="371" spans="1:2" x14ac:dyDescent="0.25">
      <c r="A371" s="3">
        <f t="shared" ca="1" si="10"/>
        <v>45978.546743749997</v>
      </c>
      <c r="B371" s="4">
        <f t="shared" ca="1" si="11"/>
        <v>45978</v>
      </c>
    </row>
    <row r="372" spans="1:2" x14ac:dyDescent="0.25">
      <c r="A372" s="3">
        <f t="shared" ca="1" si="10"/>
        <v>45978.546743749997</v>
      </c>
      <c r="B372" s="4">
        <f t="shared" ca="1" si="11"/>
        <v>45978</v>
      </c>
    </row>
    <row r="373" spans="1:2" x14ac:dyDescent="0.25">
      <c r="A373" s="3">
        <f t="shared" ca="1" si="10"/>
        <v>45978.546743749997</v>
      </c>
      <c r="B373" s="4">
        <f t="shared" ca="1" si="11"/>
        <v>45978</v>
      </c>
    </row>
    <row r="374" spans="1:2" x14ac:dyDescent="0.25">
      <c r="A374" s="3">
        <f t="shared" ca="1" si="10"/>
        <v>45978.546743749997</v>
      </c>
      <c r="B374" s="4">
        <f t="shared" ca="1" si="11"/>
        <v>45978</v>
      </c>
    </row>
    <row r="375" spans="1:2" x14ac:dyDescent="0.25">
      <c r="A375" s="3">
        <f t="shared" ca="1" si="10"/>
        <v>45978.546743749997</v>
      </c>
      <c r="B375" s="4">
        <f t="shared" ca="1" si="11"/>
        <v>45978</v>
      </c>
    </row>
    <row r="376" spans="1:2" x14ac:dyDescent="0.25">
      <c r="A376" s="3">
        <f t="shared" ca="1" si="10"/>
        <v>45978.546743749997</v>
      </c>
      <c r="B376" s="4">
        <f t="shared" ca="1" si="11"/>
        <v>45978</v>
      </c>
    </row>
    <row r="377" spans="1:2" x14ac:dyDescent="0.25">
      <c r="A377" s="3">
        <f t="shared" ca="1" si="10"/>
        <v>45978.546743749997</v>
      </c>
      <c r="B377" s="4">
        <f t="shared" ca="1" si="11"/>
        <v>45978</v>
      </c>
    </row>
    <row r="378" spans="1:2" x14ac:dyDescent="0.25">
      <c r="A378" s="3">
        <f t="shared" ca="1" si="10"/>
        <v>45978.546743749997</v>
      </c>
      <c r="B378" s="4">
        <f t="shared" ca="1" si="11"/>
        <v>45978</v>
      </c>
    </row>
    <row r="379" spans="1:2" x14ac:dyDescent="0.25">
      <c r="A379" s="3">
        <f t="shared" ca="1" si="10"/>
        <v>45978.546743749997</v>
      </c>
      <c r="B379" s="4">
        <f t="shared" ca="1" si="11"/>
        <v>45978</v>
      </c>
    </row>
    <row r="380" spans="1:2" x14ac:dyDescent="0.25">
      <c r="A380" s="3">
        <f t="shared" ca="1" si="10"/>
        <v>45978.546743749997</v>
      </c>
      <c r="B380" s="4">
        <f t="shared" ca="1" si="11"/>
        <v>45978</v>
      </c>
    </row>
    <row r="381" spans="1:2" x14ac:dyDescent="0.25">
      <c r="A381" s="3">
        <f t="shared" ca="1" si="10"/>
        <v>45978.546743749997</v>
      </c>
      <c r="B381" s="4">
        <f t="shared" ca="1" si="11"/>
        <v>45978</v>
      </c>
    </row>
    <row r="382" spans="1:2" x14ac:dyDescent="0.25">
      <c r="A382" s="3">
        <f t="shared" ca="1" si="10"/>
        <v>45978.546743749997</v>
      </c>
      <c r="B382" s="4">
        <f t="shared" ca="1" si="11"/>
        <v>45978</v>
      </c>
    </row>
    <row r="383" spans="1:2" x14ac:dyDescent="0.25">
      <c r="A383" s="3">
        <f t="shared" ca="1" si="10"/>
        <v>45978.546743749997</v>
      </c>
      <c r="B383" s="4">
        <f t="shared" ca="1" si="11"/>
        <v>45978</v>
      </c>
    </row>
    <row r="384" spans="1:2" x14ac:dyDescent="0.25">
      <c r="A384" s="3">
        <f t="shared" ca="1" si="10"/>
        <v>45978.546743749997</v>
      </c>
      <c r="B384" s="4">
        <f t="shared" ca="1" si="11"/>
        <v>45978</v>
      </c>
    </row>
    <row r="385" spans="1:2" x14ac:dyDescent="0.25">
      <c r="A385" s="3">
        <f t="shared" ca="1" si="10"/>
        <v>45978.546743749997</v>
      </c>
      <c r="B385" s="4">
        <f t="shared" ca="1" si="11"/>
        <v>45978</v>
      </c>
    </row>
    <row r="386" spans="1:2" x14ac:dyDescent="0.25">
      <c r="A386" s="3">
        <f t="shared" ca="1" si="10"/>
        <v>45978.546743749997</v>
      </c>
      <c r="B386" s="4">
        <f t="shared" ca="1" si="11"/>
        <v>45978</v>
      </c>
    </row>
    <row r="387" spans="1:2" x14ac:dyDescent="0.25">
      <c r="A387" s="3">
        <f t="shared" ref="A387:A450" ca="1" si="12">NOW()</f>
        <v>45978.546743749997</v>
      </c>
      <c r="B387" s="4">
        <f t="shared" ref="B387:B450" ca="1" si="13">TODAY()</f>
        <v>45978</v>
      </c>
    </row>
    <row r="388" spans="1:2" x14ac:dyDescent="0.25">
      <c r="A388" s="3">
        <f t="shared" ca="1" si="12"/>
        <v>45978.546743749997</v>
      </c>
      <c r="B388" s="4">
        <f t="shared" ca="1" si="13"/>
        <v>45978</v>
      </c>
    </row>
    <row r="389" spans="1:2" x14ac:dyDescent="0.25">
      <c r="A389" s="3">
        <f t="shared" ca="1" si="12"/>
        <v>45978.546743749997</v>
      </c>
      <c r="B389" s="4">
        <f t="shared" ca="1" si="13"/>
        <v>45978</v>
      </c>
    </row>
    <row r="390" spans="1:2" x14ac:dyDescent="0.25">
      <c r="A390" s="3">
        <f t="shared" ca="1" si="12"/>
        <v>45978.546743749997</v>
      </c>
      <c r="B390" s="4">
        <f t="shared" ca="1" si="13"/>
        <v>45978</v>
      </c>
    </row>
    <row r="391" spans="1:2" x14ac:dyDescent="0.25">
      <c r="A391" s="3">
        <f t="shared" ca="1" si="12"/>
        <v>45978.546743749997</v>
      </c>
      <c r="B391" s="4">
        <f t="shared" ca="1" si="13"/>
        <v>45978</v>
      </c>
    </row>
    <row r="392" spans="1:2" x14ac:dyDescent="0.25">
      <c r="A392" s="3">
        <f t="shared" ca="1" si="12"/>
        <v>45978.546743749997</v>
      </c>
      <c r="B392" s="4">
        <f t="shared" ca="1" si="13"/>
        <v>45978</v>
      </c>
    </row>
    <row r="393" spans="1:2" x14ac:dyDescent="0.25">
      <c r="A393" s="3">
        <f t="shared" ca="1" si="12"/>
        <v>45978.546743749997</v>
      </c>
      <c r="B393" s="4">
        <f t="shared" ca="1" si="13"/>
        <v>45978</v>
      </c>
    </row>
    <row r="394" spans="1:2" x14ac:dyDescent="0.25">
      <c r="A394" s="3">
        <f t="shared" ca="1" si="12"/>
        <v>45978.546743749997</v>
      </c>
      <c r="B394" s="4">
        <f t="shared" ca="1" si="13"/>
        <v>45978</v>
      </c>
    </row>
    <row r="395" spans="1:2" x14ac:dyDescent="0.25">
      <c r="A395" s="3">
        <f t="shared" ca="1" si="12"/>
        <v>45978.546743749997</v>
      </c>
      <c r="B395" s="4">
        <f t="shared" ca="1" si="13"/>
        <v>45978</v>
      </c>
    </row>
    <row r="396" spans="1:2" x14ac:dyDescent="0.25">
      <c r="A396" s="3">
        <f t="shared" ca="1" si="12"/>
        <v>45978.546743749997</v>
      </c>
      <c r="B396" s="4">
        <f t="shared" ca="1" si="13"/>
        <v>45978</v>
      </c>
    </row>
    <row r="397" spans="1:2" x14ac:dyDescent="0.25">
      <c r="A397" s="3">
        <f t="shared" ca="1" si="12"/>
        <v>45978.546743749997</v>
      </c>
      <c r="B397" s="4">
        <f t="shared" ca="1" si="13"/>
        <v>45978</v>
      </c>
    </row>
    <row r="398" spans="1:2" x14ac:dyDescent="0.25">
      <c r="A398" s="3">
        <f t="shared" ca="1" si="12"/>
        <v>45978.546743749997</v>
      </c>
      <c r="B398" s="4">
        <f t="shared" ca="1" si="13"/>
        <v>45978</v>
      </c>
    </row>
    <row r="399" spans="1:2" x14ac:dyDescent="0.25">
      <c r="A399" s="3">
        <f t="shared" ca="1" si="12"/>
        <v>45978.546743749997</v>
      </c>
      <c r="B399" s="4">
        <f t="shared" ca="1" si="13"/>
        <v>45978</v>
      </c>
    </row>
    <row r="400" spans="1:2" x14ac:dyDescent="0.25">
      <c r="A400" s="3">
        <f t="shared" ca="1" si="12"/>
        <v>45978.546743749997</v>
      </c>
      <c r="B400" s="4">
        <f t="shared" ca="1" si="13"/>
        <v>45978</v>
      </c>
    </row>
    <row r="401" spans="1:2" x14ac:dyDescent="0.25">
      <c r="A401" s="3">
        <f t="shared" ca="1" si="12"/>
        <v>45978.546743749997</v>
      </c>
      <c r="B401" s="4">
        <f t="shared" ca="1" si="13"/>
        <v>45978</v>
      </c>
    </row>
    <row r="402" spans="1:2" x14ac:dyDescent="0.25">
      <c r="A402" s="3">
        <f t="shared" ca="1" si="12"/>
        <v>45978.546743749997</v>
      </c>
      <c r="B402" s="4">
        <f t="shared" ca="1" si="13"/>
        <v>45978</v>
      </c>
    </row>
    <row r="403" spans="1:2" x14ac:dyDescent="0.25">
      <c r="A403" s="3">
        <f t="shared" ca="1" si="12"/>
        <v>45978.546743749997</v>
      </c>
      <c r="B403" s="4">
        <f t="shared" ca="1" si="13"/>
        <v>45978</v>
      </c>
    </row>
    <row r="404" spans="1:2" x14ac:dyDescent="0.25">
      <c r="A404" s="3">
        <f t="shared" ca="1" si="12"/>
        <v>45978.546743749997</v>
      </c>
      <c r="B404" s="4">
        <f t="shared" ca="1" si="13"/>
        <v>45978</v>
      </c>
    </row>
    <row r="405" spans="1:2" x14ac:dyDescent="0.25">
      <c r="A405" s="3">
        <f t="shared" ca="1" si="12"/>
        <v>45978.546743749997</v>
      </c>
      <c r="B405" s="4">
        <f t="shared" ca="1" si="13"/>
        <v>45978</v>
      </c>
    </row>
    <row r="406" spans="1:2" x14ac:dyDescent="0.25">
      <c r="A406" s="3">
        <f t="shared" ca="1" si="12"/>
        <v>45978.546743749997</v>
      </c>
      <c r="B406" s="4">
        <f t="shared" ca="1" si="13"/>
        <v>45978</v>
      </c>
    </row>
    <row r="407" spans="1:2" x14ac:dyDescent="0.25">
      <c r="A407" s="3">
        <f t="shared" ca="1" si="12"/>
        <v>45978.546743749997</v>
      </c>
      <c r="B407" s="4">
        <f t="shared" ca="1" si="13"/>
        <v>45978</v>
      </c>
    </row>
    <row r="408" spans="1:2" x14ac:dyDescent="0.25">
      <c r="A408" s="3">
        <f t="shared" ca="1" si="12"/>
        <v>45978.546743749997</v>
      </c>
      <c r="B408" s="4">
        <f t="shared" ca="1" si="13"/>
        <v>45978</v>
      </c>
    </row>
    <row r="409" spans="1:2" x14ac:dyDescent="0.25">
      <c r="A409" s="3">
        <f t="shared" ca="1" si="12"/>
        <v>45978.546743749997</v>
      </c>
      <c r="B409" s="4">
        <f t="shared" ca="1" si="13"/>
        <v>45978</v>
      </c>
    </row>
    <row r="410" spans="1:2" x14ac:dyDescent="0.25">
      <c r="A410" s="3">
        <f t="shared" ca="1" si="12"/>
        <v>45978.546743749997</v>
      </c>
      <c r="B410" s="4">
        <f t="shared" ca="1" si="13"/>
        <v>45978</v>
      </c>
    </row>
    <row r="411" spans="1:2" x14ac:dyDescent="0.25">
      <c r="A411" s="3">
        <f t="shared" ca="1" si="12"/>
        <v>45978.546743749997</v>
      </c>
      <c r="B411" s="4">
        <f t="shared" ca="1" si="13"/>
        <v>45978</v>
      </c>
    </row>
    <row r="412" spans="1:2" x14ac:dyDescent="0.25">
      <c r="A412" s="3">
        <f t="shared" ca="1" si="12"/>
        <v>45978.546743749997</v>
      </c>
      <c r="B412" s="4">
        <f t="shared" ca="1" si="13"/>
        <v>45978</v>
      </c>
    </row>
    <row r="413" spans="1:2" x14ac:dyDescent="0.25">
      <c r="A413" s="3">
        <f t="shared" ca="1" si="12"/>
        <v>45978.546743749997</v>
      </c>
      <c r="B413" s="4">
        <f t="shared" ca="1" si="13"/>
        <v>45978</v>
      </c>
    </row>
    <row r="414" spans="1:2" x14ac:dyDescent="0.25">
      <c r="A414" s="3">
        <f t="shared" ca="1" si="12"/>
        <v>45978.546743749997</v>
      </c>
      <c r="B414" s="4">
        <f t="shared" ca="1" si="13"/>
        <v>45978</v>
      </c>
    </row>
    <row r="415" spans="1:2" x14ac:dyDescent="0.25">
      <c r="A415" s="3">
        <f t="shared" ca="1" si="12"/>
        <v>45978.546743749997</v>
      </c>
      <c r="B415" s="4">
        <f t="shared" ca="1" si="13"/>
        <v>45978</v>
      </c>
    </row>
    <row r="416" spans="1:2" x14ac:dyDescent="0.25">
      <c r="A416" s="3">
        <f t="shared" ca="1" si="12"/>
        <v>45978.546743749997</v>
      </c>
      <c r="B416" s="4">
        <f t="shared" ca="1" si="13"/>
        <v>45978</v>
      </c>
    </row>
    <row r="417" spans="1:2" x14ac:dyDescent="0.25">
      <c r="A417" s="3">
        <f t="shared" ca="1" si="12"/>
        <v>45978.546743749997</v>
      </c>
      <c r="B417" s="4">
        <f t="shared" ca="1" si="13"/>
        <v>45978</v>
      </c>
    </row>
    <row r="418" spans="1:2" x14ac:dyDescent="0.25">
      <c r="A418" s="3">
        <f t="shared" ca="1" si="12"/>
        <v>45978.546743749997</v>
      </c>
      <c r="B418" s="4">
        <f t="shared" ca="1" si="13"/>
        <v>45978</v>
      </c>
    </row>
    <row r="419" spans="1:2" x14ac:dyDescent="0.25">
      <c r="A419" s="3">
        <f t="shared" ca="1" si="12"/>
        <v>45978.546743749997</v>
      </c>
      <c r="B419" s="4">
        <f t="shared" ca="1" si="13"/>
        <v>45978</v>
      </c>
    </row>
    <row r="420" spans="1:2" x14ac:dyDescent="0.25">
      <c r="A420" s="3">
        <f t="shared" ca="1" si="12"/>
        <v>45978.546743749997</v>
      </c>
      <c r="B420" s="4">
        <f t="shared" ca="1" si="13"/>
        <v>45978</v>
      </c>
    </row>
    <row r="421" spans="1:2" x14ac:dyDescent="0.25">
      <c r="A421" s="3">
        <f t="shared" ca="1" si="12"/>
        <v>45978.546743749997</v>
      </c>
      <c r="B421" s="4">
        <f t="shared" ca="1" si="13"/>
        <v>45978</v>
      </c>
    </row>
    <row r="422" spans="1:2" x14ac:dyDescent="0.25">
      <c r="A422" s="3">
        <f t="shared" ca="1" si="12"/>
        <v>45978.546743749997</v>
      </c>
      <c r="B422" s="4">
        <f t="shared" ca="1" si="13"/>
        <v>45978</v>
      </c>
    </row>
    <row r="423" spans="1:2" x14ac:dyDescent="0.25">
      <c r="A423" s="3">
        <f t="shared" ca="1" si="12"/>
        <v>45978.546743749997</v>
      </c>
      <c r="B423" s="4">
        <f t="shared" ca="1" si="13"/>
        <v>45978</v>
      </c>
    </row>
    <row r="424" spans="1:2" x14ac:dyDescent="0.25">
      <c r="A424" s="3">
        <f t="shared" ca="1" si="12"/>
        <v>45978.546743749997</v>
      </c>
      <c r="B424" s="4">
        <f t="shared" ca="1" si="13"/>
        <v>45978</v>
      </c>
    </row>
    <row r="425" spans="1:2" x14ac:dyDescent="0.25">
      <c r="A425" s="3">
        <f t="shared" ca="1" si="12"/>
        <v>45978.546743749997</v>
      </c>
      <c r="B425" s="4">
        <f t="shared" ca="1" si="13"/>
        <v>45978</v>
      </c>
    </row>
    <row r="426" spans="1:2" x14ac:dyDescent="0.25">
      <c r="A426" s="3">
        <f t="shared" ca="1" si="12"/>
        <v>45978.546743749997</v>
      </c>
      <c r="B426" s="4">
        <f t="shared" ca="1" si="13"/>
        <v>45978</v>
      </c>
    </row>
    <row r="427" spans="1:2" x14ac:dyDescent="0.25">
      <c r="A427" s="3">
        <f t="shared" ca="1" si="12"/>
        <v>45978.546743749997</v>
      </c>
      <c r="B427" s="4">
        <f t="shared" ca="1" si="13"/>
        <v>45978</v>
      </c>
    </row>
    <row r="428" spans="1:2" x14ac:dyDescent="0.25">
      <c r="A428" s="3">
        <f t="shared" ca="1" si="12"/>
        <v>45978.546743749997</v>
      </c>
      <c r="B428" s="4">
        <f t="shared" ca="1" si="13"/>
        <v>45978</v>
      </c>
    </row>
    <row r="429" spans="1:2" x14ac:dyDescent="0.25">
      <c r="A429" s="3">
        <f t="shared" ca="1" si="12"/>
        <v>45978.546743749997</v>
      </c>
      <c r="B429" s="4">
        <f t="shared" ca="1" si="13"/>
        <v>45978</v>
      </c>
    </row>
    <row r="430" spans="1:2" x14ac:dyDescent="0.25">
      <c r="A430" s="3">
        <f t="shared" ca="1" si="12"/>
        <v>45978.546743749997</v>
      </c>
      <c r="B430" s="4">
        <f t="shared" ca="1" si="13"/>
        <v>45978</v>
      </c>
    </row>
    <row r="431" spans="1:2" x14ac:dyDescent="0.25">
      <c r="A431" s="3">
        <f t="shared" ca="1" si="12"/>
        <v>45978.546743749997</v>
      </c>
      <c r="B431" s="4">
        <f t="shared" ca="1" si="13"/>
        <v>45978</v>
      </c>
    </row>
    <row r="432" spans="1:2" x14ac:dyDescent="0.25">
      <c r="A432" s="3">
        <f t="shared" ca="1" si="12"/>
        <v>45978.546743749997</v>
      </c>
      <c r="B432" s="4">
        <f t="shared" ca="1" si="13"/>
        <v>45978</v>
      </c>
    </row>
    <row r="433" spans="1:2" x14ac:dyDescent="0.25">
      <c r="A433" s="3">
        <f t="shared" ca="1" si="12"/>
        <v>45978.546743749997</v>
      </c>
      <c r="B433" s="4">
        <f t="shared" ca="1" si="13"/>
        <v>45978</v>
      </c>
    </row>
    <row r="434" spans="1:2" x14ac:dyDescent="0.25">
      <c r="A434" s="3">
        <f t="shared" ca="1" si="12"/>
        <v>45978.546743749997</v>
      </c>
      <c r="B434" s="4">
        <f t="shared" ca="1" si="13"/>
        <v>45978</v>
      </c>
    </row>
    <row r="435" spans="1:2" x14ac:dyDescent="0.25">
      <c r="A435" s="3">
        <f t="shared" ca="1" si="12"/>
        <v>45978.546743749997</v>
      </c>
      <c r="B435" s="4">
        <f t="shared" ca="1" si="13"/>
        <v>45978</v>
      </c>
    </row>
    <row r="436" spans="1:2" x14ac:dyDescent="0.25">
      <c r="A436" s="3">
        <f t="shared" ca="1" si="12"/>
        <v>45978.546743749997</v>
      </c>
      <c r="B436" s="4">
        <f t="shared" ca="1" si="13"/>
        <v>45978</v>
      </c>
    </row>
    <row r="437" spans="1:2" x14ac:dyDescent="0.25">
      <c r="A437" s="3">
        <f t="shared" ca="1" si="12"/>
        <v>45978.546743749997</v>
      </c>
      <c r="B437" s="4">
        <f t="shared" ca="1" si="13"/>
        <v>45978</v>
      </c>
    </row>
    <row r="438" spans="1:2" x14ac:dyDescent="0.25">
      <c r="A438" s="3">
        <f t="shared" ca="1" si="12"/>
        <v>45978.546743749997</v>
      </c>
      <c r="B438" s="4">
        <f t="shared" ca="1" si="13"/>
        <v>45978</v>
      </c>
    </row>
    <row r="439" spans="1:2" x14ac:dyDescent="0.25">
      <c r="A439" s="3">
        <f t="shared" ca="1" si="12"/>
        <v>45978.546743749997</v>
      </c>
      <c r="B439" s="4">
        <f t="shared" ca="1" si="13"/>
        <v>45978</v>
      </c>
    </row>
    <row r="440" spans="1:2" x14ac:dyDescent="0.25">
      <c r="A440" s="3">
        <f t="shared" ca="1" si="12"/>
        <v>45978.546743749997</v>
      </c>
      <c r="B440" s="4">
        <f t="shared" ca="1" si="13"/>
        <v>45978</v>
      </c>
    </row>
    <row r="441" spans="1:2" x14ac:dyDescent="0.25">
      <c r="A441" s="3">
        <f t="shared" ca="1" si="12"/>
        <v>45978.546743749997</v>
      </c>
      <c r="B441" s="4">
        <f t="shared" ca="1" si="13"/>
        <v>45978</v>
      </c>
    </row>
    <row r="442" spans="1:2" x14ac:dyDescent="0.25">
      <c r="A442" s="3">
        <f t="shared" ca="1" si="12"/>
        <v>45978.546743749997</v>
      </c>
      <c r="B442" s="4">
        <f t="shared" ca="1" si="13"/>
        <v>45978</v>
      </c>
    </row>
    <row r="443" spans="1:2" x14ac:dyDescent="0.25">
      <c r="A443" s="3">
        <f t="shared" ca="1" si="12"/>
        <v>45978.546743749997</v>
      </c>
      <c r="B443" s="4">
        <f t="shared" ca="1" si="13"/>
        <v>45978</v>
      </c>
    </row>
    <row r="444" spans="1:2" x14ac:dyDescent="0.25">
      <c r="A444" s="3">
        <f t="shared" ca="1" si="12"/>
        <v>45978.546743749997</v>
      </c>
      <c r="B444" s="4">
        <f t="shared" ca="1" si="13"/>
        <v>45978</v>
      </c>
    </row>
    <row r="445" spans="1:2" x14ac:dyDescent="0.25">
      <c r="A445" s="3">
        <f t="shared" ca="1" si="12"/>
        <v>45978.546743749997</v>
      </c>
      <c r="B445" s="4">
        <f t="shared" ca="1" si="13"/>
        <v>45978</v>
      </c>
    </row>
    <row r="446" spans="1:2" x14ac:dyDescent="0.25">
      <c r="A446" s="3">
        <f t="shared" ca="1" si="12"/>
        <v>45978.546743749997</v>
      </c>
      <c r="B446" s="4">
        <f t="shared" ca="1" si="13"/>
        <v>45978</v>
      </c>
    </row>
    <row r="447" spans="1:2" x14ac:dyDescent="0.25">
      <c r="A447" s="3">
        <f t="shared" ca="1" si="12"/>
        <v>45978.546743749997</v>
      </c>
      <c r="B447" s="4">
        <f t="shared" ca="1" si="13"/>
        <v>45978</v>
      </c>
    </row>
    <row r="448" spans="1:2" x14ac:dyDescent="0.25">
      <c r="A448" s="3">
        <f t="shared" ca="1" si="12"/>
        <v>45978.546743749997</v>
      </c>
      <c r="B448" s="4">
        <f t="shared" ca="1" si="13"/>
        <v>45978</v>
      </c>
    </row>
    <row r="449" spans="1:2" x14ac:dyDescent="0.25">
      <c r="A449" s="3">
        <f t="shared" ca="1" si="12"/>
        <v>45978.546743749997</v>
      </c>
      <c r="B449" s="4">
        <f t="shared" ca="1" si="13"/>
        <v>45978</v>
      </c>
    </row>
    <row r="450" spans="1:2" x14ac:dyDescent="0.25">
      <c r="A450" s="3">
        <f t="shared" ca="1" si="12"/>
        <v>45978.546743749997</v>
      </c>
      <c r="B450" s="4">
        <f t="shared" ca="1" si="13"/>
        <v>45978</v>
      </c>
    </row>
    <row r="451" spans="1:2" x14ac:dyDescent="0.25">
      <c r="A451" s="3">
        <f t="shared" ref="A451:A501" ca="1" si="14">NOW()</f>
        <v>45978.546743749997</v>
      </c>
      <c r="B451" s="4">
        <f t="shared" ref="B451:B501" ca="1" si="15">TODAY()</f>
        <v>45978</v>
      </c>
    </row>
    <row r="452" spans="1:2" x14ac:dyDescent="0.25">
      <c r="A452" s="3">
        <f t="shared" ca="1" si="14"/>
        <v>45978.546743749997</v>
      </c>
      <c r="B452" s="4">
        <f t="shared" ca="1" si="15"/>
        <v>45978</v>
      </c>
    </row>
    <row r="453" spans="1:2" x14ac:dyDescent="0.25">
      <c r="A453" s="3">
        <f t="shared" ca="1" si="14"/>
        <v>45978.546743749997</v>
      </c>
      <c r="B453" s="4">
        <f t="shared" ca="1" si="15"/>
        <v>45978</v>
      </c>
    </row>
    <row r="454" spans="1:2" x14ac:dyDescent="0.25">
      <c r="A454" s="3">
        <f t="shared" ca="1" si="14"/>
        <v>45978.546743749997</v>
      </c>
      <c r="B454" s="4">
        <f t="shared" ca="1" si="15"/>
        <v>45978</v>
      </c>
    </row>
    <row r="455" spans="1:2" x14ac:dyDescent="0.25">
      <c r="A455" s="3">
        <f t="shared" ca="1" si="14"/>
        <v>45978.546743749997</v>
      </c>
      <c r="B455" s="4">
        <f t="shared" ca="1" si="15"/>
        <v>45978</v>
      </c>
    </row>
    <row r="456" spans="1:2" x14ac:dyDescent="0.25">
      <c r="A456" s="3">
        <f t="shared" ca="1" si="14"/>
        <v>45978.546743749997</v>
      </c>
      <c r="B456" s="4">
        <f t="shared" ca="1" si="15"/>
        <v>45978</v>
      </c>
    </row>
    <row r="457" spans="1:2" x14ac:dyDescent="0.25">
      <c r="A457" s="3">
        <f t="shared" ca="1" si="14"/>
        <v>45978.546743749997</v>
      </c>
      <c r="B457" s="4">
        <f t="shared" ca="1" si="15"/>
        <v>45978</v>
      </c>
    </row>
    <row r="458" spans="1:2" x14ac:dyDescent="0.25">
      <c r="A458" s="3">
        <f t="shared" ca="1" si="14"/>
        <v>45978.546743749997</v>
      </c>
      <c r="B458" s="4">
        <f t="shared" ca="1" si="15"/>
        <v>45978</v>
      </c>
    </row>
    <row r="459" spans="1:2" x14ac:dyDescent="0.25">
      <c r="A459" s="3">
        <f t="shared" ca="1" si="14"/>
        <v>45978.546743749997</v>
      </c>
      <c r="B459" s="4">
        <f t="shared" ca="1" si="15"/>
        <v>45978</v>
      </c>
    </row>
    <row r="460" spans="1:2" x14ac:dyDescent="0.25">
      <c r="A460" s="3">
        <f t="shared" ca="1" si="14"/>
        <v>45978.546743749997</v>
      </c>
      <c r="B460" s="4">
        <f t="shared" ca="1" si="15"/>
        <v>45978</v>
      </c>
    </row>
    <row r="461" spans="1:2" x14ac:dyDescent="0.25">
      <c r="A461" s="3">
        <f t="shared" ca="1" si="14"/>
        <v>45978.546743749997</v>
      </c>
      <c r="B461" s="4">
        <f t="shared" ca="1" si="15"/>
        <v>45978</v>
      </c>
    </row>
    <row r="462" spans="1:2" x14ac:dyDescent="0.25">
      <c r="A462" s="3">
        <f t="shared" ca="1" si="14"/>
        <v>45978.546743749997</v>
      </c>
      <c r="B462" s="4">
        <f t="shared" ca="1" si="15"/>
        <v>45978</v>
      </c>
    </row>
    <row r="463" spans="1:2" x14ac:dyDescent="0.25">
      <c r="A463" s="3">
        <f t="shared" ca="1" si="14"/>
        <v>45978.546743749997</v>
      </c>
      <c r="B463" s="4">
        <f t="shared" ca="1" si="15"/>
        <v>45978</v>
      </c>
    </row>
    <row r="464" spans="1:2" x14ac:dyDescent="0.25">
      <c r="A464" s="3">
        <f t="shared" ca="1" si="14"/>
        <v>45978.546743749997</v>
      </c>
      <c r="B464" s="4">
        <f t="shared" ca="1" si="15"/>
        <v>45978</v>
      </c>
    </row>
    <row r="465" spans="1:2" x14ac:dyDescent="0.25">
      <c r="A465" s="3">
        <f t="shared" ca="1" si="14"/>
        <v>45978.546743749997</v>
      </c>
      <c r="B465" s="4">
        <f t="shared" ca="1" si="15"/>
        <v>45978</v>
      </c>
    </row>
    <row r="466" spans="1:2" x14ac:dyDescent="0.25">
      <c r="A466" s="3">
        <f t="shared" ca="1" si="14"/>
        <v>45978.546743749997</v>
      </c>
      <c r="B466" s="4">
        <f t="shared" ca="1" si="15"/>
        <v>45978</v>
      </c>
    </row>
    <row r="467" spans="1:2" x14ac:dyDescent="0.25">
      <c r="A467" s="3">
        <f t="shared" ca="1" si="14"/>
        <v>45978.546743749997</v>
      </c>
      <c r="B467" s="4">
        <f t="shared" ca="1" si="15"/>
        <v>45978</v>
      </c>
    </row>
    <row r="468" spans="1:2" x14ac:dyDescent="0.25">
      <c r="A468" s="3">
        <f t="shared" ca="1" si="14"/>
        <v>45978.546743749997</v>
      </c>
      <c r="B468" s="4">
        <f t="shared" ca="1" si="15"/>
        <v>45978</v>
      </c>
    </row>
    <row r="469" spans="1:2" x14ac:dyDescent="0.25">
      <c r="A469" s="3">
        <f t="shared" ca="1" si="14"/>
        <v>45978.546743749997</v>
      </c>
      <c r="B469" s="4">
        <f t="shared" ca="1" si="15"/>
        <v>45978</v>
      </c>
    </row>
    <row r="470" spans="1:2" x14ac:dyDescent="0.25">
      <c r="A470" s="3">
        <f t="shared" ca="1" si="14"/>
        <v>45978.546743749997</v>
      </c>
      <c r="B470" s="4">
        <f t="shared" ca="1" si="15"/>
        <v>45978</v>
      </c>
    </row>
    <row r="471" spans="1:2" x14ac:dyDescent="0.25">
      <c r="A471" s="3">
        <f t="shared" ca="1" si="14"/>
        <v>45978.546743749997</v>
      </c>
      <c r="B471" s="4">
        <f t="shared" ca="1" si="15"/>
        <v>45978</v>
      </c>
    </row>
    <row r="472" spans="1:2" x14ac:dyDescent="0.25">
      <c r="A472" s="3">
        <f t="shared" ca="1" si="14"/>
        <v>45978.546743749997</v>
      </c>
      <c r="B472" s="4">
        <f t="shared" ca="1" si="15"/>
        <v>45978</v>
      </c>
    </row>
    <row r="473" spans="1:2" x14ac:dyDescent="0.25">
      <c r="A473" s="3">
        <f t="shared" ca="1" si="14"/>
        <v>45978.546743749997</v>
      </c>
      <c r="B473" s="4">
        <f t="shared" ca="1" si="15"/>
        <v>45978</v>
      </c>
    </row>
    <row r="474" spans="1:2" x14ac:dyDescent="0.25">
      <c r="A474" s="3">
        <f t="shared" ca="1" si="14"/>
        <v>45978.546743749997</v>
      </c>
      <c r="B474" s="4">
        <f t="shared" ca="1" si="15"/>
        <v>45978</v>
      </c>
    </row>
    <row r="475" spans="1:2" x14ac:dyDescent="0.25">
      <c r="A475" s="3">
        <f t="shared" ca="1" si="14"/>
        <v>45978.546743749997</v>
      </c>
      <c r="B475" s="4">
        <f t="shared" ca="1" si="15"/>
        <v>45978</v>
      </c>
    </row>
    <row r="476" spans="1:2" x14ac:dyDescent="0.25">
      <c r="A476" s="3">
        <f t="shared" ca="1" si="14"/>
        <v>45978.546743749997</v>
      </c>
      <c r="B476" s="4">
        <f t="shared" ca="1" si="15"/>
        <v>45978</v>
      </c>
    </row>
    <row r="477" spans="1:2" x14ac:dyDescent="0.25">
      <c r="A477" s="3">
        <f t="shared" ca="1" si="14"/>
        <v>45978.546743749997</v>
      </c>
      <c r="B477" s="4">
        <f t="shared" ca="1" si="15"/>
        <v>45978</v>
      </c>
    </row>
    <row r="478" spans="1:2" x14ac:dyDescent="0.25">
      <c r="A478" s="3">
        <f t="shared" ca="1" si="14"/>
        <v>45978.546743749997</v>
      </c>
      <c r="B478" s="4">
        <f t="shared" ca="1" si="15"/>
        <v>45978</v>
      </c>
    </row>
    <row r="479" spans="1:2" x14ac:dyDescent="0.25">
      <c r="A479" s="3">
        <f t="shared" ca="1" si="14"/>
        <v>45978.546743749997</v>
      </c>
      <c r="B479" s="4">
        <f t="shared" ca="1" si="15"/>
        <v>45978</v>
      </c>
    </row>
    <row r="480" spans="1:2" x14ac:dyDescent="0.25">
      <c r="A480" s="3">
        <f t="shared" ca="1" si="14"/>
        <v>45978.546743749997</v>
      </c>
      <c r="B480" s="4">
        <f t="shared" ca="1" si="15"/>
        <v>45978</v>
      </c>
    </row>
    <row r="481" spans="1:2" x14ac:dyDescent="0.25">
      <c r="A481" s="3">
        <f t="shared" ca="1" si="14"/>
        <v>45978.546743749997</v>
      </c>
      <c r="B481" s="4">
        <f t="shared" ca="1" si="15"/>
        <v>45978</v>
      </c>
    </row>
    <row r="482" spans="1:2" x14ac:dyDescent="0.25">
      <c r="A482" s="3">
        <f t="shared" ca="1" si="14"/>
        <v>45978.546743749997</v>
      </c>
      <c r="B482" s="4">
        <f t="shared" ca="1" si="15"/>
        <v>45978</v>
      </c>
    </row>
    <row r="483" spans="1:2" x14ac:dyDescent="0.25">
      <c r="A483" s="3">
        <f t="shared" ca="1" si="14"/>
        <v>45978.546743749997</v>
      </c>
      <c r="B483" s="4">
        <f t="shared" ca="1" si="15"/>
        <v>45978</v>
      </c>
    </row>
    <row r="484" spans="1:2" x14ac:dyDescent="0.25">
      <c r="A484" s="3">
        <f t="shared" ca="1" si="14"/>
        <v>45978.546743749997</v>
      </c>
      <c r="B484" s="4">
        <f t="shared" ca="1" si="15"/>
        <v>45978</v>
      </c>
    </row>
    <row r="485" spans="1:2" x14ac:dyDescent="0.25">
      <c r="A485" s="3">
        <f t="shared" ca="1" si="14"/>
        <v>45978.546743749997</v>
      </c>
      <c r="B485" s="4">
        <f t="shared" ca="1" si="15"/>
        <v>45978</v>
      </c>
    </row>
    <row r="486" spans="1:2" x14ac:dyDescent="0.25">
      <c r="A486" s="3">
        <f t="shared" ca="1" si="14"/>
        <v>45978.546743749997</v>
      </c>
      <c r="B486" s="4">
        <f t="shared" ca="1" si="15"/>
        <v>45978</v>
      </c>
    </row>
    <row r="487" spans="1:2" x14ac:dyDescent="0.25">
      <c r="A487" s="3">
        <f t="shared" ca="1" si="14"/>
        <v>45978.546743749997</v>
      </c>
      <c r="B487" s="4">
        <f t="shared" ca="1" si="15"/>
        <v>45978</v>
      </c>
    </row>
    <row r="488" spans="1:2" x14ac:dyDescent="0.25">
      <c r="A488" s="3">
        <f t="shared" ca="1" si="14"/>
        <v>45978.546743749997</v>
      </c>
      <c r="B488" s="4">
        <f t="shared" ca="1" si="15"/>
        <v>45978</v>
      </c>
    </row>
    <row r="489" spans="1:2" x14ac:dyDescent="0.25">
      <c r="A489" s="3">
        <f t="shared" ca="1" si="14"/>
        <v>45978.546743749997</v>
      </c>
      <c r="B489" s="4">
        <f t="shared" ca="1" si="15"/>
        <v>45978</v>
      </c>
    </row>
    <row r="490" spans="1:2" x14ac:dyDescent="0.25">
      <c r="A490" s="3">
        <f t="shared" ca="1" si="14"/>
        <v>45978.546743749997</v>
      </c>
      <c r="B490" s="4">
        <f t="shared" ca="1" si="15"/>
        <v>45978</v>
      </c>
    </row>
    <row r="491" spans="1:2" x14ac:dyDescent="0.25">
      <c r="A491" s="3">
        <f t="shared" ca="1" si="14"/>
        <v>45978.546743749997</v>
      </c>
      <c r="B491" s="4">
        <f t="shared" ca="1" si="15"/>
        <v>45978</v>
      </c>
    </row>
    <row r="492" spans="1:2" x14ac:dyDescent="0.25">
      <c r="A492" s="3">
        <f t="shared" ca="1" si="14"/>
        <v>45978.546743749997</v>
      </c>
      <c r="B492" s="4">
        <f t="shared" ca="1" si="15"/>
        <v>45978</v>
      </c>
    </row>
    <row r="493" spans="1:2" x14ac:dyDescent="0.25">
      <c r="A493" s="3">
        <f t="shared" ca="1" si="14"/>
        <v>45978.546743749997</v>
      </c>
      <c r="B493" s="4">
        <f t="shared" ca="1" si="15"/>
        <v>45978</v>
      </c>
    </row>
    <row r="494" spans="1:2" x14ac:dyDescent="0.25">
      <c r="A494" s="3">
        <f t="shared" ca="1" si="14"/>
        <v>45978.546743749997</v>
      </c>
      <c r="B494" s="4">
        <f t="shared" ca="1" si="15"/>
        <v>45978</v>
      </c>
    </row>
    <row r="495" spans="1:2" x14ac:dyDescent="0.25">
      <c r="A495" s="3">
        <f t="shared" ca="1" si="14"/>
        <v>45978.546743749997</v>
      </c>
      <c r="B495" s="4">
        <f t="shared" ca="1" si="15"/>
        <v>45978</v>
      </c>
    </row>
    <row r="496" spans="1:2" x14ac:dyDescent="0.25">
      <c r="A496" s="3">
        <f t="shared" ca="1" si="14"/>
        <v>45978.546743749997</v>
      </c>
      <c r="B496" s="4">
        <f t="shared" ca="1" si="15"/>
        <v>45978</v>
      </c>
    </row>
    <row r="497" spans="1:2" x14ac:dyDescent="0.25">
      <c r="A497" s="3">
        <f t="shared" ca="1" si="14"/>
        <v>45978.546743749997</v>
      </c>
      <c r="B497" s="4">
        <f t="shared" ca="1" si="15"/>
        <v>45978</v>
      </c>
    </row>
    <row r="498" spans="1:2" x14ac:dyDescent="0.25">
      <c r="A498" s="3">
        <f t="shared" ca="1" si="14"/>
        <v>45978.546743749997</v>
      </c>
      <c r="B498" s="4">
        <f t="shared" ca="1" si="15"/>
        <v>45978</v>
      </c>
    </row>
    <row r="499" spans="1:2" x14ac:dyDescent="0.25">
      <c r="A499" s="3">
        <f t="shared" ca="1" si="14"/>
        <v>45978.546743749997</v>
      </c>
      <c r="B499" s="4">
        <f t="shared" ca="1" si="15"/>
        <v>45978</v>
      </c>
    </row>
    <row r="500" spans="1:2" x14ac:dyDescent="0.25">
      <c r="A500" s="3">
        <f t="shared" ca="1" si="14"/>
        <v>45978.546743749997</v>
      </c>
      <c r="B500" s="4">
        <f t="shared" ca="1" si="15"/>
        <v>45978</v>
      </c>
    </row>
    <row r="501" spans="1:2" x14ac:dyDescent="0.25">
      <c r="A501" s="3">
        <f t="shared" ca="1" si="14"/>
        <v>45978.546743749997</v>
      </c>
      <c r="B501" s="4">
        <f t="shared" ca="1" si="15"/>
        <v>45978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Sheet4</vt:lpstr>
      <vt:lpstr>Sheet5</vt:lpstr>
      <vt:lpstr>Sheet6</vt:lpstr>
      <vt:lpstr>Sheet8</vt:lpstr>
      <vt:lpstr>Sheet7</vt:lpstr>
      <vt:lpstr>Sheet9</vt:lpstr>
      <vt:lpstr>Activity_Data</vt:lpstr>
      <vt:lpstr>Summary 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admin</cp:lastModifiedBy>
  <dcterms:created xsi:type="dcterms:W3CDTF">2025-10-11T04:45:01Z</dcterms:created>
  <dcterms:modified xsi:type="dcterms:W3CDTF">2025-11-17T07:37:22Z</dcterms:modified>
</cp:coreProperties>
</file>